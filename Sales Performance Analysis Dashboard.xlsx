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hidePivotFieldList="1"/>
  <mc:AlternateContent xmlns:mc="http://schemas.openxmlformats.org/markup-compatibility/2006">
    <mc:Choice Requires="x15">
      <x15ac:absPath xmlns:x15ac="http://schemas.microsoft.com/office/spreadsheetml/2010/11/ac" url="C:\Users\nvsri\Downloads\"/>
    </mc:Choice>
  </mc:AlternateContent>
  <xr:revisionPtr revIDLastSave="0" documentId="8_{4AB0C5B1-9724-4B27-9E2D-B4DC27717A70}" xr6:coauthVersionLast="47" xr6:coauthVersionMax="47" xr10:uidLastSave="{00000000-0000-0000-0000-000000000000}"/>
  <bookViews>
    <workbookView xWindow="-108" yWindow="-108" windowWidth="23256" windowHeight="13176" firstSheet="4" activeTab="4" xr2:uid="{00000000-000D-0000-FFFF-FFFF00000000}"/>
  </bookViews>
  <sheets>
    <sheet name="data" sheetId="1" r:id="rId1"/>
    <sheet name="cleaned_dataset" sheetId="7" r:id="rId2"/>
    <sheet name=" kpis" sheetId="3" r:id="rId3"/>
    <sheet name=" charts" sheetId="8" r:id="rId4"/>
    <sheet name=" dashboard" sheetId="6" r:id="rId5"/>
  </sheets>
  <definedNames>
    <definedName name="_xlnm._FilterDatabase" localSheetId="0" hidden="1">data!$A$1:$S$501</definedName>
    <definedName name="_xlchart.v2.0" hidden="1">' charts'!$F$41:$F$48</definedName>
    <definedName name="_xlchart.v2.1" hidden="1">' charts'!$G$40</definedName>
    <definedName name="_xlchart.v2.2" hidden="1">' charts'!$G$41:$G$48</definedName>
    <definedName name="cop">#REF!</definedName>
    <definedName name="Slicer_City">#N/A</definedName>
    <definedName name="Slicer_Coupon_Code">#N/A</definedName>
    <definedName name="Slicer_Gender">#N/A</definedName>
    <definedName name="Slicer_month">#N/A</definedName>
  </definedNames>
  <calcPr calcId="191028"/>
  <pivotCaches>
    <pivotCache cacheId="978"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N6ci64WPNruKfN4cipXVws4UpTTdE6fYdULTWuGry/Y="/>
    </ext>
  </extLst>
</workbook>
</file>

<file path=xl/calcChain.xml><?xml version="1.0" encoding="utf-8"?>
<calcChain xmlns="http://schemas.openxmlformats.org/spreadsheetml/2006/main">
  <c r="L6" i="3" l="1"/>
  <c r="L4" i="3"/>
  <c r="AE106" i="1" l="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T2" i="1"/>
  <c r="Z2" i="1" s="1"/>
  <c r="T3" i="1"/>
  <c r="Z3" i="1" s="1"/>
  <c r="T4" i="1"/>
  <c r="Z4" i="1" s="1"/>
  <c r="T5" i="1"/>
  <c r="Z5" i="1" s="1"/>
  <c r="T6" i="1"/>
  <c r="Z6" i="1" s="1"/>
  <c r="T7" i="1"/>
  <c r="Z7" i="1" s="1"/>
  <c r="T8" i="1"/>
  <c r="Z8" i="1" s="1"/>
  <c r="T9" i="1"/>
  <c r="Z9" i="1" s="1"/>
  <c r="T10" i="1"/>
  <c r="Z10" i="1" s="1"/>
  <c r="T11" i="1"/>
  <c r="Z11" i="1" s="1"/>
  <c r="T12" i="1"/>
  <c r="Z12" i="1" s="1"/>
  <c r="T13" i="1"/>
  <c r="Z13" i="1" s="1"/>
  <c r="T14" i="1"/>
  <c r="Z14" i="1" s="1"/>
  <c r="T15" i="1"/>
  <c r="Z15" i="1" s="1"/>
  <c r="T16" i="1"/>
  <c r="Z16" i="1" s="1"/>
  <c r="T17" i="1"/>
  <c r="Z17" i="1" s="1"/>
  <c r="T18" i="1"/>
  <c r="Z18" i="1" s="1"/>
  <c r="T19" i="1"/>
  <c r="Z19" i="1" s="1"/>
  <c r="T20" i="1"/>
  <c r="Z20" i="1" s="1"/>
  <c r="T21" i="1"/>
  <c r="Z21" i="1" s="1"/>
  <c r="T22" i="1"/>
  <c r="Z22" i="1" s="1"/>
  <c r="T23" i="1"/>
  <c r="Z23" i="1" s="1"/>
  <c r="T24" i="1"/>
  <c r="Z24" i="1" s="1"/>
  <c r="T25" i="1"/>
  <c r="Z25" i="1" s="1"/>
  <c r="T26" i="1"/>
  <c r="Z26" i="1" s="1"/>
  <c r="T27" i="1"/>
  <c r="Z27" i="1" s="1"/>
  <c r="T28" i="1"/>
  <c r="Z28" i="1" s="1"/>
  <c r="T29" i="1"/>
  <c r="Z29" i="1" s="1"/>
  <c r="T30" i="1"/>
  <c r="Z30" i="1" s="1"/>
  <c r="T31" i="1"/>
  <c r="Z31" i="1" s="1"/>
  <c r="T32" i="1"/>
  <c r="Z32" i="1" s="1"/>
  <c r="T33" i="1"/>
  <c r="Z33" i="1" s="1"/>
  <c r="T34" i="1"/>
  <c r="Z34" i="1" s="1"/>
  <c r="T35" i="1"/>
  <c r="Z35" i="1" s="1"/>
  <c r="T36" i="1"/>
  <c r="Z36" i="1" s="1"/>
  <c r="T37" i="1"/>
  <c r="Z37" i="1" s="1"/>
  <c r="T38" i="1"/>
  <c r="Z38" i="1" s="1"/>
  <c r="T39" i="1"/>
  <c r="Z39" i="1" s="1"/>
  <c r="T40" i="1"/>
  <c r="Z40" i="1" s="1"/>
  <c r="T41" i="1"/>
  <c r="Z41" i="1" s="1"/>
  <c r="T42" i="1"/>
  <c r="Z42" i="1" s="1"/>
  <c r="T43" i="1"/>
  <c r="Z43" i="1" s="1"/>
  <c r="T44" i="1"/>
  <c r="Z44" i="1" s="1"/>
  <c r="T45" i="1"/>
  <c r="Z45" i="1" s="1"/>
  <c r="T46" i="1"/>
  <c r="Z46" i="1" s="1"/>
  <c r="T47" i="1"/>
  <c r="Z47" i="1" s="1"/>
  <c r="T48" i="1"/>
  <c r="Z48" i="1" s="1"/>
  <c r="T49" i="1"/>
  <c r="Z49" i="1" s="1"/>
  <c r="T50" i="1"/>
  <c r="Z50" i="1" s="1"/>
  <c r="T51" i="1"/>
  <c r="Z51" i="1" s="1"/>
  <c r="T52" i="1"/>
  <c r="Z52" i="1" s="1"/>
  <c r="T53" i="1"/>
  <c r="Z53" i="1" s="1"/>
  <c r="T54" i="1"/>
  <c r="Z54" i="1" s="1"/>
  <c r="T55" i="1"/>
  <c r="Z55" i="1" s="1"/>
  <c r="T56" i="1"/>
  <c r="Z56" i="1" s="1"/>
  <c r="T57" i="1"/>
  <c r="Z57" i="1" s="1"/>
  <c r="T58" i="1"/>
  <c r="Z58" i="1" s="1"/>
  <c r="T59" i="1"/>
  <c r="Z59" i="1" s="1"/>
  <c r="T60" i="1"/>
  <c r="Z60" i="1" s="1"/>
  <c r="T61" i="1"/>
  <c r="Z61" i="1" s="1"/>
  <c r="T62" i="1"/>
  <c r="Z62" i="1" s="1"/>
  <c r="T63" i="1"/>
  <c r="Z63" i="1" s="1"/>
  <c r="T64" i="1"/>
  <c r="Z64" i="1" s="1"/>
  <c r="T65" i="1"/>
  <c r="Z65" i="1" s="1"/>
  <c r="T66" i="1"/>
  <c r="Z66" i="1" s="1"/>
  <c r="T67" i="1"/>
  <c r="Z67" i="1" s="1"/>
  <c r="T68" i="1"/>
  <c r="Z68" i="1" s="1"/>
  <c r="T69" i="1"/>
  <c r="Z69" i="1" s="1"/>
  <c r="T70" i="1"/>
  <c r="Z70" i="1" s="1"/>
  <c r="T71" i="1"/>
  <c r="Z71" i="1" s="1"/>
  <c r="T72" i="1"/>
  <c r="Z72" i="1" s="1"/>
  <c r="T73" i="1"/>
  <c r="Z73" i="1" s="1"/>
  <c r="T74" i="1"/>
  <c r="Z74" i="1" s="1"/>
  <c r="T75" i="1"/>
  <c r="Z75" i="1" s="1"/>
  <c r="T76" i="1"/>
  <c r="Z76" i="1" s="1"/>
  <c r="T77" i="1"/>
  <c r="Z77" i="1" s="1"/>
  <c r="T78" i="1"/>
  <c r="Z78" i="1" s="1"/>
  <c r="T79" i="1"/>
  <c r="Z79" i="1" s="1"/>
  <c r="T80" i="1"/>
  <c r="Z80" i="1" s="1"/>
  <c r="T81" i="1"/>
  <c r="Z81" i="1" s="1"/>
  <c r="T82" i="1"/>
  <c r="Z82" i="1" s="1"/>
  <c r="T83" i="1"/>
  <c r="Z83" i="1" s="1"/>
  <c r="T84" i="1"/>
  <c r="Z84" i="1" s="1"/>
  <c r="T85" i="1"/>
  <c r="Z85" i="1" s="1"/>
  <c r="T86" i="1"/>
  <c r="Z86" i="1" s="1"/>
  <c r="T87" i="1"/>
  <c r="Z87" i="1" s="1"/>
  <c r="T88" i="1"/>
  <c r="Z88" i="1" s="1"/>
  <c r="T89" i="1"/>
  <c r="Z89" i="1" s="1"/>
  <c r="T90" i="1"/>
  <c r="Z90" i="1" s="1"/>
  <c r="T91" i="1"/>
  <c r="Z91" i="1" s="1"/>
  <c r="T92" i="1"/>
  <c r="Z92" i="1" s="1"/>
  <c r="T93" i="1"/>
  <c r="Z93" i="1" s="1"/>
  <c r="T94" i="1"/>
  <c r="Z94" i="1" s="1"/>
  <c r="T95" i="1"/>
  <c r="Z95" i="1" s="1"/>
  <c r="T96" i="1"/>
  <c r="Z96" i="1" s="1"/>
  <c r="T97" i="1"/>
  <c r="Z97" i="1" s="1"/>
  <c r="T98" i="1"/>
  <c r="Z98" i="1" s="1"/>
  <c r="T99" i="1"/>
  <c r="Z99" i="1" s="1"/>
  <c r="T100" i="1"/>
  <c r="Z100" i="1" s="1"/>
  <c r="T101" i="1"/>
  <c r="Z101" i="1" s="1"/>
  <c r="T102" i="1"/>
  <c r="Z102" i="1" s="1"/>
  <c r="T103" i="1"/>
  <c r="Z103" i="1" s="1"/>
  <c r="T104" i="1"/>
  <c r="Z104" i="1" s="1"/>
  <c r="T105" i="1"/>
  <c r="Z105" i="1" s="1"/>
  <c r="T106" i="1"/>
  <c r="Z106" i="1" s="1"/>
  <c r="T107" i="1"/>
  <c r="Z107" i="1" s="1"/>
  <c r="T108" i="1"/>
  <c r="Z108" i="1" s="1"/>
  <c r="T109" i="1"/>
  <c r="Z109" i="1" s="1"/>
  <c r="T110" i="1"/>
  <c r="Z110" i="1" s="1"/>
  <c r="T111" i="1"/>
  <c r="Z111" i="1" s="1"/>
  <c r="T112" i="1"/>
  <c r="Z112" i="1" s="1"/>
  <c r="T113" i="1"/>
  <c r="Z113" i="1" s="1"/>
  <c r="T114" i="1"/>
  <c r="Z114" i="1" s="1"/>
  <c r="T115" i="1"/>
  <c r="Z115" i="1" s="1"/>
  <c r="T116" i="1"/>
  <c r="Z116" i="1" s="1"/>
  <c r="T117" i="1"/>
  <c r="Z117" i="1" s="1"/>
  <c r="T118" i="1"/>
  <c r="Z118" i="1" s="1"/>
  <c r="T119" i="1"/>
  <c r="Z119" i="1" s="1"/>
  <c r="T120" i="1"/>
  <c r="Z120" i="1" s="1"/>
  <c r="T121" i="1"/>
  <c r="Z121" i="1" s="1"/>
  <c r="T122" i="1"/>
  <c r="Z122" i="1" s="1"/>
  <c r="T123" i="1"/>
  <c r="Z123" i="1" s="1"/>
  <c r="T124" i="1"/>
  <c r="Z124" i="1" s="1"/>
  <c r="T125" i="1"/>
  <c r="Z125" i="1" s="1"/>
  <c r="T126" i="1"/>
  <c r="Z126" i="1" s="1"/>
  <c r="T127" i="1"/>
  <c r="Z127" i="1" s="1"/>
  <c r="T128" i="1"/>
  <c r="Z128" i="1" s="1"/>
  <c r="T129" i="1"/>
  <c r="Z129" i="1" s="1"/>
  <c r="T130" i="1"/>
  <c r="Z130" i="1" s="1"/>
  <c r="T131" i="1"/>
  <c r="Z131" i="1" s="1"/>
  <c r="T132" i="1"/>
  <c r="Z132" i="1" s="1"/>
  <c r="T133" i="1"/>
  <c r="Z133" i="1" s="1"/>
  <c r="T134" i="1"/>
  <c r="Z134" i="1" s="1"/>
  <c r="T135" i="1"/>
  <c r="Z135" i="1" s="1"/>
  <c r="T136" i="1"/>
  <c r="Z136" i="1" s="1"/>
  <c r="T137" i="1"/>
  <c r="Z137" i="1" s="1"/>
  <c r="T138" i="1"/>
  <c r="Z138" i="1" s="1"/>
  <c r="T139" i="1"/>
  <c r="Z139" i="1" s="1"/>
  <c r="T140" i="1"/>
  <c r="Z140" i="1" s="1"/>
  <c r="T141" i="1"/>
  <c r="Z141" i="1" s="1"/>
  <c r="T142" i="1"/>
  <c r="Z142" i="1" s="1"/>
  <c r="T143" i="1"/>
  <c r="Z143" i="1" s="1"/>
  <c r="T144" i="1"/>
  <c r="Z144" i="1" s="1"/>
  <c r="T145" i="1"/>
  <c r="Z145" i="1" s="1"/>
  <c r="T146" i="1"/>
  <c r="Z146" i="1" s="1"/>
  <c r="T147" i="1"/>
  <c r="Z147" i="1" s="1"/>
  <c r="T148" i="1"/>
  <c r="Z148" i="1" s="1"/>
  <c r="T149" i="1"/>
  <c r="Z149" i="1" s="1"/>
  <c r="T150" i="1"/>
  <c r="Z150" i="1" s="1"/>
  <c r="T151" i="1"/>
  <c r="Z151" i="1" s="1"/>
  <c r="T152" i="1"/>
  <c r="Z152" i="1" s="1"/>
  <c r="T153" i="1"/>
  <c r="Z153" i="1" s="1"/>
  <c r="T154" i="1"/>
  <c r="Z154" i="1" s="1"/>
  <c r="T155" i="1"/>
  <c r="Z155" i="1" s="1"/>
  <c r="T156" i="1"/>
  <c r="Z156" i="1" s="1"/>
  <c r="T157" i="1"/>
  <c r="Z157" i="1" s="1"/>
  <c r="T158" i="1"/>
  <c r="Z158" i="1" s="1"/>
  <c r="T159" i="1"/>
  <c r="Z159" i="1" s="1"/>
  <c r="T160" i="1"/>
  <c r="Z160" i="1" s="1"/>
  <c r="T161" i="1"/>
  <c r="Z161" i="1" s="1"/>
  <c r="T162" i="1"/>
  <c r="Z162" i="1" s="1"/>
  <c r="T163" i="1"/>
  <c r="Z163" i="1" s="1"/>
  <c r="T164" i="1"/>
  <c r="Z164" i="1" s="1"/>
  <c r="T165" i="1"/>
  <c r="Z165" i="1" s="1"/>
  <c r="T166" i="1"/>
  <c r="Z166" i="1" s="1"/>
  <c r="T167" i="1"/>
  <c r="Z167" i="1" s="1"/>
  <c r="T168" i="1"/>
  <c r="Z168" i="1" s="1"/>
  <c r="T169" i="1"/>
  <c r="Z169" i="1" s="1"/>
  <c r="T170" i="1"/>
  <c r="Z170" i="1" s="1"/>
  <c r="T171" i="1"/>
  <c r="Z171" i="1" s="1"/>
  <c r="T172" i="1"/>
  <c r="Z172" i="1" s="1"/>
  <c r="T173" i="1"/>
  <c r="Z173" i="1" s="1"/>
  <c r="T174" i="1"/>
  <c r="Z174" i="1" s="1"/>
  <c r="T175" i="1"/>
  <c r="Z175" i="1" s="1"/>
  <c r="T176" i="1"/>
  <c r="Z176" i="1" s="1"/>
  <c r="T177" i="1"/>
  <c r="Z177" i="1" s="1"/>
  <c r="T178" i="1"/>
  <c r="Z178" i="1" s="1"/>
  <c r="T179" i="1"/>
  <c r="Z179" i="1" s="1"/>
  <c r="T180" i="1"/>
  <c r="Z180" i="1" s="1"/>
  <c r="T181" i="1"/>
  <c r="Z181" i="1" s="1"/>
  <c r="T182" i="1"/>
  <c r="Z182" i="1" s="1"/>
  <c r="T183" i="1"/>
  <c r="Z183" i="1" s="1"/>
  <c r="T184" i="1"/>
  <c r="Z184" i="1" s="1"/>
  <c r="T185" i="1"/>
  <c r="Z185" i="1" s="1"/>
  <c r="T186" i="1"/>
  <c r="Z186" i="1" s="1"/>
  <c r="T187" i="1"/>
  <c r="Z187" i="1" s="1"/>
  <c r="T188" i="1"/>
  <c r="Z188" i="1" s="1"/>
  <c r="T189" i="1"/>
  <c r="Z189" i="1" s="1"/>
  <c r="T190" i="1"/>
  <c r="Z190" i="1" s="1"/>
  <c r="T191" i="1"/>
  <c r="Z191" i="1" s="1"/>
  <c r="T192" i="1"/>
  <c r="Z192" i="1" s="1"/>
  <c r="T193" i="1"/>
  <c r="Z193" i="1" s="1"/>
  <c r="T194" i="1"/>
  <c r="Z194" i="1" s="1"/>
  <c r="T195" i="1"/>
  <c r="Z195" i="1" s="1"/>
  <c r="T196" i="1"/>
  <c r="Z196" i="1" s="1"/>
  <c r="T197" i="1"/>
  <c r="Z197" i="1" s="1"/>
  <c r="T198" i="1"/>
  <c r="Z198" i="1" s="1"/>
  <c r="T199" i="1"/>
  <c r="Z199" i="1" s="1"/>
  <c r="T200" i="1"/>
  <c r="Z200" i="1" s="1"/>
  <c r="T201" i="1"/>
  <c r="Z201" i="1" s="1"/>
  <c r="T202" i="1"/>
  <c r="Z202" i="1" s="1"/>
  <c r="T203" i="1"/>
  <c r="Z203" i="1" s="1"/>
  <c r="T204" i="1"/>
  <c r="Z204" i="1" s="1"/>
  <c r="T205" i="1"/>
  <c r="Z205" i="1" s="1"/>
  <c r="T206" i="1"/>
  <c r="Z206" i="1" s="1"/>
  <c r="T207" i="1"/>
  <c r="Z207" i="1" s="1"/>
  <c r="T208" i="1"/>
  <c r="Z208" i="1" s="1"/>
  <c r="T209" i="1"/>
  <c r="Z209" i="1" s="1"/>
  <c r="T210" i="1"/>
  <c r="Z210" i="1" s="1"/>
  <c r="T211" i="1"/>
  <c r="Z211" i="1" s="1"/>
  <c r="T212" i="1"/>
  <c r="Z212" i="1" s="1"/>
  <c r="T213" i="1"/>
  <c r="Z213" i="1" s="1"/>
  <c r="T214" i="1"/>
  <c r="Z214" i="1" s="1"/>
  <c r="T215" i="1"/>
  <c r="Z215" i="1" s="1"/>
  <c r="T216" i="1"/>
  <c r="Z216" i="1" s="1"/>
  <c r="T217" i="1"/>
  <c r="Z217" i="1" s="1"/>
  <c r="T218" i="1"/>
  <c r="Z218" i="1" s="1"/>
  <c r="T219" i="1"/>
  <c r="Z219" i="1" s="1"/>
  <c r="T220" i="1"/>
  <c r="Z220" i="1" s="1"/>
  <c r="T221" i="1"/>
  <c r="Z221" i="1" s="1"/>
  <c r="T222" i="1"/>
  <c r="Z222" i="1" s="1"/>
  <c r="T223" i="1"/>
  <c r="Z223" i="1" s="1"/>
  <c r="T224" i="1"/>
  <c r="Z224" i="1" s="1"/>
  <c r="T225" i="1"/>
  <c r="Z225" i="1" s="1"/>
  <c r="T226" i="1"/>
  <c r="Z226" i="1" s="1"/>
  <c r="T227" i="1"/>
  <c r="Z227" i="1" s="1"/>
  <c r="T228" i="1"/>
  <c r="Z228" i="1" s="1"/>
  <c r="T229" i="1"/>
  <c r="Z229" i="1" s="1"/>
  <c r="T230" i="1"/>
  <c r="Z230" i="1" s="1"/>
  <c r="T231" i="1"/>
  <c r="Z231" i="1" s="1"/>
  <c r="T232" i="1"/>
  <c r="Z232" i="1" s="1"/>
  <c r="T233" i="1"/>
  <c r="Z233" i="1" s="1"/>
  <c r="T234" i="1"/>
  <c r="Z234" i="1" s="1"/>
  <c r="T235" i="1"/>
  <c r="Z235" i="1" s="1"/>
  <c r="T236" i="1"/>
  <c r="Z236" i="1" s="1"/>
  <c r="T237" i="1"/>
  <c r="Z237" i="1" s="1"/>
  <c r="T238" i="1"/>
  <c r="Z238" i="1" s="1"/>
  <c r="T239" i="1"/>
  <c r="Z239" i="1" s="1"/>
  <c r="T240" i="1"/>
  <c r="Z240" i="1" s="1"/>
  <c r="T241" i="1"/>
  <c r="Z241" i="1" s="1"/>
  <c r="T242" i="1"/>
  <c r="Z242" i="1" s="1"/>
  <c r="T243" i="1"/>
  <c r="Z243" i="1" s="1"/>
  <c r="T244" i="1"/>
  <c r="Z244" i="1" s="1"/>
  <c r="T245" i="1"/>
  <c r="Z245" i="1" s="1"/>
  <c r="T246" i="1"/>
  <c r="Z246" i="1" s="1"/>
  <c r="T247" i="1"/>
  <c r="Z247" i="1" s="1"/>
  <c r="T248" i="1"/>
  <c r="Z248" i="1" s="1"/>
  <c r="T249" i="1"/>
  <c r="Z249" i="1" s="1"/>
  <c r="T250" i="1"/>
  <c r="Z250" i="1" s="1"/>
  <c r="T251" i="1"/>
  <c r="Z251" i="1" s="1"/>
  <c r="T252" i="1"/>
  <c r="Z252" i="1" s="1"/>
  <c r="T253" i="1"/>
  <c r="Z253" i="1" s="1"/>
  <c r="T254" i="1"/>
  <c r="Z254" i="1" s="1"/>
  <c r="T255" i="1"/>
  <c r="Z255" i="1" s="1"/>
  <c r="T256" i="1"/>
  <c r="Z256" i="1" s="1"/>
  <c r="T257" i="1"/>
  <c r="Z257" i="1" s="1"/>
  <c r="T258" i="1"/>
  <c r="Z258" i="1" s="1"/>
  <c r="T259" i="1"/>
  <c r="Z259" i="1" s="1"/>
  <c r="T260" i="1"/>
  <c r="Z260" i="1" s="1"/>
  <c r="T261" i="1"/>
  <c r="Z261" i="1" s="1"/>
  <c r="T262" i="1"/>
  <c r="Z262" i="1" s="1"/>
  <c r="T263" i="1"/>
  <c r="Z263" i="1" s="1"/>
  <c r="T264" i="1"/>
  <c r="Z264" i="1" s="1"/>
  <c r="T265" i="1"/>
  <c r="Z265" i="1" s="1"/>
  <c r="T266" i="1"/>
  <c r="Z266" i="1" s="1"/>
  <c r="T267" i="1"/>
  <c r="Z267" i="1" s="1"/>
  <c r="T268" i="1"/>
  <c r="Z268" i="1" s="1"/>
  <c r="T269" i="1"/>
  <c r="Z269" i="1" s="1"/>
  <c r="T270" i="1"/>
  <c r="Z270" i="1" s="1"/>
  <c r="T271" i="1"/>
  <c r="Z271" i="1" s="1"/>
  <c r="T272" i="1"/>
  <c r="Z272" i="1" s="1"/>
  <c r="T273" i="1"/>
  <c r="Z273" i="1" s="1"/>
  <c r="T274" i="1"/>
  <c r="Z274" i="1" s="1"/>
  <c r="T275" i="1"/>
  <c r="Z275" i="1" s="1"/>
  <c r="T276" i="1"/>
  <c r="Z276" i="1" s="1"/>
  <c r="T277" i="1"/>
  <c r="Z277" i="1" s="1"/>
  <c r="T278" i="1"/>
  <c r="Z278" i="1" s="1"/>
  <c r="T279" i="1"/>
  <c r="Z279" i="1" s="1"/>
  <c r="T280" i="1"/>
  <c r="Z280" i="1" s="1"/>
  <c r="T281" i="1"/>
  <c r="Z281" i="1" s="1"/>
  <c r="T282" i="1"/>
  <c r="Z282" i="1" s="1"/>
  <c r="T283" i="1"/>
  <c r="Z283" i="1" s="1"/>
  <c r="T284" i="1"/>
  <c r="Z284" i="1" s="1"/>
  <c r="T285" i="1"/>
  <c r="Z285" i="1" s="1"/>
  <c r="T286" i="1"/>
  <c r="Z286" i="1" s="1"/>
  <c r="T287" i="1"/>
  <c r="Z287" i="1" s="1"/>
  <c r="T288" i="1"/>
  <c r="Z288" i="1" s="1"/>
  <c r="T289" i="1"/>
  <c r="Z289" i="1" s="1"/>
  <c r="T290" i="1"/>
  <c r="Z290" i="1" s="1"/>
  <c r="T291" i="1"/>
  <c r="Z291" i="1" s="1"/>
  <c r="T292" i="1"/>
  <c r="Z292" i="1" s="1"/>
  <c r="T293" i="1"/>
  <c r="Z293" i="1" s="1"/>
  <c r="T294" i="1"/>
  <c r="Z294" i="1" s="1"/>
  <c r="T295" i="1"/>
  <c r="Z295" i="1" s="1"/>
  <c r="T296" i="1"/>
  <c r="Z296" i="1" s="1"/>
  <c r="T297" i="1"/>
  <c r="Z297" i="1" s="1"/>
  <c r="T298" i="1"/>
  <c r="Z298" i="1" s="1"/>
  <c r="T299" i="1"/>
  <c r="Z299" i="1" s="1"/>
  <c r="T300" i="1"/>
  <c r="Z300" i="1" s="1"/>
  <c r="T301" i="1"/>
  <c r="Z301" i="1" s="1"/>
  <c r="T302" i="1"/>
  <c r="Z302" i="1" s="1"/>
  <c r="T303" i="1"/>
  <c r="Z303" i="1" s="1"/>
  <c r="T304" i="1"/>
  <c r="Z304" i="1" s="1"/>
  <c r="T305" i="1"/>
  <c r="Z305" i="1" s="1"/>
  <c r="T306" i="1"/>
  <c r="Z306" i="1" s="1"/>
  <c r="T307" i="1"/>
  <c r="Z307" i="1" s="1"/>
  <c r="T308" i="1"/>
  <c r="Z308" i="1" s="1"/>
  <c r="T309" i="1"/>
  <c r="Z309" i="1" s="1"/>
  <c r="T310" i="1"/>
  <c r="Z310" i="1" s="1"/>
  <c r="T311" i="1"/>
  <c r="Z311" i="1" s="1"/>
  <c r="T312" i="1"/>
  <c r="Z312" i="1" s="1"/>
  <c r="T313" i="1"/>
  <c r="Z313" i="1" s="1"/>
  <c r="T314" i="1"/>
  <c r="Z314" i="1" s="1"/>
  <c r="T315" i="1"/>
  <c r="Z315" i="1" s="1"/>
  <c r="T316" i="1"/>
  <c r="Z316" i="1" s="1"/>
  <c r="T317" i="1"/>
  <c r="Z317" i="1" s="1"/>
  <c r="T318" i="1"/>
  <c r="Z318" i="1" s="1"/>
  <c r="T319" i="1"/>
  <c r="Z319" i="1" s="1"/>
  <c r="T320" i="1"/>
  <c r="Z320" i="1" s="1"/>
  <c r="T321" i="1"/>
  <c r="Z321" i="1" s="1"/>
  <c r="T322" i="1"/>
  <c r="Z322" i="1" s="1"/>
  <c r="T323" i="1"/>
  <c r="Z323" i="1" s="1"/>
  <c r="T324" i="1"/>
  <c r="Z324" i="1" s="1"/>
  <c r="T325" i="1"/>
  <c r="Z325" i="1" s="1"/>
  <c r="T326" i="1"/>
  <c r="Z326" i="1" s="1"/>
  <c r="T327" i="1"/>
  <c r="Z327" i="1" s="1"/>
  <c r="T328" i="1"/>
  <c r="Z328" i="1" s="1"/>
  <c r="T329" i="1"/>
  <c r="Z329" i="1" s="1"/>
  <c r="T330" i="1"/>
  <c r="Z330" i="1" s="1"/>
  <c r="T331" i="1"/>
  <c r="Z331" i="1" s="1"/>
  <c r="T332" i="1"/>
  <c r="Z332" i="1" s="1"/>
  <c r="T333" i="1"/>
  <c r="Z333" i="1" s="1"/>
  <c r="T334" i="1"/>
  <c r="Z334" i="1" s="1"/>
  <c r="T335" i="1"/>
  <c r="Z335" i="1" s="1"/>
  <c r="T336" i="1"/>
  <c r="Z336" i="1" s="1"/>
  <c r="T337" i="1"/>
  <c r="Z337" i="1" s="1"/>
  <c r="T338" i="1"/>
  <c r="Z338" i="1" s="1"/>
  <c r="T339" i="1"/>
  <c r="Z339" i="1" s="1"/>
  <c r="T340" i="1"/>
  <c r="Z340" i="1" s="1"/>
  <c r="T341" i="1"/>
  <c r="Z341" i="1" s="1"/>
  <c r="T342" i="1"/>
  <c r="Z342" i="1" s="1"/>
  <c r="T343" i="1"/>
  <c r="Z343" i="1" s="1"/>
  <c r="T344" i="1"/>
  <c r="Z344" i="1" s="1"/>
  <c r="T345" i="1"/>
  <c r="Z345" i="1" s="1"/>
  <c r="T346" i="1"/>
  <c r="Z346" i="1" s="1"/>
  <c r="T347" i="1"/>
  <c r="Z347" i="1" s="1"/>
  <c r="T348" i="1"/>
  <c r="Z348" i="1" s="1"/>
  <c r="T349" i="1"/>
  <c r="Z349" i="1" s="1"/>
  <c r="T350" i="1"/>
  <c r="Z350" i="1" s="1"/>
  <c r="T351" i="1"/>
  <c r="Z351" i="1" s="1"/>
  <c r="T352" i="1"/>
  <c r="Z352" i="1" s="1"/>
  <c r="T353" i="1"/>
  <c r="Z353" i="1" s="1"/>
  <c r="T354" i="1"/>
  <c r="Z354" i="1" s="1"/>
  <c r="T355" i="1"/>
  <c r="Z355" i="1" s="1"/>
  <c r="T356" i="1"/>
  <c r="Z356" i="1" s="1"/>
  <c r="T357" i="1"/>
  <c r="Z357" i="1" s="1"/>
  <c r="T358" i="1"/>
  <c r="Z358" i="1" s="1"/>
  <c r="T359" i="1"/>
  <c r="Z359" i="1" s="1"/>
  <c r="T360" i="1"/>
  <c r="Z360" i="1" s="1"/>
  <c r="T361" i="1"/>
  <c r="Z361" i="1" s="1"/>
  <c r="T362" i="1"/>
  <c r="Z362" i="1" s="1"/>
  <c r="T363" i="1"/>
  <c r="Z363" i="1" s="1"/>
  <c r="T364" i="1"/>
  <c r="Z364" i="1" s="1"/>
  <c r="T365" i="1"/>
  <c r="Z365" i="1" s="1"/>
  <c r="T366" i="1"/>
  <c r="Z366" i="1" s="1"/>
  <c r="T367" i="1"/>
  <c r="Z367" i="1" s="1"/>
  <c r="T368" i="1"/>
  <c r="Z368" i="1" s="1"/>
  <c r="T369" i="1"/>
  <c r="Z369" i="1" s="1"/>
  <c r="T370" i="1"/>
  <c r="Z370" i="1" s="1"/>
  <c r="T371" i="1"/>
  <c r="Z371" i="1" s="1"/>
  <c r="T372" i="1"/>
  <c r="Z372" i="1" s="1"/>
  <c r="T373" i="1"/>
  <c r="Z373" i="1" s="1"/>
  <c r="T374" i="1"/>
  <c r="Z374" i="1" s="1"/>
  <c r="T375" i="1"/>
  <c r="Z375" i="1" s="1"/>
  <c r="T376" i="1"/>
  <c r="Z376" i="1" s="1"/>
  <c r="T377" i="1"/>
  <c r="Z377" i="1" s="1"/>
  <c r="T378" i="1"/>
  <c r="Z378" i="1" s="1"/>
  <c r="T379" i="1"/>
  <c r="Z379" i="1" s="1"/>
  <c r="T380" i="1"/>
  <c r="Z380" i="1" s="1"/>
  <c r="T381" i="1"/>
  <c r="Z381" i="1" s="1"/>
  <c r="T382" i="1"/>
  <c r="Z382" i="1" s="1"/>
  <c r="T383" i="1"/>
  <c r="Z383" i="1" s="1"/>
  <c r="T384" i="1"/>
  <c r="Z384" i="1" s="1"/>
  <c r="T385" i="1"/>
  <c r="Z385" i="1" s="1"/>
  <c r="T386" i="1"/>
  <c r="Z386" i="1" s="1"/>
  <c r="T387" i="1"/>
  <c r="Z387" i="1" s="1"/>
  <c r="T388" i="1"/>
  <c r="Z388" i="1" s="1"/>
  <c r="T389" i="1"/>
  <c r="Z389" i="1" s="1"/>
  <c r="T390" i="1"/>
  <c r="Z390" i="1" s="1"/>
  <c r="T391" i="1"/>
  <c r="Z391" i="1" s="1"/>
  <c r="T392" i="1"/>
  <c r="Z392" i="1" s="1"/>
  <c r="T393" i="1"/>
  <c r="Z393" i="1" s="1"/>
  <c r="T394" i="1"/>
  <c r="Z394" i="1" s="1"/>
  <c r="T395" i="1"/>
  <c r="Z395" i="1" s="1"/>
  <c r="T396" i="1"/>
  <c r="Z396" i="1" s="1"/>
  <c r="T397" i="1"/>
  <c r="Z397" i="1" s="1"/>
  <c r="T398" i="1"/>
  <c r="Z398" i="1" s="1"/>
  <c r="T399" i="1"/>
  <c r="Z399" i="1" s="1"/>
  <c r="T400" i="1"/>
  <c r="Z400" i="1" s="1"/>
  <c r="T401" i="1"/>
  <c r="Z401" i="1" s="1"/>
  <c r="T402" i="1"/>
  <c r="Z402" i="1" s="1"/>
  <c r="T403" i="1"/>
  <c r="Z403" i="1" s="1"/>
  <c r="T404" i="1"/>
  <c r="Z404" i="1" s="1"/>
  <c r="T405" i="1"/>
  <c r="Z405" i="1" s="1"/>
  <c r="T406" i="1"/>
  <c r="Z406" i="1" s="1"/>
  <c r="T407" i="1"/>
  <c r="Z407" i="1" s="1"/>
  <c r="T408" i="1"/>
  <c r="Z408" i="1" s="1"/>
  <c r="T409" i="1"/>
  <c r="Z409" i="1" s="1"/>
  <c r="T410" i="1"/>
  <c r="Z410" i="1" s="1"/>
  <c r="T411" i="1"/>
  <c r="Z411" i="1" s="1"/>
  <c r="T412" i="1"/>
  <c r="Z412" i="1" s="1"/>
  <c r="T413" i="1"/>
  <c r="Z413" i="1" s="1"/>
  <c r="T414" i="1"/>
  <c r="Z414" i="1" s="1"/>
  <c r="T415" i="1"/>
  <c r="Z415" i="1" s="1"/>
  <c r="T416" i="1"/>
  <c r="Z416" i="1" s="1"/>
  <c r="T417" i="1"/>
  <c r="Z417" i="1" s="1"/>
  <c r="T418" i="1"/>
  <c r="Z418" i="1" s="1"/>
  <c r="T419" i="1"/>
  <c r="Z419" i="1" s="1"/>
  <c r="T420" i="1"/>
  <c r="Z420" i="1" s="1"/>
  <c r="T421" i="1"/>
  <c r="Z421" i="1" s="1"/>
  <c r="T422" i="1"/>
  <c r="Z422" i="1" s="1"/>
  <c r="T423" i="1"/>
  <c r="Z423" i="1" s="1"/>
  <c r="T424" i="1"/>
  <c r="Z424" i="1" s="1"/>
  <c r="T425" i="1"/>
  <c r="Z425" i="1" s="1"/>
  <c r="T426" i="1"/>
  <c r="Z426" i="1" s="1"/>
  <c r="T427" i="1"/>
  <c r="Z427" i="1" s="1"/>
  <c r="T428" i="1"/>
  <c r="Z428" i="1" s="1"/>
  <c r="T429" i="1"/>
  <c r="Z429" i="1" s="1"/>
  <c r="T430" i="1"/>
  <c r="Z430" i="1" s="1"/>
  <c r="T431" i="1"/>
  <c r="Z431" i="1" s="1"/>
  <c r="T432" i="1"/>
  <c r="Z432" i="1" s="1"/>
  <c r="T433" i="1"/>
  <c r="Z433" i="1" s="1"/>
  <c r="T434" i="1"/>
  <c r="Z434" i="1" s="1"/>
  <c r="T435" i="1"/>
  <c r="Z435" i="1" s="1"/>
  <c r="T436" i="1"/>
  <c r="Z436" i="1" s="1"/>
  <c r="T437" i="1"/>
  <c r="Z437" i="1" s="1"/>
  <c r="T438" i="1"/>
  <c r="Z438" i="1" s="1"/>
  <c r="T439" i="1"/>
  <c r="Z439" i="1" s="1"/>
  <c r="T440" i="1"/>
  <c r="Z440" i="1" s="1"/>
  <c r="T441" i="1"/>
  <c r="Z441" i="1" s="1"/>
  <c r="T442" i="1"/>
  <c r="Z442" i="1" s="1"/>
  <c r="T443" i="1"/>
  <c r="Z443" i="1" s="1"/>
  <c r="T444" i="1"/>
  <c r="Z444" i="1" s="1"/>
  <c r="T445" i="1"/>
  <c r="Z445" i="1" s="1"/>
  <c r="T446" i="1"/>
  <c r="Z446" i="1" s="1"/>
  <c r="T447" i="1"/>
  <c r="Z447" i="1" s="1"/>
  <c r="T448" i="1"/>
  <c r="Z448" i="1" s="1"/>
  <c r="T449" i="1"/>
  <c r="Z449" i="1" s="1"/>
  <c r="T450" i="1"/>
  <c r="Z450" i="1" s="1"/>
  <c r="T451" i="1"/>
  <c r="Z451" i="1" s="1"/>
  <c r="T452" i="1"/>
  <c r="Z452" i="1" s="1"/>
  <c r="T453" i="1"/>
  <c r="Z453" i="1" s="1"/>
  <c r="T454" i="1"/>
  <c r="Z454" i="1" s="1"/>
  <c r="T455" i="1"/>
  <c r="Z455" i="1" s="1"/>
  <c r="T456" i="1"/>
  <c r="Z456" i="1" s="1"/>
  <c r="T457" i="1"/>
  <c r="Z457" i="1" s="1"/>
  <c r="T458" i="1"/>
  <c r="Z458" i="1" s="1"/>
  <c r="T459" i="1"/>
  <c r="Z459" i="1" s="1"/>
  <c r="T460" i="1"/>
  <c r="Z460" i="1" s="1"/>
  <c r="T461" i="1"/>
  <c r="Z461" i="1" s="1"/>
  <c r="T462" i="1"/>
  <c r="Z462" i="1" s="1"/>
  <c r="T463" i="1"/>
  <c r="Z463" i="1" s="1"/>
  <c r="T464" i="1"/>
  <c r="Z464" i="1" s="1"/>
  <c r="T465" i="1"/>
  <c r="Z465" i="1" s="1"/>
  <c r="T466" i="1"/>
  <c r="Z466" i="1" s="1"/>
  <c r="T467" i="1"/>
  <c r="Z467" i="1" s="1"/>
  <c r="T468" i="1"/>
  <c r="Z468" i="1" s="1"/>
  <c r="T469" i="1"/>
  <c r="Z469" i="1" s="1"/>
  <c r="T470" i="1"/>
  <c r="Z470" i="1" s="1"/>
  <c r="T471" i="1"/>
  <c r="Z471" i="1" s="1"/>
  <c r="T472" i="1"/>
  <c r="Z472" i="1" s="1"/>
  <c r="T473" i="1"/>
  <c r="Z473" i="1" s="1"/>
  <c r="T474" i="1"/>
  <c r="Z474" i="1" s="1"/>
  <c r="T475" i="1"/>
  <c r="Z475" i="1" s="1"/>
  <c r="T476" i="1"/>
  <c r="Z476" i="1" s="1"/>
  <c r="T477" i="1"/>
  <c r="Z477" i="1" s="1"/>
  <c r="T478" i="1"/>
  <c r="Z478" i="1" s="1"/>
  <c r="T479" i="1"/>
  <c r="Z479" i="1" s="1"/>
  <c r="T480" i="1"/>
  <c r="Z480" i="1" s="1"/>
  <c r="T481" i="1"/>
  <c r="Z481" i="1" s="1"/>
  <c r="T482" i="1"/>
  <c r="Z482" i="1" s="1"/>
  <c r="T483" i="1"/>
  <c r="Z483" i="1" s="1"/>
  <c r="T484" i="1"/>
  <c r="Z484" i="1" s="1"/>
  <c r="T485" i="1"/>
  <c r="Z485" i="1" s="1"/>
  <c r="T486" i="1"/>
  <c r="Z486" i="1" s="1"/>
  <c r="T487" i="1"/>
  <c r="Z487" i="1" s="1"/>
  <c r="T488" i="1"/>
  <c r="Z488" i="1" s="1"/>
  <c r="T489" i="1"/>
  <c r="Z489" i="1" s="1"/>
  <c r="T490" i="1"/>
  <c r="Z490" i="1" s="1"/>
  <c r="T491" i="1"/>
  <c r="Z491" i="1" s="1"/>
  <c r="T492" i="1"/>
  <c r="Z492" i="1" s="1"/>
  <c r="T493" i="1"/>
  <c r="Z493" i="1" s="1"/>
  <c r="T494" i="1"/>
  <c r="Z494" i="1" s="1"/>
  <c r="T495" i="1"/>
  <c r="Z495" i="1" s="1"/>
  <c r="T496" i="1"/>
  <c r="Z496" i="1" s="1"/>
  <c r="T497" i="1"/>
  <c r="Z497" i="1" s="1"/>
  <c r="T498" i="1"/>
  <c r="Z498" i="1" s="1"/>
  <c r="T499" i="1"/>
  <c r="Z499" i="1" s="1"/>
  <c r="T500" i="1"/>
  <c r="Z500" i="1" s="1"/>
  <c r="T501" i="1"/>
  <c r="Z501" i="1" s="1"/>
  <c r="W501" i="1" l="1"/>
  <c r="X501" i="1" s="1"/>
  <c r="AB501" i="1"/>
  <c r="W500" i="1"/>
  <c r="X500" i="1" s="1"/>
  <c r="AB500" i="1"/>
  <c r="W499" i="1"/>
  <c r="X499" i="1" s="1"/>
  <c r="AB499" i="1"/>
  <c r="W498" i="1"/>
  <c r="X498" i="1" s="1"/>
  <c r="AB498" i="1"/>
  <c r="W497" i="1"/>
  <c r="X497" i="1" s="1"/>
  <c r="AB497" i="1"/>
  <c r="W496" i="1"/>
  <c r="X496" i="1" s="1"/>
  <c r="AB496" i="1"/>
  <c r="W495" i="1"/>
  <c r="X495" i="1" s="1"/>
  <c r="AB495" i="1"/>
  <c r="W494" i="1"/>
  <c r="X494" i="1" s="1"/>
  <c r="AB494" i="1"/>
  <c r="W493" i="1"/>
  <c r="X493" i="1" s="1"/>
  <c r="AB493" i="1"/>
  <c r="W492" i="1"/>
  <c r="X492" i="1" s="1"/>
  <c r="AB492" i="1"/>
  <c r="W491" i="1"/>
  <c r="X491" i="1" s="1"/>
  <c r="AB491" i="1"/>
  <c r="W490" i="1"/>
  <c r="X490" i="1" s="1"/>
  <c r="AB490" i="1"/>
  <c r="W489" i="1"/>
  <c r="X489" i="1" s="1"/>
  <c r="AB489" i="1"/>
  <c r="W488" i="1"/>
  <c r="X488" i="1" s="1"/>
  <c r="AB488" i="1"/>
  <c r="W487" i="1"/>
  <c r="X487" i="1" s="1"/>
  <c r="AB487" i="1"/>
  <c r="W486" i="1"/>
  <c r="X486" i="1" s="1"/>
  <c r="AB486" i="1"/>
  <c r="W485" i="1"/>
  <c r="X485" i="1" s="1"/>
  <c r="AB485" i="1"/>
  <c r="W484" i="1"/>
  <c r="X484" i="1" s="1"/>
  <c r="AB484" i="1"/>
  <c r="W483" i="1"/>
  <c r="X483" i="1" s="1"/>
  <c r="AB483" i="1"/>
  <c r="W482" i="1"/>
  <c r="X482" i="1" s="1"/>
  <c r="AB482" i="1"/>
  <c r="W481" i="1"/>
  <c r="X481" i="1" s="1"/>
  <c r="AB481" i="1"/>
  <c r="W480" i="1"/>
  <c r="X480" i="1" s="1"/>
  <c r="AB480" i="1"/>
  <c r="W479" i="1"/>
  <c r="X479" i="1" s="1"/>
  <c r="AB479" i="1"/>
  <c r="W478" i="1"/>
  <c r="X478" i="1" s="1"/>
  <c r="AB478" i="1"/>
  <c r="W477" i="1"/>
  <c r="X477" i="1" s="1"/>
  <c r="AB477" i="1"/>
  <c r="W476" i="1"/>
  <c r="X476" i="1" s="1"/>
  <c r="AB476" i="1"/>
  <c r="W475" i="1"/>
  <c r="X475" i="1" s="1"/>
  <c r="AB475" i="1"/>
  <c r="W474" i="1"/>
  <c r="X474" i="1" s="1"/>
  <c r="AB474" i="1"/>
  <c r="W473" i="1"/>
  <c r="X473" i="1" s="1"/>
  <c r="AB473" i="1"/>
  <c r="W472" i="1"/>
  <c r="X472" i="1" s="1"/>
  <c r="AB472" i="1"/>
  <c r="W471" i="1"/>
  <c r="X471" i="1" s="1"/>
  <c r="AB471" i="1"/>
  <c r="W470" i="1"/>
  <c r="X470" i="1" s="1"/>
  <c r="AB470" i="1"/>
  <c r="W469" i="1"/>
  <c r="X469" i="1" s="1"/>
  <c r="AB469" i="1"/>
  <c r="W468" i="1"/>
  <c r="X468" i="1" s="1"/>
  <c r="AB468" i="1"/>
  <c r="W467" i="1"/>
  <c r="X467" i="1" s="1"/>
  <c r="AB467" i="1"/>
  <c r="W466" i="1"/>
  <c r="X466" i="1" s="1"/>
  <c r="AB466" i="1"/>
  <c r="W465" i="1"/>
  <c r="X465" i="1" s="1"/>
  <c r="AB465" i="1"/>
  <c r="W464" i="1"/>
  <c r="X464" i="1" s="1"/>
  <c r="AB464" i="1"/>
  <c r="W463" i="1"/>
  <c r="X463" i="1" s="1"/>
  <c r="AB463" i="1"/>
  <c r="W462" i="1"/>
  <c r="X462" i="1" s="1"/>
  <c r="AB462" i="1"/>
  <c r="W461" i="1"/>
  <c r="X461" i="1" s="1"/>
  <c r="AB461" i="1"/>
  <c r="W460" i="1"/>
  <c r="X460" i="1" s="1"/>
  <c r="AB460" i="1"/>
  <c r="W459" i="1"/>
  <c r="X459" i="1" s="1"/>
  <c r="AB459" i="1"/>
  <c r="W458" i="1"/>
  <c r="X458" i="1" s="1"/>
  <c r="AB458" i="1"/>
  <c r="W457" i="1"/>
  <c r="X457" i="1" s="1"/>
  <c r="AB457" i="1"/>
  <c r="W456" i="1"/>
  <c r="X456" i="1" s="1"/>
  <c r="AB456" i="1"/>
  <c r="W455" i="1"/>
  <c r="X455" i="1" s="1"/>
  <c r="AB455" i="1"/>
  <c r="W454" i="1"/>
  <c r="X454" i="1" s="1"/>
  <c r="AB454" i="1"/>
  <c r="W453" i="1"/>
  <c r="X453" i="1" s="1"/>
  <c r="AB453" i="1"/>
  <c r="W452" i="1"/>
  <c r="X452" i="1" s="1"/>
  <c r="AB452" i="1"/>
  <c r="W451" i="1"/>
  <c r="X451" i="1" s="1"/>
  <c r="AB451" i="1"/>
  <c r="W450" i="1"/>
  <c r="X450" i="1" s="1"/>
  <c r="AB450" i="1"/>
  <c r="W449" i="1"/>
  <c r="X449" i="1" s="1"/>
  <c r="AB449" i="1"/>
  <c r="W448" i="1"/>
  <c r="X448" i="1" s="1"/>
  <c r="AB448" i="1"/>
  <c r="W447" i="1"/>
  <c r="X447" i="1" s="1"/>
  <c r="AB447" i="1"/>
  <c r="W446" i="1"/>
  <c r="X446" i="1" s="1"/>
  <c r="AB446" i="1"/>
  <c r="W445" i="1"/>
  <c r="X445" i="1" s="1"/>
  <c r="AB445" i="1"/>
  <c r="W444" i="1"/>
  <c r="X444" i="1" s="1"/>
  <c r="AB444" i="1"/>
  <c r="W443" i="1"/>
  <c r="X443" i="1" s="1"/>
  <c r="AB443" i="1"/>
  <c r="W442" i="1"/>
  <c r="X442" i="1" s="1"/>
  <c r="AB442" i="1"/>
  <c r="W441" i="1"/>
  <c r="X441" i="1" s="1"/>
  <c r="AB441" i="1"/>
  <c r="W440" i="1"/>
  <c r="X440" i="1" s="1"/>
  <c r="AB440" i="1"/>
  <c r="W439" i="1"/>
  <c r="X439" i="1" s="1"/>
  <c r="AB439" i="1"/>
  <c r="W438" i="1"/>
  <c r="X438" i="1" s="1"/>
  <c r="AB438" i="1"/>
  <c r="W437" i="1"/>
  <c r="X437" i="1" s="1"/>
  <c r="AB437" i="1"/>
  <c r="W436" i="1"/>
  <c r="X436" i="1" s="1"/>
  <c r="AB436" i="1"/>
  <c r="W435" i="1"/>
  <c r="X435" i="1" s="1"/>
  <c r="AB435" i="1"/>
  <c r="W434" i="1"/>
  <c r="X434" i="1" s="1"/>
  <c r="AB434" i="1"/>
  <c r="W433" i="1"/>
  <c r="X433" i="1" s="1"/>
  <c r="AB433" i="1"/>
  <c r="W432" i="1"/>
  <c r="X432" i="1" s="1"/>
  <c r="AB432" i="1"/>
  <c r="W431" i="1"/>
  <c r="X431" i="1" s="1"/>
  <c r="AB431" i="1"/>
  <c r="W430" i="1"/>
  <c r="X430" i="1" s="1"/>
  <c r="AB430" i="1"/>
  <c r="W429" i="1"/>
  <c r="X429" i="1" s="1"/>
  <c r="AB429" i="1"/>
  <c r="W428" i="1"/>
  <c r="X428" i="1" s="1"/>
  <c r="AB428" i="1"/>
  <c r="W427" i="1"/>
  <c r="X427" i="1" s="1"/>
  <c r="AB427" i="1"/>
  <c r="W426" i="1"/>
  <c r="X426" i="1" s="1"/>
  <c r="AB426" i="1"/>
  <c r="W425" i="1"/>
  <c r="X425" i="1" s="1"/>
  <c r="AB425" i="1"/>
  <c r="W424" i="1"/>
  <c r="X424" i="1" s="1"/>
  <c r="AB424" i="1"/>
  <c r="W423" i="1"/>
  <c r="X423" i="1" s="1"/>
  <c r="AB423" i="1"/>
  <c r="W422" i="1"/>
  <c r="X422" i="1" s="1"/>
  <c r="AB422" i="1"/>
  <c r="W421" i="1"/>
  <c r="X421" i="1" s="1"/>
  <c r="AB421" i="1"/>
  <c r="W420" i="1"/>
  <c r="X420" i="1" s="1"/>
  <c r="AB420" i="1"/>
  <c r="W419" i="1"/>
  <c r="X419" i="1" s="1"/>
  <c r="AB419" i="1"/>
  <c r="W418" i="1"/>
  <c r="X418" i="1" s="1"/>
  <c r="AB418" i="1"/>
  <c r="W417" i="1"/>
  <c r="X417" i="1" s="1"/>
  <c r="AB417" i="1"/>
  <c r="W416" i="1"/>
  <c r="X416" i="1" s="1"/>
  <c r="AB416" i="1"/>
  <c r="W415" i="1"/>
  <c r="X415" i="1" s="1"/>
  <c r="AB415" i="1"/>
  <c r="W414" i="1"/>
  <c r="X414" i="1" s="1"/>
  <c r="AB414" i="1"/>
  <c r="W413" i="1"/>
  <c r="X413" i="1" s="1"/>
  <c r="AB413" i="1"/>
  <c r="W412" i="1"/>
  <c r="X412" i="1" s="1"/>
  <c r="AB412" i="1"/>
  <c r="W411" i="1"/>
  <c r="X411" i="1" s="1"/>
  <c r="AB411" i="1"/>
  <c r="W410" i="1"/>
  <c r="X410" i="1" s="1"/>
  <c r="AB410" i="1"/>
  <c r="W409" i="1"/>
  <c r="X409" i="1" s="1"/>
  <c r="AB409" i="1"/>
  <c r="W408" i="1"/>
  <c r="X408" i="1" s="1"/>
  <c r="AB408" i="1"/>
  <c r="W407" i="1"/>
  <c r="X407" i="1" s="1"/>
  <c r="AB407" i="1"/>
  <c r="W406" i="1"/>
  <c r="X406" i="1" s="1"/>
  <c r="AB406" i="1"/>
  <c r="W405" i="1"/>
  <c r="X405" i="1" s="1"/>
  <c r="AB405" i="1"/>
  <c r="W404" i="1"/>
  <c r="X404" i="1" s="1"/>
  <c r="AB404" i="1"/>
  <c r="W403" i="1"/>
  <c r="X403" i="1" s="1"/>
  <c r="AB403" i="1"/>
  <c r="W402" i="1"/>
  <c r="X402" i="1" s="1"/>
  <c r="AB402" i="1"/>
  <c r="W401" i="1"/>
  <c r="X401" i="1" s="1"/>
  <c r="AB401" i="1"/>
  <c r="W400" i="1"/>
  <c r="X400" i="1" s="1"/>
  <c r="AB400" i="1"/>
  <c r="W399" i="1"/>
  <c r="X399" i="1" s="1"/>
  <c r="AB399" i="1"/>
  <c r="W398" i="1"/>
  <c r="X398" i="1" s="1"/>
  <c r="AB398" i="1"/>
  <c r="W397" i="1"/>
  <c r="X397" i="1" s="1"/>
  <c r="AB397" i="1"/>
  <c r="W396" i="1"/>
  <c r="X396" i="1" s="1"/>
  <c r="AB396" i="1"/>
  <c r="W395" i="1"/>
  <c r="X395" i="1" s="1"/>
  <c r="AB395" i="1"/>
  <c r="W394" i="1"/>
  <c r="X394" i="1" s="1"/>
  <c r="AB394" i="1"/>
  <c r="W393" i="1"/>
  <c r="X393" i="1" s="1"/>
  <c r="AB393" i="1"/>
  <c r="W392" i="1"/>
  <c r="X392" i="1" s="1"/>
  <c r="AB392" i="1"/>
  <c r="W391" i="1"/>
  <c r="X391" i="1" s="1"/>
  <c r="AB391" i="1"/>
  <c r="W390" i="1"/>
  <c r="X390" i="1" s="1"/>
  <c r="AB390" i="1"/>
  <c r="W389" i="1"/>
  <c r="X389" i="1" s="1"/>
  <c r="AB389" i="1"/>
  <c r="W388" i="1"/>
  <c r="X388" i="1" s="1"/>
  <c r="AB388" i="1"/>
  <c r="W387" i="1"/>
  <c r="X387" i="1" s="1"/>
  <c r="AB387" i="1"/>
  <c r="W386" i="1"/>
  <c r="X386" i="1" s="1"/>
  <c r="AB386" i="1"/>
  <c r="W385" i="1"/>
  <c r="X385" i="1" s="1"/>
  <c r="AB385" i="1"/>
  <c r="W384" i="1"/>
  <c r="X384" i="1" s="1"/>
  <c r="AB384" i="1"/>
  <c r="W383" i="1"/>
  <c r="X383" i="1" s="1"/>
  <c r="AB383" i="1"/>
  <c r="W382" i="1"/>
  <c r="X382" i="1" s="1"/>
  <c r="AB382" i="1"/>
  <c r="W381" i="1"/>
  <c r="X381" i="1" s="1"/>
  <c r="AB381" i="1"/>
  <c r="W380" i="1"/>
  <c r="X380" i="1" s="1"/>
  <c r="AB380" i="1"/>
  <c r="W379" i="1"/>
  <c r="X379" i="1" s="1"/>
  <c r="AB379" i="1"/>
  <c r="W378" i="1"/>
  <c r="X378" i="1" s="1"/>
  <c r="AB378" i="1"/>
  <c r="W377" i="1"/>
  <c r="X377" i="1" s="1"/>
  <c r="AB377" i="1"/>
  <c r="W376" i="1"/>
  <c r="X376" i="1" s="1"/>
  <c r="AB376" i="1"/>
  <c r="W375" i="1"/>
  <c r="X375" i="1" s="1"/>
  <c r="AB375" i="1"/>
  <c r="W374" i="1"/>
  <c r="X374" i="1" s="1"/>
  <c r="AB374" i="1"/>
  <c r="W373" i="1"/>
  <c r="X373" i="1" s="1"/>
  <c r="AB373" i="1"/>
  <c r="W372" i="1"/>
  <c r="X372" i="1" s="1"/>
  <c r="AB372" i="1"/>
  <c r="W371" i="1"/>
  <c r="X371" i="1" s="1"/>
  <c r="AB371" i="1"/>
  <c r="W370" i="1"/>
  <c r="X370" i="1" s="1"/>
  <c r="AB370" i="1"/>
  <c r="W369" i="1"/>
  <c r="X369" i="1" s="1"/>
  <c r="AB369" i="1"/>
  <c r="W368" i="1"/>
  <c r="X368" i="1" s="1"/>
  <c r="AB368" i="1"/>
  <c r="W367" i="1"/>
  <c r="X367" i="1" s="1"/>
  <c r="AB367" i="1"/>
  <c r="W366" i="1"/>
  <c r="X366" i="1" s="1"/>
  <c r="AB366" i="1"/>
  <c r="W365" i="1"/>
  <c r="X365" i="1" s="1"/>
  <c r="AB365" i="1"/>
  <c r="W364" i="1"/>
  <c r="X364" i="1" s="1"/>
  <c r="AB364" i="1"/>
  <c r="W363" i="1"/>
  <c r="X363" i="1" s="1"/>
  <c r="AB363" i="1"/>
  <c r="W362" i="1"/>
  <c r="X362" i="1" s="1"/>
  <c r="AB362" i="1"/>
  <c r="W361" i="1"/>
  <c r="X361" i="1" s="1"/>
  <c r="AB361" i="1"/>
  <c r="W360" i="1"/>
  <c r="X360" i="1" s="1"/>
  <c r="AB360" i="1"/>
  <c r="W359" i="1"/>
  <c r="X359" i="1" s="1"/>
  <c r="AB359" i="1"/>
  <c r="W358" i="1"/>
  <c r="X358" i="1" s="1"/>
  <c r="AB358" i="1"/>
  <c r="W357" i="1"/>
  <c r="X357" i="1" s="1"/>
  <c r="AB357" i="1"/>
  <c r="W356" i="1"/>
  <c r="X356" i="1" s="1"/>
  <c r="AB356" i="1"/>
  <c r="W355" i="1"/>
  <c r="X355" i="1" s="1"/>
  <c r="AB355" i="1"/>
  <c r="W354" i="1"/>
  <c r="X354" i="1" s="1"/>
  <c r="AB354" i="1"/>
  <c r="W353" i="1"/>
  <c r="X353" i="1" s="1"/>
  <c r="AB353" i="1"/>
  <c r="W352" i="1"/>
  <c r="X352" i="1" s="1"/>
  <c r="AB352" i="1"/>
  <c r="W351" i="1"/>
  <c r="X351" i="1" s="1"/>
  <c r="AB351" i="1"/>
  <c r="W350" i="1"/>
  <c r="X350" i="1" s="1"/>
  <c r="AB350" i="1"/>
  <c r="W349" i="1"/>
  <c r="X349" i="1" s="1"/>
  <c r="AB349" i="1"/>
  <c r="W348" i="1"/>
  <c r="X348" i="1" s="1"/>
  <c r="AB348" i="1"/>
  <c r="W347" i="1"/>
  <c r="X347" i="1" s="1"/>
  <c r="AB347" i="1"/>
  <c r="W346" i="1"/>
  <c r="X346" i="1" s="1"/>
  <c r="AB346" i="1"/>
  <c r="W345" i="1"/>
  <c r="X345" i="1" s="1"/>
  <c r="AB345" i="1"/>
  <c r="W344" i="1"/>
  <c r="X344" i="1" s="1"/>
  <c r="AB344" i="1"/>
  <c r="W343" i="1"/>
  <c r="X343" i="1" s="1"/>
  <c r="AB343" i="1"/>
  <c r="W342" i="1"/>
  <c r="X342" i="1" s="1"/>
  <c r="AB342" i="1"/>
  <c r="W341" i="1"/>
  <c r="X341" i="1" s="1"/>
  <c r="AB341" i="1"/>
  <c r="W340" i="1"/>
  <c r="X340" i="1" s="1"/>
  <c r="AB340" i="1"/>
  <c r="W339" i="1"/>
  <c r="X339" i="1" s="1"/>
  <c r="AB339" i="1"/>
  <c r="W338" i="1"/>
  <c r="X338" i="1" s="1"/>
  <c r="AB338" i="1"/>
  <c r="W337" i="1"/>
  <c r="X337" i="1" s="1"/>
  <c r="AB337" i="1"/>
  <c r="W336" i="1"/>
  <c r="X336" i="1" s="1"/>
  <c r="AB336" i="1"/>
  <c r="W335" i="1"/>
  <c r="X335" i="1" s="1"/>
  <c r="AB335" i="1"/>
  <c r="W334" i="1"/>
  <c r="X334" i="1" s="1"/>
  <c r="AB334" i="1"/>
  <c r="W333" i="1"/>
  <c r="X333" i="1" s="1"/>
  <c r="AB333" i="1"/>
  <c r="W332" i="1"/>
  <c r="X332" i="1" s="1"/>
  <c r="AB332" i="1"/>
  <c r="W331" i="1"/>
  <c r="X331" i="1" s="1"/>
  <c r="AB331" i="1"/>
  <c r="W330" i="1"/>
  <c r="X330" i="1" s="1"/>
  <c r="AB330" i="1"/>
  <c r="W329" i="1"/>
  <c r="X329" i="1" s="1"/>
  <c r="AB329" i="1"/>
  <c r="W328" i="1"/>
  <c r="X328" i="1" s="1"/>
  <c r="AB328" i="1"/>
  <c r="W327" i="1"/>
  <c r="X327" i="1" s="1"/>
  <c r="AB327" i="1"/>
  <c r="W326" i="1"/>
  <c r="X326" i="1" s="1"/>
  <c r="AB326" i="1"/>
  <c r="W325" i="1"/>
  <c r="X325" i="1" s="1"/>
  <c r="AB325" i="1"/>
  <c r="W324" i="1"/>
  <c r="X324" i="1" s="1"/>
  <c r="AB324" i="1"/>
  <c r="W323" i="1"/>
  <c r="X323" i="1" s="1"/>
  <c r="AB323" i="1"/>
  <c r="W322" i="1"/>
  <c r="X322" i="1" s="1"/>
  <c r="AB322" i="1"/>
  <c r="W321" i="1"/>
  <c r="X321" i="1" s="1"/>
  <c r="AB321" i="1"/>
  <c r="W320" i="1"/>
  <c r="X320" i="1" s="1"/>
  <c r="AB320" i="1"/>
  <c r="W319" i="1"/>
  <c r="X319" i="1" s="1"/>
  <c r="AB319" i="1"/>
  <c r="W318" i="1"/>
  <c r="X318" i="1" s="1"/>
  <c r="AB318" i="1"/>
  <c r="W317" i="1"/>
  <c r="X317" i="1" s="1"/>
  <c r="AB317" i="1"/>
  <c r="W316" i="1"/>
  <c r="X316" i="1" s="1"/>
  <c r="AB316" i="1"/>
  <c r="W315" i="1"/>
  <c r="X315" i="1" s="1"/>
  <c r="AB315" i="1"/>
  <c r="W314" i="1"/>
  <c r="X314" i="1" s="1"/>
  <c r="AB314" i="1"/>
  <c r="W313" i="1"/>
  <c r="X313" i="1" s="1"/>
  <c r="AB313" i="1"/>
  <c r="W312" i="1"/>
  <c r="X312" i="1" s="1"/>
  <c r="AB312" i="1"/>
  <c r="W311" i="1"/>
  <c r="X311" i="1" s="1"/>
  <c r="AB311" i="1"/>
  <c r="W310" i="1"/>
  <c r="X310" i="1" s="1"/>
  <c r="AB310" i="1"/>
  <c r="W309" i="1"/>
  <c r="X309" i="1" s="1"/>
  <c r="AB309" i="1"/>
  <c r="W308" i="1"/>
  <c r="X308" i="1" s="1"/>
  <c r="AB308" i="1"/>
  <c r="W307" i="1"/>
  <c r="X307" i="1" s="1"/>
  <c r="AB307" i="1"/>
  <c r="W306" i="1"/>
  <c r="X306" i="1" s="1"/>
  <c r="AB306" i="1"/>
  <c r="W305" i="1"/>
  <c r="X305" i="1" s="1"/>
  <c r="AB305" i="1"/>
  <c r="W304" i="1"/>
  <c r="X304" i="1" s="1"/>
  <c r="AB304" i="1"/>
  <c r="W303" i="1"/>
  <c r="X303" i="1" s="1"/>
  <c r="AB303" i="1"/>
  <c r="W302" i="1"/>
  <c r="X302" i="1" s="1"/>
  <c r="AB302" i="1"/>
  <c r="W301" i="1"/>
  <c r="X301" i="1" s="1"/>
  <c r="AB301" i="1"/>
  <c r="W300" i="1"/>
  <c r="X300" i="1" s="1"/>
  <c r="AB300" i="1"/>
  <c r="W299" i="1"/>
  <c r="X299" i="1" s="1"/>
  <c r="AB299" i="1"/>
  <c r="W298" i="1"/>
  <c r="X298" i="1" s="1"/>
  <c r="AB298" i="1"/>
  <c r="W297" i="1"/>
  <c r="X297" i="1" s="1"/>
  <c r="AB297" i="1"/>
  <c r="W296" i="1"/>
  <c r="X296" i="1" s="1"/>
  <c r="AB296" i="1"/>
  <c r="W295" i="1"/>
  <c r="X295" i="1" s="1"/>
  <c r="AB295" i="1"/>
  <c r="W294" i="1"/>
  <c r="X294" i="1" s="1"/>
  <c r="AB294" i="1"/>
  <c r="W293" i="1"/>
  <c r="X293" i="1" s="1"/>
  <c r="AB293" i="1"/>
  <c r="W292" i="1"/>
  <c r="X292" i="1" s="1"/>
  <c r="AB292" i="1"/>
  <c r="W291" i="1"/>
  <c r="X291" i="1" s="1"/>
  <c r="AB291" i="1"/>
  <c r="W290" i="1"/>
  <c r="X290" i="1" s="1"/>
  <c r="AB290" i="1"/>
  <c r="W289" i="1"/>
  <c r="X289" i="1" s="1"/>
  <c r="AB289" i="1"/>
  <c r="W288" i="1"/>
  <c r="X288" i="1" s="1"/>
  <c r="AB288" i="1"/>
  <c r="W287" i="1"/>
  <c r="X287" i="1" s="1"/>
  <c r="AB287" i="1"/>
  <c r="W286" i="1"/>
  <c r="X286" i="1" s="1"/>
  <c r="AB286" i="1"/>
  <c r="W285" i="1"/>
  <c r="X285" i="1" s="1"/>
  <c r="AB285" i="1"/>
  <c r="W284" i="1"/>
  <c r="X284" i="1" s="1"/>
  <c r="AB284" i="1"/>
  <c r="W283" i="1"/>
  <c r="X283" i="1" s="1"/>
  <c r="AB283" i="1"/>
  <c r="W282" i="1"/>
  <c r="X282" i="1" s="1"/>
  <c r="AB282" i="1"/>
  <c r="W281" i="1"/>
  <c r="X281" i="1" s="1"/>
  <c r="AB281" i="1"/>
  <c r="W280" i="1"/>
  <c r="X280" i="1" s="1"/>
  <c r="AB280" i="1"/>
  <c r="W279" i="1"/>
  <c r="X279" i="1" s="1"/>
  <c r="AB279" i="1"/>
  <c r="W278" i="1"/>
  <c r="X278" i="1" s="1"/>
  <c r="AB278" i="1"/>
  <c r="W277" i="1"/>
  <c r="X277" i="1" s="1"/>
  <c r="AB277" i="1"/>
  <c r="W276" i="1"/>
  <c r="X276" i="1" s="1"/>
  <c r="AB276" i="1"/>
  <c r="W275" i="1"/>
  <c r="X275" i="1" s="1"/>
  <c r="AB275" i="1"/>
  <c r="W274" i="1"/>
  <c r="X274" i="1" s="1"/>
  <c r="AB274" i="1"/>
  <c r="W273" i="1"/>
  <c r="X273" i="1" s="1"/>
  <c r="AB273" i="1"/>
  <c r="W272" i="1"/>
  <c r="X272" i="1" s="1"/>
  <c r="AB272" i="1"/>
  <c r="W271" i="1"/>
  <c r="X271" i="1" s="1"/>
  <c r="AB271" i="1"/>
  <c r="W270" i="1"/>
  <c r="X270" i="1" s="1"/>
  <c r="AB270" i="1"/>
  <c r="W269" i="1"/>
  <c r="X269" i="1" s="1"/>
  <c r="AB269" i="1"/>
  <c r="W268" i="1"/>
  <c r="X268" i="1" s="1"/>
  <c r="AB268" i="1"/>
  <c r="W267" i="1"/>
  <c r="X267" i="1" s="1"/>
  <c r="AB267" i="1"/>
  <c r="W266" i="1"/>
  <c r="X266" i="1" s="1"/>
  <c r="AB266" i="1"/>
  <c r="W265" i="1"/>
  <c r="X265" i="1" s="1"/>
  <c r="AB265" i="1"/>
  <c r="W264" i="1"/>
  <c r="X264" i="1" s="1"/>
  <c r="AB264" i="1"/>
  <c r="W263" i="1"/>
  <c r="X263" i="1" s="1"/>
  <c r="AB263" i="1"/>
  <c r="W262" i="1"/>
  <c r="X262" i="1" s="1"/>
  <c r="AB262" i="1"/>
  <c r="W261" i="1"/>
  <c r="X261" i="1" s="1"/>
  <c r="AB261" i="1"/>
  <c r="W260" i="1"/>
  <c r="X260" i="1" s="1"/>
  <c r="AB260" i="1"/>
  <c r="W259" i="1"/>
  <c r="X259" i="1" s="1"/>
  <c r="AB259" i="1"/>
  <c r="W258" i="1"/>
  <c r="X258" i="1" s="1"/>
  <c r="AB258" i="1"/>
  <c r="W257" i="1"/>
  <c r="X257" i="1" s="1"/>
  <c r="AB257" i="1"/>
  <c r="W256" i="1"/>
  <c r="X256" i="1" s="1"/>
  <c r="AB256" i="1"/>
  <c r="W255" i="1"/>
  <c r="X255" i="1" s="1"/>
  <c r="AB255" i="1"/>
  <c r="W254" i="1"/>
  <c r="X254" i="1" s="1"/>
  <c r="AB254" i="1"/>
  <c r="W253" i="1"/>
  <c r="X253" i="1" s="1"/>
  <c r="AB253" i="1"/>
  <c r="W252" i="1"/>
  <c r="X252" i="1" s="1"/>
  <c r="AB252" i="1"/>
  <c r="W251" i="1"/>
  <c r="X251" i="1" s="1"/>
  <c r="AB251" i="1"/>
  <c r="W250" i="1"/>
  <c r="X250" i="1" s="1"/>
  <c r="AB250" i="1"/>
  <c r="W249" i="1"/>
  <c r="X249" i="1" s="1"/>
  <c r="AB249" i="1"/>
  <c r="W248" i="1"/>
  <c r="X248" i="1" s="1"/>
  <c r="AB248" i="1"/>
  <c r="W247" i="1"/>
  <c r="X247" i="1" s="1"/>
  <c r="AB247" i="1"/>
  <c r="W246" i="1"/>
  <c r="X246" i="1" s="1"/>
  <c r="AB246" i="1"/>
  <c r="W245" i="1"/>
  <c r="X245" i="1" s="1"/>
  <c r="AB245" i="1"/>
  <c r="W244" i="1"/>
  <c r="X244" i="1" s="1"/>
  <c r="AB244" i="1"/>
  <c r="W243" i="1"/>
  <c r="X243" i="1" s="1"/>
  <c r="AB243" i="1"/>
  <c r="W242" i="1"/>
  <c r="X242" i="1" s="1"/>
  <c r="AB242" i="1"/>
  <c r="W241" i="1"/>
  <c r="X241" i="1" s="1"/>
  <c r="AB241" i="1"/>
  <c r="W240" i="1"/>
  <c r="X240" i="1" s="1"/>
  <c r="AB240" i="1"/>
  <c r="W239" i="1"/>
  <c r="X239" i="1" s="1"/>
  <c r="AB239" i="1"/>
  <c r="W238" i="1"/>
  <c r="X238" i="1" s="1"/>
  <c r="AB238" i="1"/>
  <c r="W237" i="1"/>
  <c r="X237" i="1" s="1"/>
  <c r="AB237" i="1"/>
  <c r="W236" i="1"/>
  <c r="X236" i="1" s="1"/>
  <c r="AB236" i="1"/>
  <c r="W235" i="1"/>
  <c r="X235" i="1" s="1"/>
  <c r="AB235" i="1"/>
  <c r="W234" i="1"/>
  <c r="X234" i="1" s="1"/>
  <c r="AB234" i="1"/>
  <c r="W233" i="1"/>
  <c r="X233" i="1" s="1"/>
  <c r="AB233" i="1"/>
  <c r="W232" i="1"/>
  <c r="X232" i="1" s="1"/>
  <c r="AB232" i="1"/>
  <c r="W231" i="1"/>
  <c r="X231" i="1" s="1"/>
  <c r="AB231" i="1"/>
  <c r="W230" i="1"/>
  <c r="X230" i="1" s="1"/>
  <c r="AB230" i="1"/>
  <c r="W229" i="1"/>
  <c r="X229" i="1" s="1"/>
  <c r="AB229" i="1"/>
  <c r="W228" i="1"/>
  <c r="X228" i="1" s="1"/>
  <c r="AB228" i="1"/>
  <c r="W227" i="1"/>
  <c r="X227" i="1" s="1"/>
  <c r="AB227" i="1"/>
  <c r="W226" i="1"/>
  <c r="X226" i="1" s="1"/>
  <c r="AB226" i="1"/>
  <c r="W225" i="1"/>
  <c r="X225" i="1" s="1"/>
  <c r="AB225" i="1"/>
  <c r="W224" i="1"/>
  <c r="X224" i="1" s="1"/>
  <c r="AB224" i="1"/>
  <c r="W223" i="1"/>
  <c r="X223" i="1" s="1"/>
  <c r="AB223" i="1"/>
  <c r="W222" i="1"/>
  <c r="X222" i="1" s="1"/>
  <c r="AB222" i="1"/>
  <c r="W221" i="1"/>
  <c r="X221" i="1" s="1"/>
  <c r="AB221" i="1"/>
  <c r="W220" i="1"/>
  <c r="X220" i="1" s="1"/>
  <c r="AB220" i="1"/>
  <c r="W219" i="1"/>
  <c r="X219" i="1" s="1"/>
  <c r="AB219" i="1"/>
  <c r="W218" i="1"/>
  <c r="X218" i="1" s="1"/>
  <c r="AB218" i="1"/>
  <c r="W217" i="1"/>
  <c r="X217" i="1" s="1"/>
  <c r="AB217" i="1"/>
  <c r="W216" i="1"/>
  <c r="X216" i="1" s="1"/>
  <c r="AB216" i="1"/>
  <c r="W215" i="1"/>
  <c r="X215" i="1" s="1"/>
  <c r="AB215" i="1"/>
  <c r="W214" i="1"/>
  <c r="X214" i="1" s="1"/>
  <c r="AB214" i="1"/>
  <c r="W213" i="1"/>
  <c r="X213" i="1" s="1"/>
  <c r="AB213" i="1"/>
  <c r="W212" i="1"/>
  <c r="X212" i="1" s="1"/>
  <c r="AB212" i="1"/>
  <c r="W211" i="1"/>
  <c r="X211" i="1" s="1"/>
  <c r="AB211" i="1"/>
  <c r="W210" i="1"/>
  <c r="X210" i="1" s="1"/>
  <c r="AB210" i="1"/>
  <c r="W209" i="1"/>
  <c r="X209" i="1" s="1"/>
  <c r="AB209" i="1"/>
  <c r="W208" i="1"/>
  <c r="X208" i="1" s="1"/>
  <c r="AB208" i="1"/>
  <c r="W207" i="1"/>
  <c r="X207" i="1" s="1"/>
  <c r="AB207" i="1"/>
  <c r="W206" i="1"/>
  <c r="X206" i="1" s="1"/>
  <c r="AB206" i="1"/>
  <c r="W205" i="1"/>
  <c r="X205" i="1" s="1"/>
  <c r="AB205" i="1"/>
  <c r="W204" i="1"/>
  <c r="X204" i="1" s="1"/>
  <c r="AB204" i="1"/>
  <c r="W203" i="1"/>
  <c r="X203" i="1" s="1"/>
  <c r="AB203" i="1"/>
  <c r="W202" i="1"/>
  <c r="X202" i="1" s="1"/>
  <c r="AB202" i="1"/>
  <c r="W201" i="1"/>
  <c r="X201" i="1" s="1"/>
  <c r="AB201" i="1"/>
  <c r="W200" i="1"/>
  <c r="X200" i="1" s="1"/>
  <c r="AB200" i="1"/>
  <c r="W199" i="1"/>
  <c r="X199" i="1" s="1"/>
  <c r="AB199" i="1"/>
  <c r="W198" i="1"/>
  <c r="X198" i="1" s="1"/>
  <c r="AB198" i="1"/>
  <c r="W197" i="1"/>
  <c r="X197" i="1" s="1"/>
  <c r="AB197" i="1"/>
  <c r="W196" i="1"/>
  <c r="X196" i="1" s="1"/>
  <c r="AB196" i="1"/>
  <c r="W195" i="1"/>
  <c r="X195" i="1" s="1"/>
  <c r="AB195" i="1"/>
  <c r="W194" i="1"/>
  <c r="X194" i="1" s="1"/>
  <c r="AB194" i="1"/>
  <c r="W193" i="1"/>
  <c r="X193" i="1" s="1"/>
  <c r="AB193" i="1"/>
  <c r="W192" i="1"/>
  <c r="X192" i="1" s="1"/>
  <c r="AB192" i="1"/>
  <c r="W191" i="1"/>
  <c r="X191" i="1" s="1"/>
  <c r="AB191" i="1"/>
  <c r="W190" i="1"/>
  <c r="X190" i="1" s="1"/>
  <c r="AB190" i="1"/>
  <c r="W189" i="1"/>
  <c r="X189" i="1" s="1"/>
  <c r="AB189" i="1"/>
  <c r="W188" i="1"/>
  <c r="X188" i="1" s="1"/>
  <c r="AB188" i="1"/>
  <c r="W187" i="1"/>
  <c r="X187" i="1" s="1"/>
  <c r="AB187" i="1"/>
  <c r="W186" i="1"/>
  <c r="X186" i="1" s="1"/>
  <c r="AB186" i="1"/>
  <c r="W185" i="1"/>
  <c r="X185" i="1" s="1"/>
  <c r="AB185" i="1"/>
  <c r="W184" i="1"/>
  <c r="X184" i="1" s="1"/>
  <c r="AB184" i="1"/>
  <c r="W183" i="1"/>
  <c r="X183" i="1" s="1"/>
  <c r="AB183" i="1"/>
  <c r="W182" i="1"/>
  <c r="X182" i="1" s="1"/>
  <c r="AB182" i="1"/>
  <c r="W181" i="1"/>
  <c r="X181" i="1" s="1"/>
  <c r="AB181" i="1"/>
  <c r="W180" i="1"/>
  <c r="X180" i="1" s="1"/>
  <c r="AB180" i="1"/>
  <c r="W179" i="1"/>
  <c r="X179" i="1" s="1"/>
  <c r="AB179" i="1"/>
  <c r="W178" i="1"/>
  <c r="X178" i="1" s="1"/>
  <c r="AB178" i="1"/>
  <c r="W177" i="1"/>
  <c r="X177" i="1" s="1"/>
  <c r="AB177" i="1"/>
  <c r="W176" i="1"/>
  <c r="X176" i="1" s="1"/>
  <c r="AB176" i="1"/>
  <c r="W175" i="1"/>
  <c r="X175" i="1" s="1"/>
  <c r="AB175" i="1"/>
  <c r="W174" i="1"/>
  <c r="X174" i="1" s="1"/>
  <c r="AB174" i="1"/>
  <c r="W173" i="1"/>
  <c r="X173" i="1" s="1"/>
  <c r="AB173" i="1"/>
  <c r="W172" i="1"/>
  <c r="X172" i="1" s="1"/>
  <c r="AB172" i="1"/>
  <c r="W171" i="1"/>
  <c r="X171" i="1" s="1"/>
  <c r="AB171" i="1"/>
  <c r="W170" i="1"/>
  <c r="X170" i="1" s="1"/>
  <c r="AB170" i="1"/>
  <c r="W169" i="1"/>
  <c r="X169" i="1" s="1"/>
  <c r="AB169" i="1"/>
  <c r="W168" i="1"/>
  <c r="X168" i="1" s="1"/>
  <c r="AB168" i="1"/>
  <c r="W167" i="1"/>
  <c r="X167" i="1" s="1"/>
  <c r="AB167" i="1"/>
  <c r="W166" i="1"/>
  <c r="X166" i="1" s="1"/>
  <c r="AB166" i="1"/>
  <c r="W165" i="1"/>
  <c r="X165" i="1" s="1"/>
  <c r="AB165" i="1"/>
  <c r="W164" i="1"/>
  <c r="X164" i="1" s="1"/>
  <c r="AB164" i="1"/>
  <c r="W163" i="1"/>
  <c r="X163" i="1" s="1"/>
  <c r="AB163" i="1"/>
  <c r="W162" i="1"/>
  <c r="X162" i="1" s="1"/>
  <c r="AB162" i="1"/>
  <c r="W161" i="1"/>
  <c r="X161" i="1" s="1"/>
  <c r="AB161" i="1"/>
  <c r="W160" i="1"/>
  <c r="X160" i="1" s="1"/>
  <c r="AB160" i="1"/>
  <c r="W159" i="1"/>
  <c r="X159" i="1" s="1"/>
  <c r="AB159" i="1"/>
  <c r="W158" i="1"/>
  <c r="X158" i="1" s="1"/>
  <c r="AB158" i="1"/>
  <c r="W157" i="1"/>
  <c r="X157" i="1" s="1"/>
  <c r="AB157" i="1"/>
  <c r="W156" i="1"/>
  <c r="X156" i="1" s="1"/>
  <c r="AB156" i="1"/>
  <c r="W155" i="1"/>
  <c r="X155" i="1" s="1"/>
  <c r="AB155" i="1"/>
  <c r="W154" i="1"/>
  <c r="X154" i="1" s="1"/>
  <c r="AB154" i="1"/>
  <c r="W153" i="1"/>
  <c r="X153" i="1" s="1"/>
  <c r="AB153" i="1"/>
  <c r="W152" i="1"/>
  <c r="X152" i="1" s="1"/>
  <c r="AB152" i="1"/>
  <c r="W151" i="1"/>
  <c r="X151" i="1" s="1"/>
  <c r="AB151" i="1"/>
  <c r="W150" i="1"/>
  <c r="X150" i="1" s="1"/>
  <c r="AB150" i="1"/>
  <c r="W149" i="1"/>
  <c r="X149" i="1" s="1"/>
  <c r="AB149" i="1"/>
  <c r="W148" i="1"/>
  <c r="X148" i="1" s="1"/>
  <c r="AB148" i="1"/>
  <c r="W147" i="1"/>
  <c r="X147" i="1" s="1"/>
  <c r="AB147" i="1"/>
  <c r="W146" i="1"/>
  <c r="X146" i="1" s="1"/>
  <c r="AB146" i="1"/>
  <c r="W145" i="1"/>
  <c r="X145" i="1" s="1"/>
  <c r="AB145" i="1"/>
  <c r="W144" i="1"/>
  <c r="X144" i="1" s="1"/>
  <c r="AB144" i="1"/>
  <c r="W143" i="1"/>
  <c r="X143" i="1" s="1"/>
  <c r="AB143" i="1"/>
  <c r="W142" i="1"/>
  <c r="X142" i="1" s="1"/>
  <c r="AB142" i="1"/>
  <c r="W141" i="1"/>
  <c r="X141" i="1" s="1"/>
  <c r="AB141" i="1"/>
  <c r="W140" i="1"/>
  <c r="X140" i="1" s="1"/>
  <c r="AB140" i="1"/>
  <c r="W139" i="1"/>
  <c r="X139" i="1" s="1"/>
  <c r="AB139" i="1"/>
  <c r="W138" i="1"/>
  <c r="X138" i="1" s="1"/>
  <c r="AB138" i="1"/>
  <c r="W137" i="1"/>
  <c r="X137" i="1" s="1"/>
  <c r="AB137" i="1"/>
  <c r="W136" i="1"/>
  <c r="X136" i="1" s="1"/>
  <c r="AB136" i="1"/>
  <c r="W135" i="1"/>
  <c r="X135" i="1" s="1"/>
  <c r="AB135" i="1"/>
  <c r="W134" i="1"/>
  <c r="X134" i="1" s="1"/>
  <c r="AB134" i="1"/>
  <c r="W133" i="1"/>
  <c r="X133" i="1" s="1"/>
  <c r="AB133" i="1"/>
  <c r="W132" i="1"/>
  <c r="X132" i="1" s="1"/>
  <c r="AB132" i="1"/>
  <c r="W131" i="1"/>
  <c r="X131" i="1" s="1"/>
  <c r="AB131" i="1"/>
  <c r="W130" i="1"/>
  <c r="X130" i="1" s="1"/>
  <c r="AB130" i="1"/>
  <c r="W129" i="1"/>
  <c r="X129" i="1" s="1"/>
  <c r="AB129" i="1"/>
  <c r="W128" i="1"/>
  <c r="X128" i="1" s="1"/>
  <c r="AB128" i="1"/>
  <c r="W127" i="1"/>
  <c r="X127" i="1" s="1"/>
  <c r="AB127" i="1"/>
  <c r="W126" i="1"/>
  <c r="X126" i="1" s="1"/>
  <c r="AB126" i="1"/>
  <c r="W125" i="1"/>
  <c r="X125" i="1" s="1"/>
  <c r="AB125" i="1"/>
  <c r="W124" i="1"/>
  <c r="X124" i="1" s="1"/>
  <c r="AB124" i="1"/>
  <c r="W123" i="1"/>
  <c r="X123" i="1" s="1"/>
  <c r="AB123" i="1"/>
  <c r="W122" i="1"/>
  <c r="X122" i="1" s="1"/>
  <c r="AB122" i="1"/>
  <c r="W121" i="1"/>
  <c r="X121" i="1" s="1"/>
  <c r="AB121" i="1"/>
  <c r="W120" i="1"/>
  <c r="X120" i="1" s="1"/>
  <c r="AB120" i="1"/>
  <c r="W119" i="1"/>
  <c r="X119" i="1" s="1"/>
  <c r="AB119" i="1"/>
  <c r="W118" i="1"/>
  <c r="X118" i="1" s="1"/>
  <c r="AB118" i="1"/>
  <c r="W117" i="1"/>
  <c r="X117" i="1" s="1"/>
  <c r="AB117" i="1"/>
  <c r="W116" i="1"/>
  <c r="X116" i="1" s="1"/>
  <c r="AB116" i="1"/>
  <c r="W115" i="1"/>
  <c r="X115" i="1" s="1"/>
  <c r="AB115" i="1"/>
  <c r="W114" i="1"/>
  <c r="X114" i="1" s="1"/>
  <c r="AB114" i="1"/>
  <c r="W113" i="1"/>
  <c r="X113" i="1" s="1"/>
  <c r="AB113" i="1"/>
  <c r="W112" i="1"/>
  <c r="X112" i="1" s="1"/>
  <c r="AB112" i="1"/>
  <c r="W111" i="1"/>
  <c r="X111" i="1" s="1"/>
  <c r="AB111" i="1"/>
  <c r="W110" i="1"/>
  <c r="X110" i="1" s="1"/>
  <c r="AB110" i="1"/>
  <c r="W109" i="1"/>
  <c r="X109" i="1" s="1"/>
  <c r="AB109" i="1"/>
  <c r="W108" i="1"/>
  <c r="X108" i="1" s="1"/>
  <c r="AB108" i="1"/>
  <c r="W107" i="1"/>
  <c r="X107" i="1" s="1"/>
  <c r="AB107" i="1"/>
  <c r="W106" i="1"/>
  <c r="X106" i="1" s="1"/>
  <c r="AB106" i="1"/>
  <c r="W105" i="1"/>
  <c r="X105" i="1" s="1"/>
  <c r="AB105" i="1"/>
  <c r="W104" i="1"/>
  <c r="X104" i="1" s="1"/>
  <c r="AB104" i="1"/>
  <c r="W103" i="1"/>
  <c r="X103" i="1" s="1"/>
  <c r="AB103" i="1"/>
  <c r="W102" i="1"/>
  <c r="X102" i="1" s="1"/>
  <c r="AB102" i="1"/>
  <c r="W101" i="1"/>
  <c r="X101" i="1" s="1"/>
  <c r="AB101" i="1"/>
  <c r="W100" i="1"/>
  <c r="X100" i="1" s="1"/>
  <c r="AB100" i="1"/>
  <c r="W99" i="1"/>
  <c r="X99" i="1" s="1"/>
  <c r="AB99" i="1"/>
  <c r="W98" i="1"/>
  <c r="X98" i="1" s="1"/>
  <c r="AB98" i="1"/>
  <c r="W97" i="1"/>
  <c r="X97" i="1" s="1"/>
  <c r="AB97" i="1"/>
  <c r="W96" i="1"/>
  <c r="X96" i="1" s="1"/>
  <c r="AB96" i="1"/>
  <c r="W95" i="1"/>
  <c r="X95" i="1" s="1"/>
  <c r="AB95" i="1"/>
  <c r="W94" i="1"/>
  <c r="X94" i="1" s="1"/>
  <c r="AB94" i="1"/>
  <c r="W93" i="1"/>
  <c r="X93" i="1" s="1"/>
  <c r="AB93" i="1"/>
  <c r="W92" i="1"/>
  <c r="X92" i="1" s="1"/>
  <c r="AB92" i="1"/>
  <c r="W91" i="1"/>
  <c r="X91" i="1" s="1"/>
  <c r="AB91" i="1"/>
  <c r="W90" i="1"/>
  <c r="X90" i="1" s="1"/>
  <c r="AB90" i="1"/>
  <c r="W89" i="1"/>
  <c r="X89" i="1" s="1"/>
  <c r="AB89" i="1"/>
  <c r="W88" i="1"/>
  <c r="X88" i="1" s="1"/>
  <c r="AB88" i="1"/>
  <c r="W87" i="1"/>
  <c r="X87" i="1" s="1"/>
  <c r="AB87" i="1"/>
  <c r="W86" i="1"/>
  <c r="X86" i="1" s="1"/>
  <c r="AB86" i="1"/>
  <c r="W85" i="1"/>
  <c r="X85" i="1" s="1"/>
  <c r="AB85" i="1"/>
  <c r="W84" i="1"/>
  <c r="X84" i="1" s="1"/>
  <c r="AB84" i="1"/>
  <c r="W83" i="1"/>
  <c r="X83" i="1" s="1"/>
  <c r="AB83" i="1"/>
  <c r="W82" i="1"/>
  <c r="X82" i="1" s="1"/>
  <c r="AB82" i="1"/>
  <c r="W81" i="1"/>
  <c r="X81" i="1" s="1"/>
  <c r="AB81" i="1"/>
  <c r="W80" i="1"/>
  <c r="X80" i="1" s="1"/>
  <c r="AB80" i="1"/>
  <c r="W79" i="1"/>
  <c r="X79" i="1" s="1"/>
  <c r="AB79" i="1"/>
  <c r="W78" i="1"/>
  <c r="X78" i="1" s="1"/>
  <c r="AB78" i="1"/>
  <c r="W77" i="1"/>
  <c r="X77" i="1" s="1"/>
  <c r="AB77" i="1"/>
  <c r="W76" i="1"/>
  <c r="X76" i="1" s="1"/>
  <c r="AB76" i="1"/>
  <c r="W75" i="1"/>
  <c r="X75" i="1" s="1"/>
  <c r="AB75" i="1"/>
  <c r="W74" i="1"/>
  <c r="X74" i="1" s="1"/>
  <c r="AB74" i="1"/>
  <c r="W73" i="1"/>
  <c r="X73" i="1" s="1"/>
  <c r="AB73" i="1"/>
  <c r="W72" i="1"/>
  <c r="X72" i="1" s="1"/>
  <c r="AB72" i="1"/>
  <c r="W71" i="1"/>
  <c r="X71" i="1" s="1"/>
  <c r="AB71" i="1"/>
  <c r="W70" i="1"/>
  <c r="X70" i="1" s="1"/>
  <c r="AB70" i="1"/>
  <c r="W69" i="1"/>
  <c r="X69" i="1" s="1"/>
  <c r="AB69" i="1"/>
  <c r="W68" i="1"/>
  <c r="X68" i="1" s="1"/>
  <c r="AB68" i="1"/>
  <c r="W67" i="1"/>
  <c r="X67" i="1" s="1"/>
  <c r="AB67" i="1"/>
  <c r="W66" i="1"/>
  <c r="X66" i="1" s="1"/>
  <c r="AB66" i="1"/>
  <c r="W65" i="1"/>
  <c r="X65" i="1" s="1"/>
  <c r="AB65" i="1"/>
  <c r="W64" i="1"/>
  <c r="X64" i="1" s="1"/>
  <c r="AB64" i="1"/>
  <c r="W63" i="1"/>
  <c r="X63" i="1" s="1"/>
  <c r="AB63" i="1"/>
  <c r="W62" i="1"/>
  <c r="X62" i="1" s="1"/>
  <c r="AB62" i="1"/>
  <c r="W61" i="1"/>
  <c r="X61" i="1" s="1"/>
  <c r="AB61" i="1"/>
  <c r="W60" i="1"/>
  <c r="X60" i="1" s="1"/>
  <c r="AB60" i="1"/>
  <c r="W59" i="1"/>
  <c r="X59" i="1" s="1"/>
  <c r="AB59" i="1"/>
  <c r="W58" i="1"/>
  <c r="X58" i="1" s="1"/>
  <c r="AB58" i="1"/>
  <c r="W57" i="1"/>
  <c r="X57" i="1" s="1"/>
  <c r="AB57" i="1"/>
  <c r="W56" i="1"/>
  <c r="X56" i="1" s="1"/>
  <c r="AB56" i="1"/>
  <c r="W55" i="1"/>
  <c r="X55" i="1" s="1"/>
  <c r="AB55" i="1"/>
  <c r="W54" i="1"/>
  <c r="X54" i="1" s="1"/>
  <c r="AB54" i="1"/>
  <c r="W53" i="1"/>
  <c r="X53" i="1" s="1"/>
  <c r="AB53" i="1"/>
  <c r="W52" i="1"/>
  <c r="X52" i="1" s="1"/>
  <c r="AB52" i="1"/>
  <c r="W51" i="1"/>
  <c r="X51" i="1" s="1"/>
  <c r="AB51" i="1"/>
  <c r="W50" i="1"/>
  <c r="X50" i="1" s="1"/>
  <c r="AB50" i="1"/>
  <c r="W49" i="1"/>
  <c r="X49" i="1" s="1"/>
  <c r="AB49" i="1"/>
  <c r="W48" i="1"/>
  <c r="X48" i="1" s="1"/>
  <c r="AB48" i="1"/>
  <c r="W47" i="1"/>
  <c r="X47" i="1" s="1"/>
  <c r="AB47" i="1"/>
  <c r="W46" i="1"/>
  <c r="X46" i="1" s="1"/>
  <c r="AB46" i="1"/>
  <c r="W45" i="1"/>
  <c r="X45" i="1" s="1"/>
  <c r="AB45" i="1"/>
  <c r="W44" i="1"/>
  <c r="X44" i="1" s="1"/>
  <c r="AB44" i="1"/>
  <c r="W43" i="1"/>
  <c r="X43" i="1" s="1"/>
  <c r="AB43" i="1"/>
  <c r="W42" i="1"/>
  <c r="X42" i="1" s="1"/>
  <c r="AB42" i="1"/>
  <c r="W41" i="1"/>
  <c r="X41" i="1" s="1"/>
  <c r="AB41" i="1"/>
  <c r="W40" i="1"/>
  <c r="X40" i="1" s="1"/>
  <c r="AB40" i="1"/>
  <c r="W39" i="1"/>
  <c r="X39" i="1" s="1"/>
  <c r="AB39" i="1"/>
  <c r="W38" i="1"/>
  <c r="X38" i="1" s="1"/>
  <c r="AB38" i="1"/>
  <c r="W37" i="1"/>
  <c r="X37" i="1" s="1"/>
  <c r="AB37" i="1"/>
  <c r="W36" i="1"/>
  <c r="X36" i="1" s="1"/>
  <c r="AB36" i="1"/>
  <c r="W35" i="1"/>
  <c r="X35" i="1" s="1"/>
  <c r="AB35" i="1"/>
  <c r="W34" i="1"/>
  <c r="X34" i="1" s="1"/>
  <c r="AB34" i="1"/>
  <c r="W33" i="1"/>
  <c r="X33" i="1" s="1"/>
  <c r="AB33" i="1"/>
  <c r="W32" i="1"/>
  <c r="X32" i="1" s="1"/>
  <c r="AB32" i="1"/>
  <c r="W31" i="1"/>
  <c r="X31" i="1" s="1"/>
  <c r="AB31" i="1"/>
  <c r="W30" i="1"/>
  <c r="X30" i="1" s="1"/>
  <c r="AB30" i="1"/>
  <c r="W29" i="1"/>
  <c r="X29" i="1" s="1"/>
  <c r="AB29" i="1"/>
  <c r="W28" i="1"/>
  <c r="X28" i="1" s="1"/>
  <c r="AB28" i="1"/>
  <c r="W27" i="1"/>
  <c r="X27" i="1" s="1"/>
  <c r="AB27" i="1"/>
  <c r="W26" i="1"/>
  <c r="X26" i="1" s="1"/>
  <c r="AB26" i="1"/>
  <c r="W25" i="1"/>
  <c r="X25" i="1" s="1"/>
  <c r="AB25" i="1"/>
  <c r="W24" i="1"/>
  <c r="X24" i="1" s="1"/>
  <c r="AB24" i="1"/>
  <c r="W23" i="1"/>
  <c r="X23" i="1" s="1"/>
  <c r="AB23" i="1"/>
  <c r="W22" i="1"/>
  <c r="X22" i="1" s="1"/>
  <c r="AB22" i="1"/>
  <c r="W21" i="1"/>
  <c r="X21" i="1" s="1"/>
  <c r="AB21" i="1"/>
  <c r="W20" i="1"/>
  <c r="X20" i="1" s="1"/>
  <c r="AB20" i="1"/>
  <c r="W19" i="1"/>
  <c r="X19" i="1" s="1"/>
  <c r="AB19" i="1"/>
  <c r="W18" i="1"/>
  <c r="X18" i="1" s="1"/>
  <c r="AB18" i="1"/>
  <c r="W17" i="1"/>
  <c r="X17" i="1" s="1"/>
  <c r="AB17" i="1"/>
  <c r="W16" i="1"/>
  <c r="X16" i="1" s="1"/>
  <c r="AB16" i="1"/>
  <c r="W15" i="1"/>
  <c r="X15" i="1" s="1"/>
  <c r="AB15" i="1"/>
  <c r="W14" i="1"/>
  <c r="X14" i="1" s="1"/>
  <c r="AB14" i="1"/>
  <c r="W13" i="1"/>
  <c r="X13" i="1" s="1"/>
  <c r="AB13" i="1"/>
  <c r="W12" i="1"/>
  <c r="X12" i="1" s="1"/>
  <c r="AB12" i="1"/>
  <c r="W11" i="1"/>
  <c r="X11" i="1" s="1"/>
  <c r="AB11" i="1"/>
  <c r="W10" i="1"/>
  <c r="X10" i="1" s="1"/>
  <c r="AB10" i="1"/>
  <c r="W9" i="1"/>
  <c r="X9" i="1" s="1"/>
  <c r="AB9" i="1"/>
  <c r="W8" i="1"/>
  <c r="X8" i="1" s="1"/>
  <c r="AB8" i="1"/>
  <c r="W7" i="1"/>
  <c r="X7" i="1" s="1"/>
  <c r="AB7" i="1"/>
  <c r="W6" i="1"/>
  <c r="X6" i="1" s="1"/>
  <c r="AB6" i="1"/>
  <c r="W5" i="1"/>
  <c r="X5" i="1" s="1"/>
  <c r="AB5" i="1"/>
  <c r="W4" i="1"/>
  <c r="X4" i="1" s="1"/>
  <c r="AB4" i="1"/>
  <c r="W3" i="1"/>
  <c r="X3" i="1" s="1"/>
  <c r="AB3" i="1"/>
  <c r="W2" i="1"/>
  <c r="X2" i="1" s="1"/>
  <c r="AB2" i="1"/>
</calcChain>
</file>

<file path=xl/sharedStrings.xml><?xml version="1.0" encoding="utf-8"?>
<sst xmlns="http://schemas.openxmlformats.org/spreadsheetml/2006/main" count="13313" uniqueCount="2175">
  <si>
    <t>Customer_ID</t>
  </si>
  <si>
    <t>First_Name</t>
  </si>
  <si>
    <t>Last_Name</t>
  </si>
  <si>
    <t>Age</t>
  </si>
  <si>
    <t>Gender</t>
  </si>
  <si>
    <t>City</t>
  </si>
  <si>
    <t>Email</t>
  </si>
  <si>
    <t>Address</t>
  </si>
  <si>
    <t>Order_ID</t>
  </si>
  <si>
    <t>Order_Date</t>
  </si>
  <si>
    <t>Order_Time</t>
  </si>
  <si>
    <t>Product_ID</t>
  </si>
  <si>
    <t>Price</t>
  </si>
  <si>
    <t>Quantity</t>
  </si>
  <si>
    <t>Coupon_Code</t>
  </si>
  <si>
    <t>Estimated_Days_to_Deliver</t>
  </si>
  <si>
    <t>Delivery_Charge</t>
  </si>
  <si>
    <t>Delivery_Date</t>
  </si>
  <si>
    <t>Delivery_Time</t>
  </si>
  <si>
    <t>Days_to_Deliver</t>
  </si>
  <si>
    <t>Amount</t>
  </si>
  <si>
    <t>Discount_Percent</t>
  </si>
  <si>
    <t>Discounted_Amount</t>
  </si>
  <si>
    <t>Amount_with_Delivery_Charge</t>
  </si>
  <si>
    <t>Full_Name</t>
  </si>
  <si>
    <t>Delivery_Status</t>
  </si>
  <si>
    <t>month</t>
  </si>
  <si>
    <t>Discount Offered</t>
  </si>
  <si>
    <t>CID186</t>
  </si>
  <si>
    <t>Anne</t>
  </si>
  <si>
    <t>Oconnell</t>
  </si>
  <si>
    <t>Male</t>
  </si>
  <si>
    <t>Phoenix</t>
  </si>
  <si>
    <t>anne.oconnell@outlook.com</t>
  </si>
  <si>
    <t>2850 Matthew Ford, North Yolandachester, FL 67488</t>
  </si>
  <si>
    <t>OID2497</t>
  </si>
  <si>
    <t>18:16:33</t>
  </si>
  <si>
    <t>PID022</t>
  </si>
  <si>
    <t>FLAT8</t>
  </si>
  <si>
    <t>08:51:31</t>
  </si>
  <si>
    <t>CID150</t>
  </si>
  <si>
    <t>Anthony</t>
  </si>
  <si>
    <t>Thomas</t>
  </si>
  <si>
    <t>Female</t>
  </si>
  <si>
    <t>Houston</t>
  </si>
  <si>
    <t>anthony.thomas@rediffmail.com</t>
  </si>
  <si>
    <t>931 Christopher Ways Suite 833, North Michelle, IN 53484</t>
  </si>
  <si>
    <t>OID7056</t>
  </si>
  <si>
    <t>01:46:33</t>
  </si>
  <si>
    <t>PID015</t>
  </si>
  <si>
    <t>18:46:26</t>
  </si>
  <si>
    <t>CID115</t>
  </si>
  <si>
    <t>Karl</t>
  </si>
  <si>
    <t>Gallagher</t>
  </si>
  <si>
    <t>Other</t>
  </si>
  <si>
    <t>karl.gallagher@rediffmail.com</t>
  </si>
  <si>
    <t>5016 Snow Mountains Apt. 063, New Seanport, WY 41492</t>
  </si>
  <si>
    <t>OID7502</t>
  </si>
  <si>
    <t>07:31:36</t>
  </si>
  <si>
    <t>PID023</t>
  </si>
  <si>
    <t>FLAT15</t>
  </si>
  <si>
    <t>14:29:50</t>
  </si>
  <si>
    <t>OID7077</t>
  </si>
  <si>
    <t>18:29:21</t>
  </si>
  <si>
    <t>PID031</t>
  </si>
  <si>
    <t>DEL0</t>
  </si>
  <si>
    <t>07:00:32</t>
  </si>
  <si>
    <t>CID149</t>
  </si>
  <si>
    <t>Angela</t>
  </si>
  <si>
    <t>Horne</t>
  </si>
  <si>
    <t>angela.horne@outlook.com</t>
  </si>
  <si>
    <t>USNV Mueller, FPO AP 54648</t>
  </si>
  <si>
    <t>OID2793</t>
  </si>
  <si>
    <t>03:23:21</t>
  </si>
  <si>
    <t>22:10:58</t>
  </si>
  <si>
    <t>CID159</t>
  </si>
  <si>
    <t>Christine</t>
  </si>
  <si>
    <t>West</t>
  </si>
  <si>
    <t>New York</t>
  </si>
  <si>
    <t>christine.west@gmail.com</t>
  </si>
  <si>
    <t>Unit 1433 Box 0246, DPO AP 94952</t>
  </si>
  <si>
    <t>OID1483</t>
  </si>
  <si>
    <t>16:55:06</t>
  </si>
  <si>
    <t>PID043</t>
  </si>
  <si>
    <t>11:25:50</t>
  </si>
  <si>
    <t>OID4105</t>
  </si>
  <si>
    <t>09:47:21</t>
  </si>
  <si>
    <t>FLAT20</t>
  </si>
  <si>
    <t>20:10:50</t>
  </si>
  <si>
    <t>CID198</t>
  </si>
  <si>
    <t>David</t>
  </si>
  <si>
    <t>Delacruz</t>
  </si>
  <si>
    <t>Los Angeles</t>
  </si>
  <si>
    <t>david.delacruz@rediffmail.com</t>
  </si>
  <si>
    <t>USNS Ray, FPO AE 20238</t>
  </si>
  <si>
    <t>OID4372</t>
  </si>
  <si>
    <t>19:27:45</t>
  </si>
  <si>
    <t>PID046</t>
  </si>
  <si>
    <t>FLAT10</t>
  </si>
  <si>
    <t>12:36:32</t>
  </si>
  <si>
    <t>CID152</t>
  </si>
  <si>
    <t>Marcus</t>
  </si>
  <si>
    <t>Valenzuela</t>
  </si>
  <si>
    <t>marcus.valenzuela@yahoo.com</t>
  </si>
  <si>
    <t>694 Graham Prairie Apt. 887, Jimenezfurt, MI 33044</t>
  </si>
  <si>
    <t>OID3528</t>
  </si>
  <si>
    <t>12:07:00</t>
  </si>
  <si>
    <t>PID034</t>
  </si>
  <si>
    <t>23:05:41</t>
  </si>
  <si>
    <t>CID130</t>
  </si>
  <si>
    <t>Debra</t>
  </si>
  <si>
    <t>Rodriguez</t>
  </si>
  <si>
    <t>debra.rodriguez@rediffmail.com</t>
  </si>
  <si>
    <t>Unit 5964 Box 0721, DPO AP 01840</t>
  </si>
  <si>
    <t>OID9634</t>
  </si>
  <si>
    <t>13:46:47</t>
  </si>
  <si>
    <t>PID033</t>
  </si>
  <si>
    <t>19:57:06</t>
  </si>
  <si>
    <t>OID1905</t>
  </si>
  <si>
    <t>17:21:43</t>
  </si>
  <si>
    <t>08:00:35</t>
  </si>
  <si>
    <t>CID101</t>
  </si>
  <si>
    <t>Bobby</t>
  </si>
  <si>
    <t>Forbes</t>
  </si>
  <si>
    <t>bobby.forbes@gmail.com</t>
  </si>
  <si>
    <t>3079 John Parkway Suite 961, Port Kristaview, MT 91019</t>
  </si>
  <si>
    <t>OID3136</t>
  </si>
  <si>
    <t>15:09:49</t>
  </si>
  <si>
    <t>PID007</t>
  </si>
  <si>
    <t>22:54:40</t>
  </si>
  <si>
    <t>CID105</t>
  </si>
  <si>
    <t>Joseph</t>
  </si>
  <si>
    <t>Stewart</t>
  </si>
  <si>
    <t>joseph.stewart@yahoo.com</t>
  </si>
  <si>
    <t>4082 Wang Terrace Suite 040, Victorialand, ME 41532</t>
  </si>
  <si>
    <t>OID6886</t>
  </si>
  <si>
    <t>22:42:51</t>
  </si>
  <si>
    <t>PID042</t>
  </si>
  <si>
    <t>13:19:45</t>
  </si>
  <si>
    <t>CID172</t>
  </si>
  <si>
    <t>Kara</t>
  </si>
  <si>
    <t>Brennan</t>
  </si>
  <si>
    <t>Miami</t>
  </si>
  <si>
    <t>kara.brennan@outlook.com</t>
  </si>
  <si>
    <t>2174 Thomas Avenue, Maciasborough, NJ 41465</t>
  </si>
  <si>
    <t>OID3509</t>
  </si>
  <si>
    <t>14:52:54</t>
  </si>
  <si>
    <t>PID047</t>
  </si>
  <si>
    <t>15:16:54</t>
  </si>
  <si>
    <t>CID178</t>
  </si>
  <si>
    <t>Amy</t>
  </si>
  <si>
    <t>Reid</t>
  </si>
  <si>
    <t>amy.reid@rediffmail.com</t>
  </si>
  <si>
    <t>6262 Simpson Village, North Danielle, RI 76074</t>
  </si>
  <si>
    <t>OID3689</t>
  </si>
  <si>
    <t>01:19:56</t>
  </si>
  <si>
    <t>PID039</t>
  </si>
  <si>
    <t>21:47:03</t>
  </si>
  <si>
    <t>CID176</t>
  </si>
  <si>
    <t>Joshua</t>
  </si>
  <si>
    <t>Campbell</t>
  </si>
  <si>
    <t>Chicago</t>
  </si>
  <si>
    <t>joshua.campbell@gmail.com</t>
  </si>
  <si>
    <t>70426 Lindsey Overpass Apt. 030, Jessicafurt, AR 46269</t>
  </si>
  <si>
    <t>OID1911</t>
  </si>
  <si>
    <t>04:13:27</t>
  </si>
  <si>
    <t>11:25:46</t>
  </si>
  <si>
    <t>CID148</t>
  </si>
  <si>
    <t>Erin</t>
  </si>
  <si>
    <t>Miller</t>
  </si>
  <si>
    <t>San Francisco</t>
  </si>
  <si>
    <t>erin.miller@gmail.com</t>
  </si>
  <si>
    <t>65972 Peterson Route, Port Andrewfurt, SD 32892</t>
  </si>
  <si>
    <t>OID6520</t>
  </si>
  <si>
    <t>23:53:21</t>
  </si>
  <si>
    <t>PID014</t>
  </si>
  <si>
    <t>12:55:59</t>
  </si>
  <si>
    <t xml:space="preserve"> </t>
  </si>
  <si>
    <t>CID137</t>
  </si>
  <si>
    <t>Gina</t>
  </si>
  <si>
    <t>Moreno</t>
  </si>
  <si>
    <t>gina.moreno@rediffmail.com</t>
  </si>
  <si>
    <t>USS Murray, FPO AP 66559</t>
  </si>
  <si>
    <t>OID6123</t>
  </si>
  <si>
    <t>19:16:28</t>
  </si>
  <si>
    <t>PID024</t>
  </si>
  <si>
    <t>03:46:23</t>
  </si>
  <si>
    <t>CID147</t>
  </si>
  <si>
    <t>Mallory</t>
  </si>
  <si>
    <t>Mitchell</t>
  </si>
  <si>
    <t>mallory.mitchell@yahoo.com</t>
  </si>
  <si>
    <t>710 Anthony Wall Suite 137, East Davidstad, NV 61494</t>
  </si>
  <si>
    <t>OID1699</t>
  </si>
  <si>
    <t>11:48:17</t>
  </si>
  <si>
    <t>10:08:54</t>
  </si>
  <si>
    <t>CID128</t>
  </si>
  <si>
    <t>Traci</t>
  </si>
  <si>
    <t>Jones</t>
  </si>
  <si>
    <t>traci.jones@yahoo.com</t>
  </si>
  <si>
    <t>4016 Ryan Passage, Collinsside, PA 88777</t>
  </si>
  <si>
    <t>OID3792</t>
  </si>
  <si>
    <t>06:34:00</t>
  </si>
  <si>
    <t>PID003</t>
  </si>
  <si>
    <t>14:05:20</t>
  </si>
  <si>
    <t>CID168</t>
  </si>
  <si>
    <t>Deborah</t>
  </si>
  <si>
    <t>Bates</t>
  </si>
  <si>
    <t>deborah.bates@yahoo.com</t>
  </si>
  <si>
    <t>278 Kathy Estate, Saraville, OH 77292</t>
  </si>
  <si>
    <t>OID7663</t>
  </si>
  <si>
    <t>04:06:55</t>
  </si>
  <si>
    <t>13:39:21</t>
  </si>
  <si>
    <t>CID179</t>
  </si>
  <si>
    <t>Christian</t>
  </si>
  <si>
    <t>Clayton</t>
  </si>
  <si>
    <t>christian.clayton@yahoo.com</t>
  </si>
  <si>
    <t>065 Madison Way, Smithstad, CT 68011</t>
  </si>
  <si>
    <t>OID7609</t>
  </si>
  <si>
    <t>10:38:12</t>
  </si>
  <si>
    <t>13:23:35</t>
  </si>
  <si>
    <t>CID163</t>
  </si>
  <si>
    <t>Mark</t>
  </si>
  <si>
    <t>Henderson</t>
  </si>
  <si>
    <t>Dallas</t>
  </si>
  <si>
    <t>mark.henderson@yahoo.com</t>
  </si>
  <si>
    <t>90155 Hines Spring, North Theresafurt, ME 31920</t>
  </si>
  <si>
    <t>OID8875</t>
  </si>
  <si>
    <t>20:47:13</t>
  </si>
  <si>
    <t>PID008</t>
  </si>
  <si>
    <t>16:23:04</t>
  </si>
  <si>
    <t>CID182</t>
  </si>
  <si>
    <t>John</t>
  </si>
  <si>
    <t>Herrera</t>
  </si>
  <si>
    <t>john.herrera@outlook.com</t>
  </si>
  <si>
    <t>61263 Jacob Isle, Amandatown, TN 34321</t>
  </si>
  <si>
    <t>OID4032</t>
  </si>
  <si>
    <t>08:09:52</t>
  </si>
  <si>
    <t>PID012</t>
  </si>
  <si>
    <t>00:57:21</t>
  </si>
  <si>
    <t>CID158</t>
  </si>
  <si>
    <t>Evans</t>
  </si>
  <si>
    <t>angela.evans@outlook.com</t>
  </si>
  <si>
    <t>16031 David Mountain Suite 431, Susanborough, PA 01910</t>
  </si>
  <si>
    <t>OID9964</t>
  </si>
  <si>
    <t>19:13:06</t>
  </si>
  <si>
    <t>PID028</t>
  </si>
  <si>
    <t>04:38:19</t>
  </si>
  <si>
    <t>OID2121</t>
  </si>
  <si>
    <t>06:04:50</t>
  </si>
  <si>
    <t>PID030</t>
  </si>
  <si>
    <t>20:36:00</t>
  </si>
  <si>
    <t>OID4710</t>
  </si>
  <si>
    <t>17:44:17</t>
  </si>
  <si>
    <t>PID026</t>
  </si>
  <si>
    <t>09:53:18</t>
  </si>
  <si>
    <t>OID4295</t>
  </si>
  <si>
    <t>18:58:15</t>
  </si>
  <si>
    <t>02:21:23</t>
  </si>
  <si>
    <t>CID193</t>
  </si>
  <si>
    <t>Ashley</t>
  </si>
  <si>
    <t>Rose</t>
  </si>
  <si>
    <t>ashley.rose@gmail.com</t>
  </si>
  <si>
    <t>424 Nichols Curve Suite 177, Lake Brianview, TX 17289</t>
  </si>
  <si>
    <t>OID2817</t>
  </si>
  <si>
    <t>12:22:52</t>
  </si>
  <si>
    <t>08:01:21</t>
  </si>
  <si>
    <t>CID166</t>
  </si>
  <si>
    <t>Taylor</t>
  </si>
  <si>
    <t>Davis</t>
  </si>
  <si>
    <t>taylor.davis@yahoo.com</t>
  </si>
  <si>
    <t>USCGC Simmons, FPO AA 60167</t>
  </si>
  <si>
    <t>OID4643</t>
  </si>
  <si>
    <t>00:40:20</t>
  </si>
  <si>
    <t>PID018</t>
  </si>
  <si>
    <t>20:26:25</t>
  </si>
  <si>
    <t>CID191</t>
  </si>
  <si>
    <t>Lauren</t>
  </si>
  <si>
    <t>Long</t>
  </si>
  <si>
    <t>lauren.long@gmail.com</t>
  </si>
  <si>
    <t>258 Michael Brooks Suite 363, Arnoldview, PA 49438</t>
  </si>
  <si>
    <t>OID4558</t>
  </si>
  <si>
    <t>21:19:14</t>
  </si>
  <si>
    <t>17:27:57</t>
  </si>
  <si>
    <t>CID108</t>
  </si>
  <si>
    <t>Teresa</t>
  </si>
  <si>
    <t>Harvey</t>
  </si>
  <si>
    <t>teresa.harvey@gmail.com</t>
  </si>
  <si>
    <t>02669 Kirk Squares, Davisville, VA 51272</t>
  </si>
  <si>
    <t>OID9577</t>
  </si>
  <si>
    <t>10:35:41</t>
  </si>
  <si>
    <t>PID036</t>
  </si>
  <si>
    <t>09:28:47</t>
  </si>
  <si>
    <t>OID5502</t>
  </si>
  <si>
    <t>13:50:14</t>
  </si>
  <si>
    <t>PID050</t>
  </si>
  <si>
    <t>08:49:03</t>
  </si>
  <si>
    <t>CID161</t>
  </si>
  <si>
    <t>Heather</t>
  </si>
  <si>
    <t>Schneider</t>
  </si>
  <si>
    <t>heather.schneider@outlook.com</t>
  </si>
  <si>
    <t>57940 Susan Creek Apt. 541, Port Aliciamouth, OR 90221</t>
  </si>
  <si>
    <t>OID6974</t>
  </si>
  <si>
    <t>01:48:02</t>
  </si>
  <si>
    <t>09:55:32</t>
  </si>
  <si>
    <t>CID190</t>
  </si>
  <si>
    <t>Valerie</t>
  </si>
  <si>
    <t>Carr</t>
  </si>
  <si>
    <t>valerie.carr@rediffmail.com</t>
  </si>
  <si>
    <t>981 Emily Stream, South Brianna, CO 98063</t>
  </si>
  <si>
    <t>OID2701</t>
  </si>
  <si>
    <t>14:37:48</t>
  </si>
  <si>
    <t>PID021</t>
  </si>
  <si>
    <t>09:09:46</t>
  </si>
  <si>
    <t>OID4432</t>
  </si>
  <si>
    <t>05:01:37</t>
  </si>
  <si>
    <t>14:14:46</t>
  </si>
  <si>
    <t>OID3502</t>
  </si>
  <si>
    <t>12:35:46</t>
  </si>
  <si>
    <t>00:00:51</t>
  </si>
  <si>
    <t>CID120</t>
  </si>
  <si>
    <t>Jenny</t>
  </si>
  <si>
    <t>Estrada</t>
  </si>
  <si>
    <t>jenny.estrada@yahoo.com</t>
  </si>
  <si>
    <t>792 Carlos Islands, West David, CT 16522</t>
  </si>
  <si>
    <t>OID4411</t>
  </si>
  <si>
    <t>23:34:14</t>
  </si>
  <si>
    <t>PID027</t>
  </si>
  <si>
    <t>16:46:20</t>
  </si>
  <si>
    <t>CID155</t>
  </si>
  <si>
    <t>Courtney</t>
  </si>
  <si>
    <t>Parker</t>
  </si>
  <si>
    <t>courtney.parker@yahoo.com</t>
  </si>
  <si>
    <t>087 Jacqueline Rue Apt. 694, East Tasha, SC 04859</t>
  </si>
  <si>
    <t>OID6304</t>
  </si>
  <si>
    <t>04:09:40</t>
  </si>
  <si>
    <t>01:56:00</t>
  </si>
  <si>
    <t>CID121</t>
  </si>
  <si>
    <t>Julie</t>
  </si>
  <si>
    <t>Meyer</t>
  </si>
  <si>
    <t>julie.meyer@yahoo.com</t>
  </si>
  <si>
    <t>17381 Smith Ramp Suite 398, Courtneyville, AL 17756</t>
  </si>
  <si>
    <t>OID5126</t>
  </si>
  <si>
    <t>04:03:43</t>
  </si>
  <si>
    <t>PID037</t>
  </si>
  <si>
    <t>18:12:43</t>
  </si>
  <si>
    <t>OID8577</t>
  </si>
  <si>
    <t>00:47:19</t>
  </si>
  <si>
    <t>PID041</t>
  </si>
  <si>
    <t>11:25:58</t>
  </si>
  <si>
    <t>OID7688</t>
  </si>
  <si>
    <t>12:37:23</t>
  </si>
  <si>
    <t>09:02:09</t>
  </si>
  <si>
    <t>CID133</t>
  </si>
  <si>
    <t>Donna</t>
  </si>
  <si>
    <t>Oneill</t>
  </si>
  <si>
    <t>donna.oneill@yahoo.com</t>
  </si>
  <si>
    <t>464 Carolyn Crest Suite 738, Lake Isaiah, CA 66153</t>
  </si>
  <si>
    <t>OID4670</t>
  </si>
  <si>
    <t>17:27:33</t>
  </si>
  <si>
    <t>PID004</t>
  </si>
  <si>
    <t>15:28:39</t>
  </si>
  <si>
    <t>CID169</t>
  </si>
  <si>
    <t>Robert</t>
  </si>
  <si>
    <t>Castillo</t>
  </si>
  <si>
    <t>robert.castillo@gmail.com</t>
  </si>
  <si>
    <t>7143 Brandon Skyway Suite 899, Tylerton, IA 21756</t>
  </si>
  <si>
    <t>OID3319</t>
  </si>
  <si>
    <t>01:59:03</t>
  </si>
  <si>
    <t>12:37:05</t>
  </si>
  <si>
    <t>CID132</t>
  </si>
  <si>
    <t>Timothy</t>
  </si>
  <si>
    <t>Hicks</t>
  </si>
  <si>
    <t>timothy.hicks@gmail.com</t>
  </si>
  <si>
    <t>140 Tracy Fields, Lake Cynthiaton, TX 57190</t>
  </si>
  <si>
    <t>OID6911</t>
  </si>
  <si>
    <t>21:46:52</t>
  </si>
  <si>
    <t>16:09:29</t>
  </si>
  <si>
    <t>CID180</t>
  </si>
  <si>
    <t>Andersen</t>
  </si>
  <si>
    <t>thomas.andersen@yahoo.com</t>
  </si>
  <si>
    <t>480 Summers Lock Suite 819, Sarahborough, IA 59863</t>
  </si>
  <si>
    <t>OID8494</t>
  </si>
  <si>
    <t>18:49:59</t>
  </si>
  <si>
    <t>00:31:21</t>
  </si>
  <si>
    <t>OID6898</t>
  </si>
  <si>
    <t>22:08:17</t>
  </si>
  <si>
    <t>PID020</t>
  </si>
  <si>
    <t>06:23:07</t>
  </si>
  <si>
    <t>CID184</t>
  </si>
  <si>
    <t>Aaron</t>
  </si>
  <si>
    <t>Thompson</t>
  </si>
  <si>
    <t>aaron.thompson@gmail.com</t>
  </si>
  <si>
    <t>PSC 0550, Box 2737, APO AE 75772</t>
  </si>
  <si>
    <t>OID7606</t>
  </si>
  <si>
    <t>19:20:51</t>
  </si>
  <si>
    <t>07:23:46</t>
  </si>
  <si>
    <t>CID187</t>
  </si>
  <si>
    <t>Jason</t>
  </si>
  <si>
    <t>Lopez</t>
  </si>
  <si>
    <t>jason.lopez@outlook.com</t>
  </si>
  <si>
    <t>934 Levine View, Brentport, NE 38210</t>
  </si>
  <si>
    <t>OID6503</t>
  </si>
  <si>
    <t>00:57:17</t>
  </si>
  <si>
    <t>09:51:58</t>
  </si>
  <si>
    <t>CID181</t>
  </si>
  <si>
    <t>Alexandra</t>
  </si>
  <si>
    <t>Smith</t>
  </si>
  <si>
    <t>alexandra.smith@rediffmail.com</t>
  </si>
  <si>
    <t>48611 Clark Village, West Anne, GA 92865</t>
  </si>
  <si>
    <t>OID3616</t>
  </si>
  <si>
    <t>04:25:34</t>
  </si>
  <si>
    <t>00:47:31</t>
  </si>
  <si>
    <t>OID2170</t>
  </si>
  <si>
    <t>07:52:23</t>
  </si>
  <si>
    <t>17:14:10</t>
  </si>
  <si>
    <t>CID116</t>
  </si>
  <si>
    <t>Ramirez</t>
  </si>
  <si>
    <t>john.ramirez@outlook.com</t>
  </si>
  <si>
    <t>02797 Martin Landing, South Michelle, VT 98781</t>
  </si>
  <si>
    <t>OID1956</t>
  </si>
  <si>
    <t>15:34:34</t>
  </si>
  <si>
    <t>PID010</t>
  </si>
  <si>
    <t>01:12:58</t>
  </si>
  <si>
    <t>CID135</t>
  </si>
  <si>
    <t>Amanda</t>
  </si>
  <si>
    <t>Howard</t>
  </si>
  <si>
    <t>amanda.howard@outlook.com</t>
  </si>
  <si>
    <t>56908 Sydney Park Suite 632, West Anthonyport, NC 15954</t>
  </si>
  <si>
    <t>OID8620</t>
  </si>
  <si>
    <t>01:45:28</t>
  </si>
  <si>
    <t>07:09:53</t>
  </si>
  <si>
    <t>OID4770</t>
  </si>
  <si>
    <t>12:30:02</t>
  </si>
  <si>
    <t>PID001</t>
  </si>
  <si>
    <t>07:53:31</t>
  </si>
  <si>
    <t>OID9880</t>
  </si>
  <si>
    <t>04:32:42</t>
  </si>
  <si>
    <t>08:48:02</t>
  </si>
  <si>
    <t>CID165</t>
  </si>
  <si>
    <t>Mary</t>
  </si>
  <si>
    <t>Knight</t>
  </si>
  <si>
    <t>mary.knight@yahoo.com</t>
  </si>
  <si>
    <t>907 Kimberly Hill, Murrayfort, NH 88384</t>
  </si>
  <si>
    <t>OID2152</t>
  </si>
  <si>
    <t>14:13:38</t>
  </si>
  <si>
    <t>16:08:19</t>
  </si>
  <si>
    <t>CID126</t>
  </si>
  <si>
    <t>Rogers</t>
  </si>
  <si>
    <t>marcus.rogers@outlook.com</t>
  </si>
  <si>
    <t>06912 Brown Pine Apt. 763, Teresamouth, HI 24377</t>
  </si>
  <si>
    <t>OID2991</t>
  </si>
  <si>
    <t>02:09:48</t>
  </si>
  <si>
    <t>03:08:52</t>
  </si>
  <si>
    <t>CID111</t>
  </si>
  <si>
    <t>Brian</t>
  </si>
  <si>
    <t>Kennedy</t>
  </si>
  <si>
    <t>brian.kennedy@outlook.com</t>
  </si>
  <si>
    <t>25126 Nancy Fort Suite 568, Alexandrachester, AZ 44823</t>
  </si>
  <si>
    <t>OID5607</t>
  </si>
  <si>
    <t>16:10:50</t>
  </si>
  <si>
    <t>15:21:29</t>
  </si>
  <si>
    <t>CID129</t>
  </si>
  <si>
    <t>Rebecca</t>
  </si>
  <si>
    <t>Figueroa</t>
  </si>
  <si>
    <t>rebecca.figueroa@outlook.com</t>
  </si>
  <si>
    <t>3959 Bell Dale, North Jacob, LA 07934</t>
  </si>
  <si>
    <t>OID8169</t>
  </si>
  <si>
    <t>09:43:27</t>
  </si>
  <si>
    <t>00:00:42</t>
  </si>
  <si>
    <t>CID199</t>
  </si>
  <si>
    <t>Lori</t>
  </si>
  <si>
    <t>Cook</t>
  </si>
  <si>
    <t>lori.cook@rediffmail.com</t>
  </si>
  <si>
    <t>86837 Bell Meadows, North Jasonshire, UT 51354</t>
  </si>
  <si>
    <t>OID5832</t>
  </si>
  <si>
    <t>02:34:25</t>
  </si>
  <si>
    <t>PID019</t>
  </si>
  <si>
    <t>13:09:47</t>
  </si>
  <si>
    <t>CID134</t>
  </si>
  <si>
    <t>Hayes</t>
  </si>
  <si>
    <t>debra.hayes@yahoo.com</t>
  </si>
  <si>
    <t>4601 Miller Lock, Williamsbury, IA 10943</t>
  </si>
  <si>
    <t>OID7806</t>
  </si>
  <si>
    <t>02:46:19</t>
  </si>
  <si>
    <t>PID009</t>
  </si>
  <si>
    <t>20:00:32</t>
  </si>
  <si>
    <t>CID136</t>
  </si>
  <si>
    <t>Brittany</t>
  </si>
  <si>
    <t>brittany.stewart@gmail.com</t>
  </si>
  <si>
    <t>6250 David Loaf Suite 561, North Pamelaberg, WV 63652</t>
  </si>
  <si>
    <t>OID4875</t>
  </si>
  <si>
    <t>18:25:37</t>
  </si>
  <si>
    <t>15:52:25</t>
  </si>
  <si>
    <t>CID153</t>
  </si>
  <si>
    <t>mitchell.parker@yahoo.com</t>
  </si>
  <si>
    <t>PSC 3316, Box 9303, APO AE 29513</t>
  </si>
  <si>
    <t>OID4070</t>
  </si>
  <si>
    <t>19:18:19</t>
  </si>
  <si>
    <t>PID038</t>
  </si>
  <si>
    <t>02:44:55</t>
  </si>
  <si>
    <t>OID7679</t>
  </si>
  <si>
    <t>09:15:50</t>
  </si>
  <si>
    <t>09:05:06</t>
  </si>
  <si>
    <t>CID100</t>
  </si>
  <si>
    <t>Sharon</t>
  </si>
  <si>
    <t>sharon.thompson@yahoo.com</t>
  </si>
  <si>
    <t>598 Jasmine Harbor, Turnerberg, SD 02371</t>
  </si>
  <si>
    <t>OID3097</t>
  </si>
  <si>
    <t>02:51:35</t>
  </si>
  <si>
    <t>05:56:26</t>
  </si>
  <si>
    <t>CID195</t>
  </si>
  <si>
    <t>Sarah</t>
  </si>
  <si>
    <t>Butler</t>
  </si>
  <si>
    <t>sarah.butler@rediffmail.com</t>
  </si>
  <si>
    <t>14131 Edwin Shore Apt. 190, Deniseberg, MD 90905</t>
  </si>
  <si>
    <t>OID8869</t>
  </si>
  <si>
    <t>20:59:40</t>
  </si>
  <si>
    <t>PID048</t>
  </si>
  <si>
    <t>23:33:51</t>
  </si>
  <si>
    <t>OID2686</t>
  </si>
  <si>
    <t>17:00:22</t>
  </si>
  <si>
    <t>PID049</t>
  </si>
  <si>
    <t>12:18:47</t>
  </si>
  <si>
    <t>CID175</t>
  </si>
  <si>
    <t>Katherine</t>
  </si>
  <si>
    <t>Weber</t>
  </si>
  <si>
    <t>katherine.weber@outlook.com</t>
  </si>
  <si>
    <t>04887 Kimberly Union Apt. 645, Port Laura, IL 97219</t>
  </si>
  <si>
    <t>OID1046</t>
  </si>
  <si>
    <t>22:51:56</t>
  </si>
  <si>
    <t>07:24:20</t>
  </si>
  <si>
    <t>CID103</t>
  </si>
  <si>
    <t>Nguyen</t>
  </si>
  <si>
    <t>jason.nguyen@yahoo.com</t>
  </si>
  <si>
    <t>7112 Travis Glens Suite 790, Crystalland, WV 38373</t>
  </si>
  <si>
    <t>OID8953</t>
  </si>
  <si>
    <t>12:19:34</t>
  </si>
  <si>
    <t>10:04:54</t>
  </si>
  <si>
    <t>CID192</t>
  </si>
  <si>
    <t>Brandon</t>
  </si>
  <si>
    <t>Cruz</t>
  </si>
  <si>
    <t>brandon.cruz@gmail.com</t>
  </si>
  <si>
    <t>9296 Villanueva Branch, East Kevin, CO 93912</t>
  </si>
  <si>
    <t>OID1157</t>
  </si>
  <si>
    <t>15:26:04</t>
  </si>
  <si>
    <t>08:17:58</t>
  </si>
  <si>
    <t>OID7358</t>
  </si>
  <si>
    <t>19:49:32</t>
  </si>
  <si>
    <t>22:41:33</t>
  </si>
  <si>
    <t>CID174</t>
  </si>
  <si>
    <t>Jodi</t>
  </si>
  <si>
    <t>Whitney</t>
  </si>
  <si>
    <t>jodi.whitney@yahoo.com</t>
  </si>
  <si>
    <t>72876 Lara Key Suite 383, Gutierrezton, OR 71683</t>
  </si>
  <si>
    <t>OID7453</t>
  </si>
  <si>
    <t>21:08:59</t>
  </si>
  <si>
    <t>PID017</t>
  </si>
  <si>
    <t>10:39:08</t>
  </si>
  <si>
    <t>OID1573</t>
  </si>
  <si>
    <t>05:40:38</t>
  </si>
  <si>
    <t>05:38:59</t>
  </si>
  <si>
    <t>OID5696</t>
  </si>
  <si>
    <t>17:56:01</t>
  </si>
  <si>
    <t>15:52:42</t>
  </si>
  <si>
    <t>OID3467</t>
  </si>
  <si>
    <t>23:34:28</t>
  </si>
  <si>
    <t>PID016</t>
  </si>
  <si>
    <t>02:05:20</t>
  </si>
  <si>
    <t>OID8542</t>
  </si>
  <si>
    <t>03:04:26</t>
  </si>
  <si>
    <t>16:05:07</t>
  </si>
  <si>
    <t>OID1520</t>
  </si>
  <si>
    <t>04:27:04</t>
  </si>
  <si>
    <t>07:38:34</t>
  </si>
  <si>
    <t>OID2157</t>
  </si>
  <si>
    <t>23:24:39</t>
  </si>
  <si>
    <t>PID006</t>
  </si>
  <si>
    <t>01:07:36</t>
  </si>
  <si>
    <t>CID145</t>
  </si>
  <si>
    <t>Romero</t>
  </si>
  <si>
    <t>ashley.romero@yahoo.com</t>
  </si>
  <si>
    <t>547 Kerry Expressway, Lake Amanda, AR 20321</t>
  </si>
  <si>
    <t>OID6374</t>
  </si>
  <si>
    <t>18:54:33</t>
  </si>
  <si>
    <t>16:14:09</t>
  </si>
  <si>
    <t>OID6555</t>
  </si>
  <si>
    <t>10:55:08</t>
  </si>
  <si>
    <t>10:56:05</t>
  </si>
  <si>
    <t>OID5850</t>
  </si>
  <si>
    <t>19:40:45</t>
  </si>
  <si>
    <t>20:24:13</t>
  </si>
  <si>
    <t>OID8041</t>
  </si>
  <si>
    <t>02:08:49</t>
  </si>
  <si>
    <t>PID025</t>
  </si>
  <si>
    <t>15:38:07</t>
  </si>
  <si>
    <t>CID144</t>
  </si>
  <si>
    <t>William</t>
  </si>
  <si>
    <t>Mann</t>
  </si>
  <si>
    <t>william.mann@yahoo.com</t>
  </si>
  <si>
    <t>849 Tran Wells, New Lindsayville, WI 22669</t>
  </si>
  <si>
    <t>OID5605</t>
  </si>
  <si>
    <t>01:05:15</t>
  </si>
  <si>
    <t>13:48:26</t>
  </si>
  <si>
    <t>OID8388</t>
  </si>
  <si>
    <t>04:27:02</t>
  </si>
  <si>
    <t>09:07:52</t>
  </si>
  <si>
    <t>CID125</t>
  </si>
  <si>
    <t>Kelli</t>
  </si>
  <si>
    <t>kelli.smith@rediffmail.com</t>
  </si>
  <si>
    <t>788 Kristina Lane, Montoyaside, VA 90756</t>
  </si>
  <si>
    <t>OID5787</t>
  </si>
  <si>
    <t>15:22:10</t>
  </si>
  <si>
    <t>13:15:51</t>
  </si>
  <si>
    <t>OID3140</t>
  </si>
  <si>
    <t>19:45:13</t>
  </si>
  <si>
    <t>13:53:47</t>
  </si>
  <si>
    <t>OID6771</t>
  </si>
  <si>
    <t>01:09:33</t>
  </si>
  <si>
    <t>21:18:20</t>
  </si>
  <si>
    <t>OID8988</t>
  </si>
  <si>
    <t>07:05:58</t>
  </si>
  <si>
    <t>17:13:41</t>
  </si>
  <si>
    <t>OID9398</t>
  </si>
  <si>
    <t>07:48:29</t>
  </si>
  <si>
    <t>23:09:43</t>
  </si>
  <si>
    <t>CID139</t>
  </si>
  <si>
    <t>Gaines</t>
  </si>
  <si>
    <t>joseph.gaines@outlook.com</t>
  </si>
  <si>
    <t>37549 Pope Isle Apt. 202, Tylerborough, MO 60042</t>
  </si>
  <si>
    <t>OID9822</t>
  </si>
  <si>
    <t>12:17:34</t>
  </si>
  <si>
    <t>11:02:15</t>
  </si>
  <si>
    <t>OID1269</t>
  </si>
  <si>
    <t>19:02:37</t>
  </si>
  <si>
    <t>00:56:16</t>
  </si>
  <si>
    <t>OID9915</t>
  </si>
  <si>
    <t>03:34:35</t>
  </si>
  <si>
    <t>00:26:45</t>
  </si>
  <si>
    <t>OID3348</t>
  </si>
  <si>
    <t>17:05:21</t>
  </si>
  <si>
    <t>PID005</t>
  </si>
  <si>
    <t>06:56:06</t>
  </si>
  <si>
    <t>CID118</t>
  </si>
  <si>
    <t>Ellis</t>
  </si>
  <si>
    <t>amy.ellis@gmail.com</t>
  </si>
  <si>
    <t>217 Scott Ville, Christophermouth, NH 83776</t>
  </si>
  <si>
    <t>OID8431</t>
  </si>
  <si>
    <t>23:41:08</t>
  </si>
  <si>
    <t>01:56:42</t>
  </si>
  <si>
    <t>CID140</t>
  </si>
  <si>
    <t>Beth</t>
  </si>
  <si>
    <t>Mason</t>
  </si>
  <si>
    <t>beth.mason@outlook.com</t>
  </si>
  <si>
    <t>58998 Sherry Haven, East Richard, FL 90775</t>
  </si>
  <si>
    <t>OID6943</t>
  </si>
  <si>
    <t>04:48:30</t>
  </si>
  <si>
    <t>PID035</t>
  </si>
  <si>
    <t>10:01:40</t>
  </si>
  <si>
    <t>OID6229</t>
  </si>
  <si>
    <t>17:09:49</t>
  </si>
  <si>
    <t>PID013</t>
  </si>
  <si>
    <t>22:15:50</t>
  </si>
  <si>
    <t>OID6912</t>
  </si>
  <si>
    <t>07:51:16</t>
  </si>
  <si>
    <t>06:23:31</t>
  </si>
  <si>
    <t>OID5081</t>
  </si>
  <si>
    <t>21:43:03</t>
  </si>
  <si>
    <t>01:29:42</t>
  </si>
  <si>
    <t>OID5610</t>
  </si>
  <si>
    <t>07:53:58</t>
  </si>
  <si>
    <t>10:10:26</t>
  </si>
  <si>
    <t>OID7759</t>
  </si>
  <si>
    <t>01:16:21</t>
  </si>
  <si>
    <t>17:07:06</t>
  </si>
  <si>
    <t>CID123</t>
  </si>
  <si>
    <t>Christy</t>
  </si>
  <si>
    <t>Chang</t>
  </si>
  <si>
    <t>christy.chang@outlook.com</t>
  </si>
  <si>
    <t>4647 Hannah Centers, Rhodesburgh, NH 89363</t>
  </si>
  <si>
    <t>OID4481</t>
  </si>
  <si>
    <t>02:43:38</t>
  </si>
  <si>
    <t>02:45:47</t>
  </si>
  <si>
    <t>CID183</t>
  </si>
  <si>
    <t>Troy</t>
  </si>
  <si>
    <t>Gomez</t>
  </si>
  <si>
    <t>troy.gomez@outlook.com</t>
  </si>
  <si>
    <t>7510 Jose Knolls, Candicechester, LA 62815</t>
  </si>
  <si>
    <t>OID6749</t>
  </si>
  <si>
    <t>13:25:18</t>
  </si>
  <si>
    <t>PID032</t>
  </si>
  <si>
    <t>14:51:25</t>
  </si>
  <si>
    <t>CID143</t>
  </si>
  <si>
    <t>Kim</t>
  </si>
  <si>
    <t>Blevins</t>
  </si>
  <si>
    <t>kim.blevins@outlook.com</t>
  </si>
  <si>
    <t>089 Rice Shoal Suite 491, Juarezmouth, MI 88715</t>
  </si>
  <si>
    <t>OID8681</t>
  </si>
  <si>
    <t>18:32:14</t>
  </si>
  <si>
    <t>06:09:27</t>
  </si>
  <si>
    <t>OID9693</t>
  </si>
  <si>
    <t>21:12:50</t>
  </si>
  <si>
    <t>09:07:45</t>
  </si>
  <si>
    <t>OID3607</t>
  </si>
  <si>
    <t>17:19:09</t>
  </si>
  <si>
    <t>09:03:23</t>
  </si>
  <si>
    <t>OID9743</t>
  </si>
  <si>
    <t>15:04:45</t>
  </si>
  <si>
    <t>19:43:27</t>
  </si>
  <si>
    <t>CID156</t>
  </si>
  <si>
    <t>Gregory</t>
  </si>
  <si>
    <t>Lee</t>
  </si>
  <si>
    <t>gregory.lee@rediffmail.com</t>
  </si>
  <si>
    <t>619 Parker Turnpike Apt. 025, West Brucehaven, ID 48437</t>
  </si>
  <si>
    <t>OID7866</t>
  </si>
  <si>
    <t>18:15:56</t>
  </si>
  <si>
    <t>04:57:03</t>
  </si>
  <si>
    <t>OID1137</t>
  </si>
  <si>
    <t>00:17:47</t>
  </si>
  <si>
    <t>21:42:51</t>
  </si>
  <si>
    <t>CID170</t>
  </si>
  <si>
    <t>Bruce</t>
  </si>
  <si>
    <t>Allen</t>
  </si>
  <si>
    <t>bruce.allen@rediffmail.com</t>
  </si>
  <si>
    <t>2417 Brown Ford, West Timothyside, RI 45629</t>
  </si>
  <si>
    <t>OID4685</t>
  </si>
  <si>
    <t>01:46:15</t>
  </si>
  <si>
    <t>22:28:20</t>
  </si>
  <si>
    <t>CID107</t>
  </si>
  <si>
    <t>Lisa</t>
  </si>
  <si>
    <t>lisa.miller@gmail.com</t>
  </si>
  <si>
    <t>89748 Campbell Drive, South Tannerland, WI 13143</t>
  </si>
  <si>
    <t>OID9584</t>
  </si>
  <si>
    <t>09:44:25</t>
  </si>
  <si>
    <t>09:50:58</t>
  </si>
  <si>
    <t>CID185</t>
  </si>
  <si>
    <t>Melissa</t>
  </si>
  <si>
    <t>Levy</t>
  </si>
  <si>
    <t>melissa.levy@rediffmail.com</t>
  </si>
  <si>
    <t>3303 Kennedy Springs Suite 830, East Amybury, MI 95595</t>
  </si>
  <si>
    <t>OID1686</t>
  </si>
  <si>
    <t>20:32:03</t>
  </si>
  <si>
    <t>PID040</t>
  </si>
  <si>
    <t>16:26:05</t>
  </si>
  <si>
    <t>OID5272</t>
  </si>
  <si>
    <t>12:57:10</t>
  </si>
  <si>
    <t>19:04:22</t>
  </si>
  <si>
    <t>OID7359</t>
  </si>
  <si>
    <t>14:16:13</t>
  </si>
  <si>
    <t>11:54:49</t>
  </si>
  <si>
    <t>OID3570</t>
  </si>
  <si>
    <t>05:44:11</t>
  </si>
  <si>
    <t>PID029</t>
  </si>
  <si>
    <t>18:54:47</t>
  </si>
  <si>
    <t>CID194</t>
  </si>
  <si>
    <t>Barbara</t>
  </si>
  <si>
    <t>Fuller</t>
  </si>
  <si>
    <t>barbara.fuller@rediffmail.com</t>
  </si>
  <si>
    <t>134 Mcintosh Unions Suite 574, Lake Laura, DE 96577</t>
  </si>
  <si>
    <t>OID2519</t>
  </si>
  <si>
    <t>19:28:31</t>
  </si>
  <si>
    <t>16:45:09</t>
  </si>
  <si>
    <t>OID1134</t>
  </si>
  <si>
    <t>06:22:42</t>
  </si>
  <si>
    <t>11:58:32</t>
  </si>
  <si>
    <t>OID8270</t>
  </si>
  <si>
    <t>03:53:04</t>
  </si>
  <si>
    <t>15:27:26</t>
  </si>
  <si>
    <t>OID9515</t>
  </si>
  <si>
    <t>13:06:48</t>
  </si>
  <si>
    <t>01:22:23</t>
  </si>
  <si>
    <t>CID188</t>
  </si>
  <si>
    <t>Kristina</t>
  </si>
  <si>
    <t>Haynes</t>
  </si>
  <si>
    <t>kristina.haynes@yahoo.com</t>
  </si>
  <si>
    <t>18295 Thomas River, Kochville, NH 80868</t>
  </si>
  <si>
    <t>OID6608</t>
  </si>
  <si>
    <t>10:28:03</t>
  </si>
  <si>
    <t>PID044</t>
  </si>
  <si>
    <t>23:08:52</t>
  </si>
  <si>
    <t>CID112</t>
  </si>
  <si>
    <t>Lindsey</t>
  </si>
  <si>
    <t>Byrd</t>
  </si>
  <si>
    <t>lindsey.byrd@rediffmail.com</t>
  </si>
  <si>
    <t>USCGC Harper, FPO AA 38349</t>
  </si>
  <si>
    <t>OID3035</t>
  </si>
  <si>
    <t>22:11:06</t>
  </si>
  <si>
    <t>11:35:56</t>
  </si>
  <si>
    <t>OID4548</t>
  </si>
  <si>
    <t>14:00:52</t>
  </si>
  <si>
    <t>04:39:06</t>
  </si>
  <si>
    <t>OID5978</t>
  </si>
  <si>
    <t>07:11:09</t>
  </si>
  <si>
    <t>14:05:53</t>
  </si>
  <si>
    <t>OID6297</t>
  </si>
  <si>
    <t>12:09:51</t>
  </si>
  <si>
    <t>05:11:05</t>
  </si>
  <si>
    <t>OID5108</t>
  </si>
  <si>
    <t>10:51:20</t>
  </si>
  <si>
    <t>23:53:27</t>
  </si>
  <si>
    <t>OID4599</t>
  </si>
  <si>
    <t>23:40:15</t>
  </si>
  <si>
    <t>20:14:00</t>
  </si>
  <si>
    <t>OID1418</t>
  </si>
  <si>
    <t>01:24:01</t>
  </si>
  <si>
    <t>16:29:02</t>
  </si>
  <si>
    <t>OID1411</t>
  </si>
  <si>
    <t>11:34:01</t>
  </si>
  <si>
    <t>11:25:35</t>
  </si>
  <si>
    <t>OID8692</t>
  </si>
  <si>
    <t>02:04:13</t>
  </si>
  <si>
    <t>19:20:55</t>
  </si>
  <si>
    <t>OID4402</t>
  </si>
  <si>
    <t>22:18:21</t>
  </si>
  <si>
    <t>12:35:14</t>
  </si>
  <si>
    <t>OID1309</t>
  </si>
  <si>
    <t>08:18:11</t>
  </si>
  <si>
    <t>13:38:46</t>
  </si>
  <si>
    <t>OID2746</t>
  </si>
  <si>
    <t>10:44:36</t>
  </si>
  <si>
    <t>23:51:56</t>
  </si>
  <si>
    <t>OID9360</t>
  </si>
  <si>
    <t>17:09:22</t>
  </si>
  <si>
    <t>16:24:38</t>
  </si>
  <si>
    <t>OID6453</t>
  </si>
  <si>
    <t>07:07:24</t>
  </si>
  <si>
    <t>01:21:39</t>
  </si>
  <si>
    <t>CID124</t>
  </si>
  <si>
    <t>Edward</t>
  </si>
  <si>
    <t>Black</t>
  </si>
  <si>
    <t>edward.black@gmail.com</t>
  </si>
  <si>
    <t>5879 Susan Via Apt. 886, Sandovalbury, WV 61449</t>
  </si>
  <si>
    <t>OID9745</t>
  </si>
  <si>
    <t>07:27:27</t>
  </si>
  <si>
    <t>14:08:36</t>
  </si>
  <si>
    <t>CID160</t>
  </si>
  <si>
    <t>James</t>
  </si>
  <si>
    <t>Brown</t>
  </si>
  <si>
    <t>james.brown@yahoo.com</t>
  </si>
  <si>
    <t>221 Frey Crossing Suite 192, South Taylorland, HI 72875</t>
  </si>
  <si>
    <t>OID4081</t>
  </si>
  <si>
    <t>00:30:57</t>
  </si>
  <si>
    <t>15:41:07</t>
  </si>
  <si>
    <t>CID171</t>
  </si>
  <si>
    <t>Leslie</t>
  </si>
  <si>
    <t>Montgomery</t>
  </si>
  <si>
    <t>leslie.montgomery@gmail.com</t>
  </si>
  <si>
    <t>135 Teresa Oval Apt. 825, East Katherineport, WY 13714</t>
  </si>
  <si>
    <t>OID3967</t>
  </si>
  <si>
    <t>20:10:38</t>
  </si>
  <si>
    <t>03:43:44</t>
  </si>
  <si>
    <t>CID173</t>
  </si>
  <si>
    <t>Susan</t>
  </si>
  <si>
    <t>susan.thompson@outlook.com</t>
  </si>
  <si>
    <t>47821 William Station, East Ashleymouth, FL 20562</t>
  </si>
  <si>
    <t>OID9112</t>
  </si>
  <si>
    <t>14:57:06</t>
  </si>
  <si>
    <t>21:20:28</t>
  </si>
  <si>
    <t>OID8628</t>
  </si>
  <si>
    <t>10:20:44</t>
  </si>
  <si>
    <t>23:29:03</t>
  </si>
  <si>
    <t>OID5996</t>
  </si>
  <si>
    <t>14:09:23</t>
  </si>
  <si>
    <t>10:17:52</t>
  </si>
  <si>
    <t>OID5210</t>
  </si>
  <si>
    <t>10:48:56</t>
  </si>
  <si>
    <t>05:48:39</t>
  </si>
  <si>
    <t>OID4415</t>
  </si>
  <si>
    <t>10:33:35</t>
  </si>
  <si>
    <t>05:24:44</t>
  </si>
  <si>
    <t>OID6716</t>
  </si>
  <si>
    <t>22:34:39</t>
  </si>
  <si>
    <t>02:59:45</t>
  </si>
  <si>
    <t>OID9804</t>
  </si>
  <si>
    <t>19:56:54</t>
  </si>
  <si>
    <t>PID011</t>
  </si>
  <si>
    <t>02:22:56</t>
  </si>
  <si>
    <t>OID9798</t>
  </si>
  <si>
    <t>19:28:23</t>
  </si>
  <si>
    <t>11:32:19</t>
  </si>
  <si>
    <t>OID4965</t>
  </si>
  <si>
    <t>09:43:17</t>
  </si>
  <si>
    <t>16:27:25</t>
  </si>
  <si>
    <t>OID3209</t>
  </si>
  <si>
    <t>06:49:56</t>
  </si>
  <si>
    <t>22:10:44</t>
  </si>
  <si>
    <t>OID6103</t>
  </si>
  <si>
    <t>00:43:57</t>
  </si>
  <si>
    <t>04:56:51</t>
  </si>
  <si>
    <t>OID4368</t>
  </si>
  <si>
    <t>15:45:08</t>
  </si>
  <si>
    <t>19:53:01</t>
  </si>
  <si>
    <t>OID1692</t>
  </si>
  <si>
    <t>03:06:30</t>
  </si>
  <si>
    <t>06:57:51</t>
  </si>
  <si>
    <t>OID9808</t>
  </si>
  <si>
    <t>13:02:42</t>
  </si>
  <si>
    <t>06:40:28</t>
  </si>
  <si>
    <t>CID119</t>
  </si>
  <si>
    <t>Griffin</t>
  </si>
  <si>
    <t>amy.griffin@rediffmail.com</t>
  </si>
  <si>
    <t>07350 Aaron Meadow Suite 138, Kiaraberg, AL 79545</t>
  </si>
  <si>
    <t>OID3568</t>
  </si>
  <si>
    <t>10:25:49</t>
  </si>
  <si>
    <t>08:21:37</t>
  </si>
  <si>
    <t>OID3469</t>
  </si>
  <si>
    <t>04:33:43</t>
  </si>
  <si>
    <t>01:47:49</t>
  </si>
  <si>
    <t>OID6217</t>
  </si>
  <si>
    <t>15:45:02</t>
  </si>
  <si>
    <t>19:16:06</t>
  </si>
  <si>
    <t>OID9257</t>
  </si>
  <si>
    <t>18:37:45</t>
  </si>
  <si>
    <t>02:32:24</t>
  </si>
  <si>
    <t>OID7258</t>
  </si>
  <si>
    <t>20:25:23</t>
  </si>
  <si>
    <t>11:54:10</t>
  </si>
  <si>
    <t>OID8380</t>
  </si>
  <si>
    <t>10:35:10</t>
  </si>
  <si>
    <t>00:12:03</t>
  </si>
  <si>
    <t>OID9224</t>
  </si>
  <si>
    <t>21:35:45</t>
  </si>
  <si>
    <t>09:34:31</t>
  </si>
  <si>
    <t>OID4506</t>
  </si>
  <si>
    <t>16:54:11</t>
  </si>
  <si>
    <t>18:09:14</t>
  </si>
  <si>
    <t>OID7689</t>
  </si>
  <si>
    <t>10:04:46</t>
  </si>
  <si>
    <t>22:23:04</t>
  </si>
  <si>
    <t>CID109</t>
  </si>
  <si>
    <t>Rachael</t>
  </si>
  <si>
    <t>Robinson</t>
  </si>
  <si>
    <t>rachael.robinson@rediffmail.com</t>
  </si>
  <si>
    <t>0889 Brady Points, Port Meganhaven, NM 26553</t>
  </si>
  <si>
    <t>OID8699</t>
  </si>
  <si>
    <t>02:22:40</t>
  </si>
  <si>
    <t>00:47:16</t>
  </si>
  <si>
    <t>OID1317</t>
  </si>
  <si>
    <t>21:52:14</t>
  </si>
  <si>
    <t>10:43:13</t>
  </si>
  <si>
    <t>OID2429</t>
  </si>
  <si>
    <t>08:31:11</t>
  </si>
  <si>
    <t>09:56:25</t>
  </si>
  <si>
    <t>OID4514</t>
  </si>
  <si>
    <t>20:48:48</t>
  </si>
  <si>
    <t>PID002</t>
  </si>
  <si>
    <t>15:06:55</t>
  </si>
  <si>
    <t>OID6237</t>
  </si>
  <si>
    <t>18:41:53</t>
  </si>
  <si>
    <t>19:58:13</t>
  </si>
  <si>
    <t>OID6752</t>
  </si>
  <si>
    <t>05:35:11</t>
  </si>
  <si>
    <t>04:56:02</t>
  </si>
  <si>
    <t>OID7059</t>
  </si>
  <si>
    <t>11:01:20</t>
  </si>
  <si>
    <t>12:21:09</t>
  </si>
  <si>
    <t>OID6264</t>
  </si>
  <si>
    <t>08:29:32</t>
  </si>
  <si>
    <t>12:32:31</t>
  </si>
  <si>
    <t>OID5366</t>
  </si>
  <si>
    <t>02:56:50</t>
  </si>
  <si>
    <t>05:26:37</t>
  </si>
  <si>
    <t>OID1663</t>
  </si>
  <si>
    <t>11:18:01</t>
  </si>
  <si>
    <t>06:56:11</t>
  </si>
  <si>
    <t>OID7664</t>
  </si>
  <si>
    <t>03:11:30</t>
  </si>
  <si>
    <t>18:17:55</t>
  </si>
  <si>
    <t>OID4364</t>
  </si>
  <si>
    <t>04:35:15</t>
  </si>
  <si>
    <t>15:55:56</t>
  </si>
  <si>
    <t>OID1153</t>
  </si>
  <si>
    <t>08:45:48</t>
  </si>
  <si>
    <t>10:48:42</t>
  </si>
  <si>
    <t>OID5700</t>
  </si>
  <si>
    <t>09:39:48</t>
  </si>
  <si>
    <t>06:37:23</t>
  </si>
  <si>
    <t>OID1706</t>
  </si>
  <si>
    <t>19:48:44</t>
  </si>
  <si>
    <t>16:27:41</t>
  </si>
  <si>
    <t>OID6420</t>
  </si>
  <si>
    <t>18:18:32</t>
  </si>
  <si>
    <t>10:39:26</t>
  </si>
  <si>
    <t>OID2659</t>
  </si>
  <si>
    <t>16:59:55</t>
  </si>
  <si>
    <t>01:05:29</t>
  </si>
  <si>
    <t>OID5326</t>
  </si>
  <si>
    <t>13:40:51</t>
  </si>
  <si>
    <t>PID045</t>
  </si>
  <si>
    <t>00:35:18</t>
  </si>
  <si>
    <t>CID127</t>
  </si>
  <si>
    <t>Natasha</t>
  </si>
  <si>
    <t>Michael</t>
  </si>
  <si>
    <t>natasha.michael@gmail.com</t>
  </si>
  <si>
    <t>78992 Justin Estates Suite 226, Floresberg, NM 40797</t>
  </si>
  <si>
    <t>OID4465</t>
  </si>
  <si>
    <t>08:11:19</t>
  </si>
  <si>
    <t>18:28:53</t>
  </si>
  <si>
    <t>OID9324</t>
  </si>
  <si>
    <t>02:27:18</t>
  </si>
  <si>
    <t>04:48:38</t>
  </si>
  <si>
    <t>OID9267</t>
  </si>
  <si>
    <t>05:33:41</t>
  </si>
  <si>
    <t>13:20:58</t>
  </si>
  <si>
    <t>OID5402</t>
  </si>
  <si>
    <t>18:14:45</t>
  </si>
  <si>
    <t>13:20:38</t>
  </si>
  <si>
    <t>OID8716</t>
  </si>
  <si>
    <t>03:08:05</t>
  </si>
  <si>
    <t>04:04:13</t>
  </si>
  <si>
    <t>OID4014</t>
  </si>
  <si>
    <t>21:06:59</t>
  </si>
  <si>
    <t>00:33:10</t>
  </si>
  <si>
    <t>OID8569</t>
  </si>
  <si>
    <t>14:49:31</t>
  </si>
  <si>
    <t>04:10:37</t>
  </si>
  <si>
    <t>OID6330</t>
  </si>
  <si>
    <t>19:40:44</t>
  </si>
  <si>
    <t>16:30:13</t>
  </si>
  <si>
    <t>OID6607</t>
  </si>
  <si>
    <t>16:25:28</t>
  </si>
  <si>
    <t>13:33:22</t>
  </si>
  <si>
    <t>OID4892</t>
  </si>
  <si>
    <t>05:57:45</t>
  </si>
  <si>
    <t>08:04:55</t>
  </si>
  <si>
    <t>OID9692</t>
  </si>
  <si>
    <t>13:16:36</t>
  </si>
  <si>
    <t>23:44:01</t>
  </si>
  <si>
    <t>OID4746</t>
  </si>
  <si>
    <t>07:44:52</t>
  </si>
  <si>
    <t>00:28:50</t>
  </si>
  <si>
    <t>OID6057</t>
  </si>
  <si>
    <t>12:51:15</t>
  </si>
  <si>
    <t>23:34:55</t>
  </si>
  <si>
    <t>OID3134</t>
  </si>
  <si>
    <t>22:55:27</t>
  </si>
  <si>
    <t>22:37:23</t>
  </si>
  <si>
    <t>OID7980</t>
  </si>
  <si>
    <t>01:31:08</t>
  </si>
  <si>
    <t>14:39:46</t>
  </si>
  <si>
    <t>OID7432</t>
  </si>
  <si>
    <t>15:02:28</t>
  </si>
  <si>
    <t>04:23:57</t>
  </si>
  <si>
    <t>OID9465</t>
  </si>
  <si>
    <t>06:54:02</t>
  </si>
  <si>
    <t>12:39:46</t>
  </si>
  <si>
    <t>CID189</t>
  </si>
  <si>
    <t>Aguilar</t>
  </si>
  <si>
    <t>christine.aguilar@gmail.com</t>
  </si>
  <si>
    <t>3284 Martin Neck, Lopezville, NY 69154</t>
  </si>
  <si>
    <t>OID9872</t>
  </si>
  <si>
    <t>08:20:59</t>
  </si>
  <si>
    <t>17:38:42</t>
  </si>
  <si>
    <t>OID6856</t>
  </si>
  <si>
    <t>14:00:27</t>
  </si>
  <si>
    <t>12:31:34</t>
  </si>
  <si>
    <t>OID1826</t>
  </si>
  <si>
    <t>15:26:43</t>
  </si>
  <si>
    <t>23:02:25</t>
  </si>
  <si>
    <t>OID3421</t>
  </si>
  <si>
    <t>22:25:26</t>
  </si>
  <si>
    <t>20:52:06</t>
  </si>
  <si>
    <t>OID6869</t>
  </si>
  <si>
    <t>00:02:50</t>
  </si>
  <si>
    <t>20:49:10</t>
  </si>
  <si>
    <t>OID6635</t>
  </si>
  <si>
    <t>22:46:23</t>
  </si>
  <si>
    <t>08:30:57</t>
  </si>
  <si>
    <t>OID8295</t>
  </si>
  <si>
    <t>08:00:47</t>
  </si>
  <si>
    <t>17:20:58</t>
  </si>
  <si>
    <t>OID4642</t>
  </si>
  <si>
    <t>09:33:35</t>
  </si>
  <si>
    <t>13:06:14</t>
  </si>
  <si>
    <t>OID7380</t>
  </si>
  <si>
    <t>00:13:11</t>
  </si>
  <si>
    <t>18:31:17</t>
  </si>
  <si>
    <t>OID1086</t>
  </si>
  <si>
    <t>20:01:38</t>
  </si>
  <si>
    <t>12:58:48</t>
  </si>
  <si>
    <t>OID6936</t>
  </si>
  <si>
    <t>06:33:55</t>
  </si>
  <si>
    <t>13:05:17</t>
  </si>
  <si>
    <t>CID162</t>
  </si>
  <si>
    <t>Summers</t>
  </si>
  <si>
    <t>mark.summers@outlook.com</t>
  </si>
  <si>
    <t>08413 Lynch Parkway, Calderonstad, NV 32697</t>
  </si>
  <si>
    <t>OID2938</t>
  </si>
  <si>
    <t>19:46:32</t>
  </si>
  <si>
    <t>23:22:12</t>
  </si>
  <si>
    <t>OID8074</t>
  </si>
  <si>
    <t>20:47:44</t>
  </si>
  <si>
    <t>00:16:22</t>
  </si>
  <si>
    <t>OID1076</t>
  </si>
  <si>
    <t>14:37:23</t>
  </si>
  <si>
    <t>01:58:28</t>
  </si>
  <si>
    <t>OID8347</t>
  </si>
  <si>
    <t>00:08:51</t>
  </si>
  <si>
    <t>10:47:50</t>
  </si>
  <si>
    <t>OID6373</t>
  </si>
  <si>
    <t>09:31:27</t>
  </si>
  <si>
    <t>OID5913</t>
  </si>
  <si>
    <t>09:46:43</t>
  </si>
  <si>
    <t>06:31:08</t>
  </si>
  <si>
    <t>OID2941</t>
  </si>
  <si>
    <t>21:17:39</t>
  </si>
  <si>
    <t>06:07:50</t>
  </si>
  <si>
    <t>CID104</t>
  </si>
  <si>
    <t>Gary</t>
  </si>
  <si>
    <t>Huff</t>
  </si>
  <si>
    <t>gary.huff@gmail.com</t>
  </si>
  <si>
    <t>58608 Alexander Terrace, South Bryan, SC 85541</t>
  </si>
  <si>
    <t>OID9627</t>
  </si>
  <si>
    <t>12:28:28</t>
  </si>
  <si>
    <t>12:21:43</t>
  </si>
  <si>
    <t>OID9705</t>
  </si>
  <si>
    <t>03:29:39</t>
  </si>
  <si>
    <t>23:33:34</t>
  </si>
  <si>
    <t>OID7486</t>
  </si>
  <si>
    <t>18:27:23</t>
  </si>
  <si>
    <t>12:42:53</t>
  </si>
  <si>
    <t>OID4560</t>
  </si>
  <si>
    <t>14:41:09</t>
  </si>
  <si>
    <t>07:56:25</t>
  </si>
  <si>
    <t>OID1379</t>
  </si>
  <si>
    <t>11:50:19</t>
  </si>
  <si>
    <t>11:48:40</t>
  </si>
  <si>
    <t>OID8114</t>
  </si>
  <si>
    <t>10:24:24</t>
  </si>
  <si>
    <t>20:08:57</t>
  </si>
  <si>
    <t>OID9805</t>
  </si>
  <si>
    <t>23:35:16</t>
  </si>
  <si>
    <t>01:46:46</t>
  </si>
  <si>
    <t>OID7003</t>
  </si>
  <si>
    <t>04:53:37</t>
  </si>
  <si>
    <t>07:56:46</t>
  </si>
  <si>
    <t>OID5372</t>
  </si>
  <si>
    <t>21:25:23</t>
  </si>
  <si>
    <t>15:58:45</t>
  </si>
  <si>
    <t>OID4097</t>
  </si>
  <si>
    <t>18:03:08</t>
  </si>
  <si>
    <t>10:45:58</t>
  </si>
  <si>
    <t>OID7090</t>
  </si>
  <si>
    <t>02:55:39</t>
  </si>
  <si>
    <t>13:12:04</t>
  </si>
  <si>
    <t>OID8741</t>
  </si>
  <si>
    <t>23:25:51</t>
  </si>
  <si>
    <t>09:03:16</t>
  </si>
  <si>
    <t>OID6002</t>
  </si>
  <si>
    <t>05:28:12</t>
  </si>
  <si>
    <t>09:29:13</t>
  </si>
  <si>
    <t>OID8585</t>
  </si>
  <si>
    <t>16:44:13</t>
  </si>
  <si>
    <t>23:19:19</t>
  </si>
  <si>
    <t>OID6767</t>
  </si>
  <si>
    <t>17:52:44</t>
  </si>
  <si>
    <t>14:18:48</t>
  </si>
  <si>
    <t>OID4369</t>
  </si>
  <si>
    <t>22:31:31</t>
  </si>
  <si>
    <t>17:01:58</t>
  </si>
  <si>
    <t>OID5283</t>
  </si>
  <si>
    <t>18:43:17</t>
  </si>
  <si>
    <t>07:02:28</t>
  </si>
  <si>
    <t>OID2949</t>
  </si>
  <si>
    <t>09:55:21</t>
  </si>
  <si>
    <t>22:38:31</t>
  </si>
  <si>
    <t>OID1071</t>
  </si>
  <si>
    <t>06:47:14</t>
  </si>
  <si>
    <t>05:46:18</t>
  </si>
  <si>
    <t>OID7412</t>
  </si>
  <si>
    <t>22:41:22</t>
  </si>
  <si>
    <t>03:01:00</t>
  </si>
  <si>
    <t>CID138</t>
  </si>
  <si>
    <t>Mike</t>
  </si>
  <si>
    <t>Carter</t>
  </si>
  <si>
    <t>mike.carter@rediffmail.com</t>
  </si>
  <si>
    <t>3971 Ortiz Fields, Lake Jackfort, IA 97132</t>
  </si>
  <si>
    <t>OID6541</t>
  </si>
  <si>
    <t>08:35:05</t>
  </si>
  <si>
    <t>09:50:44</t>
  </si>
  <si>
    <t>OID3550</t>
  </si>
  <si>
    <t>06:30:57</t>
  </si>
  <si>
    <t>08:01:14</t>
  </si>
  <si>
    <t>OID7812</t>
  </si>
  <si>
    <t>09:01:24</t>
  </si>
  <si>
    <t>18:41:50</t>
  </si>
  <si>
    <t>OID4101</t>
  </si>
  <si>
    <t>10:38:44</t>
  </si>
  <si>
    <t>15:48:50</t>
  </si>
  <si>
    <t>OID2704</t>
  </si>
  <si>
    <t>08:44:39</t>
  </si>
  <si>
    <t>13:35:45</t>
  </si>
  <si>
    <t>OID3902</t>
  </si>
  <si>
    <t>10:10:51</t>
  </si>
  <si>
    <t>02:58:17</t>
  </si>
  <si>
    <t>CID142</t>
  </si>
  <si>
    <t>Owens</t>
  </si>
  <si>
    <t>thomas.owens@outlook.com</t>
  </si>
  <si>
    <t>43920 Shaffer Valley Suite 531, South Jerry, MD 67120</t>
  </si>
  <si>
    <t>OID6097</t>
  </si>
  <si>
    <t>06:46:28</t>
  </si>
  <si>
    <t>11:47:41</t>
  </si>
  <si>
    <t>OID2270</t>
  </si>
  <si>
    <t>22:27:32</t>
  </si>
  <si>
    <t>22:31:13</t>
  </si>
  <si>
    <t>OID4575</t>
  </si>
  <si>
    <t>18:42:20</t>
  </si>
  <si>
    <t>00:21:21</t>
  </si>
  <si>
    <t>OID2338</t>
  </si>
  <si>
    <t>22:07:35</t>
  </si>
  <si>
    <t>03:39:43</t>
  </si>
  <si>
    <t>OID9816</t>
  </si>
  <si>
    <t>07:28:42</t>
  </si>
  <si>
    <t>12:34:57</t>
  </si>
  <si>
    <t>CID113</t>
  </si>
  <si>
    <t>Brendan</t>
  </si>
  <si>
    <t>Kelly</t>
  </si>
  <si>
    <t>brendan.kelly@rediffmail.com</t>
  </si>
  <si>
    <t>688 Donald Oval Suite 089, Shepardport, CA 50844</t>
  </si>
  <si>
    <t>OID1586</t>
  </si>
  <si>
    <t>14:01:51</t>
  </si>
  <si>
    <t>23:41:13</t>
  </si>
  <si>
    <t>OID9630</t>
  </si>
  <si>
    <t>20:50:23</t>
  </si>
  <si>
    <t>01:51:44</t>
  </si>
  <si>
    <t>CID102</t>
  </si>
  <si>
    <t>Jessica</t>
  </si>
  <si>
    <t>Ruiz</t>
  </si>
  <si>
    <t>jessica.ruiz@rediffmail.com</t>
  </si>
  <si>
    <t>02370 Laura Station Suite 309, Brandonville, DE 18875</t>
  </si>
  <si>
    <t>OID8034</t>
  </si>
  <si>
    <t>08:30:48</t>
  </si>
  <si>
    <t>01:26:28</t>
  </si>
  <si>
    <t>OID4815</t>
  </si>
  <si>
    <t>05:34:02</t>
  </si>
  <si>
    <t>15:11:50</t>
  </si>
  <si>
    <t>OID1898</t>
  </si>
  <si>
    <t>22:30:30</t>
  </si>
  <si>
    <t>23:12:23</t>
  </si>
  <si>
    <t>OID7454</t>
  </si>
  <si>
    <t>06:13:30</t>
  </si>
  <si>
    <t>00:33:32</t>
  </si>
  <si>
    <t>CID117</t>
  </si>
  <si>
    <t>Hannah</t>
  </si>
  <si>
    <t>Gutierrez</t>
  </si>
  <si>
    <t>hannah.gutierrez@yahoo.com</t>
  </si>
  <si>
    <t>2420 David Manors, Jessicaland, CT 41698</t>
  </si>
  <si>
    <t>OID2597</t>
  </si>
  <si>
    <t>14:11:09</t>
  </si>
  <si>
    <t>00:33:26</t>
  </si>
  <si>
    <t>CID154</t>
  </si>
  <si>
    <t>Casey</t>
  </si>
  <si>
    <t>angela.casey@gmail.com</t>
  </si>
  <si>
    <t>089 Farley Terrace, Thomashaven, MT 56607</t>
  </si>
  <si>
    <t>OID6600</t>
  </si>
  <si>
    <t>22:46:20</t>
  </si>
  <si>
    <t>15:31:26</t>
  </si>
  <si>
    <t>OID3490</t>
  </si>
  <si>
    <t>03:47:08</t>
  </si>
  <si>
    <t>03:23:26</t>
  </si>
  <si>
    <t>OID5561</t>
  </si>
  <si>
    <t>07:21:30</t>
  </si>
  <si>
    <t>09:57:13</t>
  </si>
  <si>
    <t>OID8830</t>
  </si>
  <si>
    <t>16:49:20</t>
  </si>
  <si>
    <t>22:40:50</t>
  </si>
  <si>
    <t>OID9527</t>
  </si>
  <si>
    <t>16:59:25</t>
  </si>
  <si>
    <t>13:29:40</t>
  </si>
  <si>
    <t>OID1067</t>
  </si>
  <si>
    <t>06:15:44</t>
  </si>
  <si>
    <t>09:11:07</t>
  </si>
  <si>
    <t>OID2119</t>
  </si>
  <si>
    <t>17:29:54</t>
  </si>
  <si>
    <t>07:27:00</t>
  </si>
  <si>
    <t>OID5802</t>
  </si>
  <si>
    <t>05:25:01</t>
  </si>
  <si>
    <t>02:19:52</t>
  </si>
  <si>
    <t>OID4569</t>
  </si>
  <si>
    <t>00:49:15</t>
  </si>
  <si>
    <t>07:05:22</t>
  </si>
  <si>
    <t>OID1508</t>
  </si>
  <si>
    <t>10:13:34</t>
  </si>
  <si>
    <t>00:06:39</t>
  </si>
  <si>
    <t>OID3969</t>
  </si>
  <si>
    <t>22:48:36</t>
  </si>
  <si>
    <t>11:30:05</t>
  </si>
  <si>
    <t>OID8974</t>
  </si>
  <si>
    <t>03:37:20</t>
  </si>
  <si>
    <t>08:01:11</t>
  </si>
  <si>
    <t>OID6987</t>
  </si>
  <si>
    <t>23:47:53</t>
  </si>
  <si>
    <t>00:49:45</t>
  </si>
  <si>
    <t>OID5834</t>
  </si>
  <si>
    <t>15:54:45</t>
  </si>
  <si>
    <t>19:22:50</t>
  </si>
  <si>
    <t>OID3980</t>
  </si>
  <si>
    <t>21:10:06</t>
  </si>
  <si>
    <t>08:42:57</t>
  </si>
  <si>
    <t>OID9700</t>
  </si>
  <si>
    <t>17:39:16</t>
  </si>
  <si>
    <t>05:28:25</t>
  </si>
  <si>
    <t>OID1135</t>
  </si>
  <si>
    <t>21:59:14</t>
  </si>
  <si>
    <t>00:34:58</t>
  </si>
  <si>
    <t>OID9451</t>
  </si>
  <si>
    <t>21:47:08</t>
  </si>
  <si>
    <t>12:42:34</t>
  </si>
  <si>
    <t>OID4659</t>
  </si>
  <si>
    <t>00:57:26</t>
  </si>
  <si>
    <t>23:16:52</t>
  </si>
  <si>
    <t>CID141</t>
  </si>
  <si>
    <t>Megan</t>
  </si>
  <si>
    <t>Hunt</t>
  </si>
  <si>
    <t>megan.hunt@rediffmail.com</t>
  </si>
  <si>
    <t>03765 Velazquez Knoll Suite 478, Richardshire, UT 17200</t>
  </si>
  <si>
    <t>OID7205</t>
  </si>
  <si>
    <t>21:16:04</t>
  </si>
  <si>
    <t>10:41:25</t>
  </si>
  <si>
    <t>OID9735</t>
  </si>
  <si>
    <t>20:03:28</t>
  </si>
  <si>
    <t>11:16:12</t>
  </si>
  <si>
    <t>CID122</t>
  </si>
  <si>
    <t>Jared</t>
  </si>
  <si>
    <t>Horn</t>
  </si>
  <si>
    <t>jared.horn@outlook.com</t>
  </si>
  <si>
    <t>43325 Barbara Tunnel, Port James, LA 16246</t>
  </si>
  <si>
    <t>OID3358</t>
  </si>
  <si>
    <t>15:38:50</t>
  </si>
  <si>
    <t>12:50:53</t>
  </si>
  <si>
    <t>OID4719</t>
  </si>
  <si>
    <t>03:13:28</t>
  </si>
  <si>
    <t>07:58:28</t>
  </si>
  <si>
    <t>OID8203</t>
  </si>
  <si>
    <t>12:54:20</t>
  </si>
  <si>
    <t>17:32:38</t>
  </si>
  <si>
    <t>CID131</t>
  </si>
  <si>
    <t>Veronica</t>
  </si>
  <si>
    <t>veronica.lopez@gmail.com</t>
  </si>
  <si>
    <t>660 Karen Station Apt. 887, Allenside, ID 03170</t>
  </si>
  <si>
    <t>OID2353</t>
  </si>
  <si>
    <t>15:59:36</t>
  </si>
  <si>
    <t>07:38:19</t>
  </si>
  <si>
    <t>OID5255</t>
  </si>
  <si>
    <t>19:52:34</t>
  </si>
  <si>
    <t>07:40:09</t>
  </si>
  <si>
    <t>CID157</t>
  </si>
  <si>
    <t>Benson</t>
  </si>
  <si>
    <t>sarah.benson@outlook.com</t>
  </si>
  <si>
    <t>5399 Hayes Well, West Pennystad, IL 93798</t>
  </si>
  <si>
    <t>OID7946</t>
  </si>
  <si>
    <t>20:27:13</t>
  </si>
  <si>
    <t>22:27:12</t>
  </si>
  <si>
    <t>OID1159</t>
  </si>
  <si>
    <t>04:24:31</t>
  </si>
  <si>
    <t>06:44:34</t>
  </si>
  <si>
    <t>OID5186</t>
  </si>
  <si>
    <t>05:26:44</t>
  </si>
  <si>
    <t>06:17:48</t>
  </si>
  <si>
    <t>OID7156</t>
  </si>
  <si>
    <t>13:33:00</t>
  </si>
  <si>
    <t>16:40:47</t>
  </si>
  <si>
    <t>OID3574</t>
  </si>
  <si>
    <t>22:42:24</t>
  </si>
  <si>
    <t>19:19:52</t>
  </si>
  <si>
    <t>OID1477</t>
  </si>
  <si>
    <t>07:28:15</t>
  </si>
  <si>
    <t>12:59:43</t>
  </si>
  <si>
    <t>OID2944</t>
  </si>
  <si>
    <t>05:37:56</t>
  </si>
  <si>
    <t>15:40:22</t>
  </si>
  <si>
    <t>OID5130</t>
  </si>
  <si>
    <t>20:10:43</t>
  </si>
  <si>
    <t>08:44:22</t>
  </si>
  <si>
    <t>OID7754</t>
  </si>
  <si>
    <t>12:34:36</t>
  </si>
  <si>
    <t>10:14:17</t>
  </si>
  <si>
    <t>OID1246</t>
  </si>
  <si>
    <t>05:06:18</t>
  </si>
  <si>
    <t>20:00:01</t>
  </si>
  <si>
    <t>OID8680</t>
  </si>
  <si>
    <t>14:47:52</t>
  </si>
  <si>
    <t>17:06:11</t>
  </si>
  <si>
    <t>OID7102</t>
  </si>
  <si>
    <t>20:27:42</t>
  </si>
  <si>
    <t>10:15:00</t>
  </si>
  <si>
    <t>OID7555</t>
  </si>
  <si>
    <t>13:24:08</t>
  </si>
  <si>
    <t>07:39:38</t>
  </si>
  <si>
    <t>OID3165</t>
  </si>
  <si>
    <t>09:58:35</t>
  </si>
  <si>
    <t>14:02:18</t>
  </si>
  <si>
    <t>OID9628</t>
  </si>
  <si>
    <t>06:20:30</t>
  </si>
  <si>
    <t>20:45:00</t>
  </si>
  <si>
    <t>OID9782</t>
  </si>
  <si>
    <t>17:53:01</t>
  </si>
  <si>
    <t>05:26:03</t>
  </si>
  <si>
    <t>OID7302</t>
  </si>
  <si>
    <t>03:43:05</t>
  </si>
  <si>
    <t>17:57:56</t>
  </si>
  <si>
    <t>OID4580</t>
  </si>
  <si>
    <t>02:56:56</t>
  </si>
  <si>
    <t>11:28:09</t>
  </si>
  <si>
    <t>OID7954</t>
  </si>
  <si>
    <t>04:29:06</t>
  </si>
  <si>
    <t>22:44:53</t>
  </si>
  <si>
    <t>OID6246</t>
  </si>
  <si>
    <t>10:04:49</t>
  </si>
  <si>
    <t>22:07:13</t>
  </si>
  <si>
    <t>OID5671</t>
  </si>
  <si>
    <t>23:44:50</t>
  </si>
  <si>
    <t>04:23:25</t>
  </si>
  <si>
    <t>OID3145</t>
  </si>
  <si>
    <t>17:40:16</t>
  </si>
  <si>
    <t>19:38:50</t>
  </si>
  <si>
    <t>OID8575</t>
  </si>
  <si>
    <t>09:51:24</t>
  </si>
  <si>
    <t>00:10:27</t>
  </si>
  <si>
    <t>OID7910</t>
  </si>
  <si>
    <t>05:56:42</t>
  </si>
  <si>
    <t>03:42:23</t>
  </si>
  <si>
    <t>OID1179</t>
  </si>
  <si>
    <t>06:33:59</t>
  </si>
  <si>
    <t>13:29:05</t>
  </si>
  <si>
    <t>OID1041</t>
  </si>
  <si>
    <t>01:23:40</t>
  </si>
  <si>
    <t>19:01:55</t>
  </si>
  <si>
    <t>OID1693</t>
  </si>
  <si>
    <t>18:29:39</t>
  </si>
  <si>
    <t>02:01:44</t>
  </si>
  <si>
    <t>OID8609</t>
  </si>
  <si>
    <t>13:33:06</t>
  </si>
  <si>
    <t>04:01:49</t>
  </si>
  <si>
    <t>OID9578</t>
  </si>
  <si>
    <t>15:56:55</t>
  </si>
  <si>
    <t>18:16:24</t>
  </si>
  <si>
    <t>OID5985</t>
  </si>
  <si>
    <t>14:57:23</t>
  </si>
  <si>
    <t>09:49:51</t>
  </si>
  <si>
    <t>OID2571</t>
  </si>
  <si>
    <t>19:33:36</t>
  </si>
  <si>
    <t>06:30:50</t>
  </si>
  <si>
    <t>OID6045</t>
  </si>
  <si>
    <t>17:53:46</t>
  </si>
  <si>
    <t>18:13:08</t>
  </si>
  <si>
    <t>OID1336</t>
  </si>
  <si>
    <t>13:40:58</t>
  </si>
  <si>
    <t>02:14:28</t>
  </si>
  <si>
    <t>OID7117</t>
  </si>
  <si>
    <t>04:49:20</t>
  </si>
  <si>
    <t>16:13:35</t>
  </si>
  <si>
    <t>OID3749</t>
  </si>
  <si>
    <t>16:34:44</t>
  </si>
  <si>
    <t>16:28:56</t>
  </si>
  <si>
    <t>OID7008</t>
  </si>
  <si>
    <t>04:12:20</t>
  </si>
  <si>
    <t>01:46:13</t>
  </si>
  <si>
    <t>OID8913</t>
  </si>
  <si>
    <t>20:53:04</t>
  </si>
  <si>
    <t>00:48:16</t>
  </si>
  <si>
    <t>CID164</t>
  </si>
  <si>
    <t>Lane</t>
  </si>
  <si>
    <t>lauren.lane@gmail.com</t>
  </si>
  <si>
    <t>56985 Sergio Extensions, Port Albert, CO 02898</t>
  </si>
  <si>
    <t>OID1597</t>
  </si>
  <si>
    <t>05:27:44</t>
  </si>
  <si>
    <t>21:00:17</t>
  </si>
  <si>
    <t>OID4412</t>
  </si>
  <si>
    <t>06:35:14</t>
  </si>
  <si>
    <t>23:36:21</t>
  </si>
  <si>
    <t>OID3900</t>
  </si>
  <si>
    <t>20:14:30</t>
  </si>
  <si>
    <t>12:31:00</t>
  </si>
  <si>
    <t>OID9756</t>
  </si>
  <si>
    <t>06:46:07</t>
  </si>
  <si>
    <t>19:17:45</t>
  </si>
  <si>
    <t>CID151</t>
  </si>
  <si>
    <t>Richmond</t>
  </si>
  <si>
    <t>william.richmond@outlook.com</t>
  </si>
  <si>
    <t>4021 Brown Orchard Apt. 026, Christinahaven, OK 18499</t>
  </si>
  <si>
    <t>OID8307</t>
  </si>
  <si>
    <t>23:19:47</t>
  </si>
  <si>
    <t>16:06:37</t>
  </si>
  <si>
    <t>OID5575</t>
  </si>
  <si>
    <t>12:50:48</t>
  </si>
  <si>
    <t>19:56:33</t>
  </si>
  <si>
    <t>OID5883</t>
  </si>
  <si>
    <t>21:08:26</t>
  </si>
  <si>
    <t>09:20:03</t>
  </si>
  <si>
    <t>OID6340</t>
  </si>
  <si>
    <t>10:50:30</t>
  </si>
  <si>
    <t>16:59:14</t>
  </si>
  <si>
    <t>OID2501</t>
  </si>
  <si>
    <t>11:53:55</t>
  </si>
  <si>
    <t>00:56:01</t>
  </si>
  <si>
    <t>OID6973</t>
  </si>
  <si>
    <t>04:03:12</t>
  </si>
  <si>
    <t>13:27:06</t>
  </si>
  <si>
    <t>OID6597</t>
  </si>
  <si>
    <t>19:44:28</t>
  </si>
  <si>
    <t>02:51:48</t>
  </si>
  <si>
    <t>OID4840</t>
  </si>
  <si>
    <t>12:38:37</t>
  </si>
  <si>
    <t>19:14:57</t>
  </si>
  <si>
    <t>OID5389</t>
  </si>
  <si>
    <t>14:52:37</t>
  </si>
  <si>
    <t>09:59:33</t>
  </si>
  <si>
    <t>OID8649</t>
  </si>
  <si>
    <t>08:43:40</t>
  </si>
  <si>
    <t>05:13:28</t>
  </si>
  <si>
    <t>OID2779</t>
  </si>
  <si>
    <t>03:11:02</t>
  </si>
  <si>
    <t>19:39:57</t>
  </si>
  <si>
    <t>OID4185</t>
  </si>
  <si>
    <t>17:17:44</t>
  </si>
  <si>
    <t>11:45:52</t>
  </si>
  <si>
    <t>OID1243</t>
  </si>
  <si>
    <t>17:27:56</t>
  </si>
  <si>
    <t>05:22:25</t>
  </si>
  <si>
    <t>OID4147</t>
  </si>
  <si>
    <t>03:23:04</t>
  </si>
  <si>
    <t>05:02:16</t>
  </si>
  <si>
    <t>OID3681</t>
  </si>
  <si>
    <t>08:45:23</t>
  </si>
  <si>
    <t>15:13:07</t>
  </si>
  <si>
    <t>OID5229</t>
  </si>
  <si>
    <t>08:36:31</t>
  </si>
  <si>
    <t>19:33:15</t>
  </si>
  <si>
    <t>OID9990</t>
  </si>
  <si>
    <t>21:53:54</t>
  </si>
  <si>
    <t>23:00:06</t>
  </si>
  <si>
    <t>OID1756</t>
  </si>
  <si>
    <t>10:58:30</t>
  </si>
  <si>
    <t>13:36:46</t>
  </si>
  <si>
    <t>OID1866</t>
  </si>
  <si>
    <t>05:53:55</t>
  </si>
  <si>
    <t>02:00:46</t>
  </si>
  <si>
    <t>OID2619</t>
  </si>
  <si>
    <t>11:51:15</t>
  </si>
  <si>
    <t>10:20:47</t>
  </si>
  <si>
    <t>OID2505</t>
  </si>
  <si>
    <t>12:37:13</t>
  </si>
  <si>
    <t>14:41:40</t>
  </si>
  <si>
    <t>OID7850</t>
  </si>
  <si>
    <t>14:59:43</t>
  </si>
  <si>
    <t>06:29:31</t>
  </si>
  <si>
    <t>OID1966</t>
  </si>
  <si>
    <t>14:04:30</t>
  </si>
  <si>
    <t>02:17:23</t>
  </si>
  <si>
    <t>OID3837</t>
  </si>
  <si>
    <t>19:09:08</t>
  </si>
  <si>
    <t>23:23:19</t>
  </si>
  <si>
    <t>OID9187</t>
  </si>
  <si>
    <t>23:47:36</t>
  </si>
  <si>
    <t>04:39:51</t>
  </si>
  <si>
    <t>OID3760</t>
  </si>
  <si>
    <t>09:05:02</t>
  </si>
  <si>
    <t>05:31:50</t>
  </si>
  <si>
    <t>OID7065</t>
  </si>
  <si>
    <t>09:15:42</t>
  </si>
  <si>
    <t>09:33:25</t>
  </si>
  <si>
    <t>OID6906</t>
  </si>
  <si>
    <t>16:29:18</t>
  </si>
  <si>
    <t>19:58:19</t>
  </si>
  <si>
    <t>OID7996</t>
  </si>
  <si>
    <t>17:23:49</t>
  </si>
  <si>
    <t>OID9247</t>
  </si>
  <si>
    <t>06:51:49</t>
  </si>
  <si>
    <t>08:40:53</t>
  </si>
  <si>
    <t>OID7303</t>
  </si>
  <si>
    <t>23:40:03</t>
  </si>
  <si>
    <t>09:33:08</t>
  </si>
  <si>
    <t>OID2173</t>
  </si>
  <si>
    <t>00:41:18</t>
  </si>
  <si>
    <t>09:19:40</t>
  </si>
  <si>
    <t>OID5367</t>
  </si>
  <si>
    <t>23:27:24</t>
  </si>
  <si>
    <t>06:00:22</t>
  </si>
  <si>
    <t>OID9748</t>
  </si>
  <si>
    <t>02:46:27</t>
  </si>
  <si>
    <t>06:40:47</t>
  </si>
  <si>
    <t>OID6469</t>
  </si>
  <si>
    <t>06:59:53</t>
  </si>
  <si>
    <t>21:07:49</t>
  </si>
  <si>
    <t>OID1013</t>
  </si>
  <si>
    <t>20:28:31</t>
  </si>
  <si>
    <t>22:26:18</t>
  </si>
  <si>
    <t>OID1219</t>
  </si>
  <si>
    <t>13:39:02</t>
  </si>
  <si>
    <t>06:39:28</t>
  </si>
  <si>
    <t>OID9988</t>
  </si>
  <si>
    <t>09:27:52</t>
  </si>
  <si>
    <t>20:53:18</t>
  </si>
  <si>
    <t>OID1669</t>
  </si>
  <si>
    <t>04:59:13</t>
  </si>
  <si>
    <t>16:22:11</t>
  </si>
  <si>
    <t>OID7329</t>
  </si>
  <si>
    <t>01:19:42</t>
  </si>
  <si>
    <t>01:52:14</t>
  </si>
  <si>
    <t>OID2873</t>
  </si>
  <si>
    <t>05:54:36</t>
  </si>
  <si>
    <t>17:18:51</t>
  </si>
  <si>
    <t>OID4932</t>
  </si>
  <si>
    <t>06:50:14</t>
  </si>
  <si>
    <t>13:55:34</t>
  </si>
  <si>
    <t>OID4169</t>
  </si>
  <si>
    <t>11:52:12</t>
  </si>
  <si>
    <t>23:25:32</t>
  </si>
  <si>
    <t>OID6945</t>
  </si>
  <si>
    <t>19:37:21</t>
  </si>
  <si>
    <t>03:13:08</t>
  </si>
  <si>
    <t>OID6794</t>
  </si>
  <si>
    <t>15:34:31</t>
  </si>
  <si>
    <t>10:35:02</t>
  </si>
  <si>
    <t>OID2412</t>
  </si>
  <si>
    <t>14:35:45</t>
  </si>
  <si>
    <t>07:09:27</t>
  </si>
  <si>
    <t>CID114</t>
  </si>
  <si>
    <t>Crane</t>
  </si>
  <si>
    <t>lauren.crane@yahoo.com</t>
  </si>
  <si>
    <t>30313 Reyes Parkways Suite 392, Port Bradley, SC 24078</t>
  </si>
  <si>
    <t>OID8162</t>
  </si>
  <si>
    <t>07:24:54</t>
  </si>
  <si>
    <t>03:15:28</t>
  </si>
  <si>
    <t>OID8860</t>
  </si>
  <si>
    <t>06:00:55</t>
  </si>
  <si>
    <t>22:23:18</t>
  </si>
  <si>
    <t>OID2523</t>
  </si>
  <si>
    <t>05:46:53</t>
  </si>
  <si>
    <t>01:30:58</t>
  </si>
  <si>
    <t>OID7382</t>
  </si>
  <si>
    <t>08:34:53</t>
  </si>
  <si>
    <t>13:26:32</t>
  </si>
  <si>
    <t>OID7593</t>
  </si>
  <si>
    <t>15:18:11</t>
  </si>
  <si>
    <t>23:05:05</t>
  </si>
  <si>
    <t>OID9980</t>
  </si>
  <si>
    <t>11:00:03</t>
  </si>
  <si>
    <t>15:17:48</t>
  </si>
  <si>
    <t>OID2440</t>
  </si>
  <si>
    <t>08:26:50</t>
  </si>
  <si>
    <t>19:28:55</t>
  </si>
  <si>
    <t>OID7256</t>
  </si>
  <si>
    <t>00:24:43</t>
  </si>
  <si>
    <t>08:45:35</t>
  </si>
  <si>
    <t>OID6854</t>
  </si>
  <si>
    <t>10:05:03</t>
  </si>
  <si>
    <t>10:06:44</t>
  </si>
  <si>
    <t>OID9600</t>
  </si>
  <si>
    <t>04:19:31</t>
  </si>
  <si>
    <t>17:52:11</t>
  </si>
  <si>
    <t>OID3186</t>
  </si>
  <si>
    <t>17:14:37</t>
  </si>
  <si>
    <t>12:54:21</t>
  </si>
  <si>
    <t>OID1420</t>
  </si>
  <si>
    <t>18:45:41</t>
  </si>
  <si>
    <t>21:20:42</t>
  </si>
  <si>
    <t>OID4436</t>
  </si>
  <si>
    <t>23:43:28</t>
  </si>
  <si>
    <t>12:35:16</t>
  </si>
  <si>
    <t>OID6410</t>
  </si>
  <si>
    <t>06:38:04</t>
  </si>
  <si>
    <t>08:13:41</t>
  </si>
  <si>
    <t>OID4538</t>
  </si>
  <si>
    <t>12:27:25</t>
  </si>
  <si>
    <t>23:59:41</t>
  </si>
  <si>
    <t>OID8225</t>
  </si>
  <si>
    <t>10:41:43</t>
  </si>
  <si>
    <t>19:20:26</t>
  </si>
  <si>
    <t>OID2099</t>
  </si>
  <si>
    <t>09:19:53</t>
  </si>
  <si>
    <t>14:30:24</t>
  </si>
  <si>
    <t>OID9222</t>
  </si>
  <si>
    <t>11:38:36</t>
  </si>
  <si>
    <t>21:12:03</t>
  </si>
  <si>
    <t>OID3523</t>
  </si>
  <si>
    <t>10:33:52</t>
  </si>
  <si>
    <t>11:21:30</t>
  </si>
  <si>
    <t>OID3834</t>
  </si>
  <si>
    <t>22:42:39</t>
  </si>
  <si>
    <t>23:12:16</t>
  </si>
  <si>
    <t>OID9975</t>
  </si>
  <si>
    <t>09:31:29</t>
  </si>
  <si>
    <t>07:20:39</t>
  </si>
  <si>
    <t>OID6893</t>
  </si>
  <si>
    <t>09:19:46</t>
  </si>
  <si>
    <t>02:07:12</t>
  </si>
  <si>
    <t>OID8192</t>
  </si>
  <si>
    <t>21:14:38</t>
  </si>
  <si>
    <t>OID7904</t>
  </si>
  <si>
    <t>15:58:53</t>
  </si>
  <si>
    <t>14:14:53</t>
  </si>
  <si>
    <t>OID5999</t>
  </si>
  <si>
    <t>17:44:01</t>
  </si>
  <si>
    <t>16:03:33</t>
  </si>
  <si>
    <t>OID7409</t>
  </si>
  <si>
    <t>02:54:23</t>
  </si>
  <si>
    <t>18:15:03</t>
  </si>
  <si>
    <t>OID8708</t>
  </si>
  <si>
    <t>07:05:11</t>
  </si>
  <si>
    <t>OID5745</t>
  </si>
  <si>
    <t>02:16:10</t>
  </si>
  <si>
    <t>06:31:20</t>
  </si>
  <si>
    <t>OID9178</t>
  </si>
  <si>
    <t>18:34:02</t>
  </si>
  <si>
    <t>13:27:30</t>
  </si>
  <si>
    <t>OID2529</t>
  </si>
  <si>
    <t>14:35:39</t>
  </si>
  <si>
    <t>17:37:51</t>
  </si>
  <si>
    <t>OID3125</t>
  </si>
  <si>
    <t>02:52:20</t>
  </si>
  <si>
    <t>04:02:49</t>
  </si>
  <si>
    <t>OID4011</t>
  </si>
  <si>
    <t>10:33:07</t>
  </si>
  <si>
    <t>06:32:27</t>
  </si>
  <si>
    <t>OID1592</t>
  </si>
  <si>
    <t>01:25:50</t>
  </si>
  <si>
    <t>18:04:09</t>
  </si>
  <si>
    <t>OID7667</t>
  </si>
  <si>
    <t>20:10:30</t>
  </si>
  <si>
    <t>15:08:52</t>
  </si>
  <si>
    <t>OID5182</t>
  </si>
  <si>
    <t>03:46:35</t>
  </si>
  <si>
    <t>11:20:17</t>
  </si>
  <si>
    <t>OID1833</t>
  </si>
  <si>
    <t>00:31:47</t>
  </si>
  <si>
    <t>11:06:01</t>
  </si>
  <si>
    <t>OID5190</t>
  </si>
  <si>
    <t>04:04:19</t>
  </si>
  <si>
    <t>00:48:55</t>
  </si>
  <si>
    <t>CID110</t>
  </si>
  <si>
    <t>Katie</t>
  </si>
  <si>
    <t>katie.hicks@rediffmail.com</t>
  </si>
  <si>
    <t>848 William Port, New Marilyn, SD 58000</t>
  </si>
  <si>
    <t>OID4399</t>
  </si>
  <si>
    <t>07:13:46</t>
  </si>
  <si>
    <t>09:05:57</t>
  </si>
  <si>
    <t>OID8104</t>
  </si>
  <si>
    <t>21:07:18</t>
  </si>
  <si>
    <t>00:38:35</t>
  </si>
  <si>
    <t>CID196</t>
  </si>
  <si>
    <t>Regina</t>
  </si>
  <si>
    <t>Hawkins</t>
  </si>
  <si>
    <t>regina.hawkins@rediffmail.com</t>
  </si>
  <si>
    <t>096 Santos Neck Apt. 937, Benjaminmouth, FL 61454</t>
  </si>
  <si>
    <t>OID1054</t>
  </si>
  <si>
    <t>13:31:33</t>
  </si>
  <si>
    <t>02:03:42</t>
  </si>
  <si>
    <t>OID7828</t>
  </si>
  <si>
    <t>00:57:10</t>
  </si>
  <si>
    <t>03:55:32</t>
  </si>
  <si>
    <t>OID5598</t>
  </si>
  <si>
    <t>00:07:15</t>
  </si>
  <si>
    <t>06:30:27</t>
  </si>
  <si>
    <t>OID7417</t>
  </si>
  <si>
    <t>08:47:14</t>
  </si>
  <si>
    <t>19:25:43</t>
  </si>
  <si>
    <t>OID8004</t>
  </si>
  <si>
    <t>12:05:04</t>
  </si>
  <si>
    <t>18:05:47</t>
  </si>
  <si>
    <t>OID7287</t>
  </si>
  <si>
    <t>05:45:27</t>
  </si>
  <si>
    <t>16:20:46</t>
  </si>
  <si>
    <t>CID177</t>
  </si>
  <si>
    <t>Rachel</t>
  </si>
  <si>
    <t>rachel.lopez@outlook.com</t>
  </si>
  <si>
    <t>90435 Bonnie Points Suite 886, Jenniferfurt, WV 20187</t>
  </si>
  <si>
    <t>OID3637</t>
  </si>
  <si>
    <t>18:27:35</t>
  </si>
  <si>
    <t>15:09:01</t>
  </si>
  <si>
    <t>OID2097</t>
  </si>
  <si>
    <t>08:19:07</t>
  </si>
  <si>
    <t>03:55:26</t>
  </si>
  <si>
    <t>OID3388</t>
  </si>
  <si>
    <t>01:16:23</t>
  </si>
  <si>
    <t>21:24:42</t>
  </si>
  <si>
    <t>OID1114</t>
  </si>
  <si>
    <t>07:59:11</t>
  </si>
  <si>
    <t>05:33:08</t>
  </si>
  <si>
    <t>OID3556</t>
  </si>
  <si>
    <t>02:05:06</t>
  </si>
  <si>
    <t>02:03:44</t>
  </si>
  <si>
    <t>OID9404</t>
  </si>
  <si>
    <t>08:18:15</t>
  </si>
  <si>
    <t>08:36:13</t>
  </si>
  <si>
    <t>OID4552</t>
  </si>
  <si>
    <t>12:10:36</t>
  </si>
  <si>
    <t>23:31:23</t>
  </si>
  <si>
    <t>OID8486</t>
  </si>
  <si>
    <t>00:38:36</t>
  </si>
  <si>
    <t>20:13:27</t>
  </si>
  <si>
    <t>OID4240</t>
  </si>
  <si>
    <t>02:46:16</t>
  </si>
  <si>
    <t>09:28:52</t>
  </si>
  <si>
    <t>OID3727</t>
  </si>
  <si>
    <t>07:58:32</t>
  </si>
  <si>
    <t>OID8955</t>
  </si>
  <si>
    <t>05:37:55</t>
  </si>
  <si>
    <t>12:11:43</t>
  </si>
  <si>
    <t>OID1744</t>
  </si>
  <si>
    <t>01:03:02</t>
  </si>
  <si>
    <t>08:40:48</t>
  </si>
  <si>
    <t>OID5831</t>
  </si>
  <si>
    <t>18:12:36</t>
  </si>
  <si>
    <t>04:54:21</t>
  </si>
  <si>
    <t>OID2842</t>
  </si>
  <si>
    <t>15:52:52</t>
  </si>
  <si>
    <t>22:30:31</t>
  </si>
  <si>
    <t>OID1661</t>
  </si>
  <si>
    <t>11:10:43</t>
  </si>
  <si>
    <t>14:43:30</t>
  </si>
  <si>
    <t>OID9123</t>
  </si>
  <si>
    <t>10:50:23</t>
  </si>
  <si>
    <t>10:39:52</t>
  </si>
  <si>
    <t>OID3981</t>
  </si>
  <si>
    <t>12:04:15</t>
  </si>
  <si>
    <t>05:18:08</t>
  </si>
  <si>
    <t>OID6634</t>
  </si>
  <si>
    <t>02:36:45</t>
  </si>
  <si>
    <t>14:57:01</t>
  </si>
  <si>
    <t>CID106</t>
  </si>
  <si>
    <t>Scott</t>
  </si>
  <si>
    <t>scott.jones@yahoo.com</t>
  </si>
  <si>
    <t>086 Kristin Manor Apt. 829, Marissabury, CT 12152</t>
  </si>
  <si>
    <t>OID9069</t>
  </si>
  <si>
    <t>02:29:46</t>
  </si>
  <si>
    <t>13:28:57</t>
  </si>
  <si>
    <t>OID6802</t>
  </si>
  <si>
    <t>03:00:01</t>
  </si>
  <si>
    <t>06:03:03</t>
  </si>
  <si>
    <t>OID4442</t>
  </si>
  <si>
    <t>01:12:34</t>
  </si>
  <si>
    <t>10:01:43</t>
  </si>
  <si>
    <t>OID4995</t>
  </si>
  <si>
    <t>16:46:34</t>
  </si>
  <si>
    <t>04:45:34</t>
  </si>
  <si>
    <t>OID7650</t>
  </si>
  <si>
    <t>12:40:06</t>
  </si>
  <si>
    <t>03:46:12</t>
  </si>
  <si>
    <t>OID5555</t>
  </si>
  <si>
    <t>21:41:18</t>
  </si>
  <si>
    <t>21:10:12</t>
  </si>
  <si>
    <t>OID1769</t>
  </si>
  <si>
    <t>18:51:12</t>
  </si>
  <si>
    <t>01:58:20</t>
  </si>
  <si>
    <t>OID2189</t>
  </si>
  <si>
    <t>16:35:28</t>
  </si>
  <si>
    <t>07:06:38</t>
  </si>
  <si>
    <t>OID9035</t>
  </si>
  <si>
    <t>15:11:02</t>
  </si>
  <si>
    <t>14:16:59</t>
  </si>
  <si>
    <t>OID4219</t>
  </si>
  <si>
    <t>08:03:37</t>
  </si>
  <si>
    <t>13:50:58</t>
  </si>
  <si>
    <t>OID1694</t>
  </si>
  <si>
    <t>04:43:46</t>
  </si>
  <si>
    <t>01:46:40</t>
  </si>
  <si>
    <t>OID7495</t>
  </si>
  <si>
    <t>21:09:31</t>
  </si>
  <si>
    <t>06:09:19</t>
  </si>
  <si>
    <t>OID1080</t>
  </si>
  <si>
    <t>01:04:28</t>
  </si>
  <si>
    <t>16:40:55</t>
  </si>
  <si>
    <t>OID4539</t>
  </si>
  <si>
    <t>15:06:18</t>
  </si>
  <si>
    <t>03:50:06</t>
  </si>
  <si>
    <t>OID8093</t>
  </si>
  <si>
    <t>15:43:42</t>
  </si>
  <si>
    <t>15:41:25</t>
  </si>
  <si>
    <t>OID1707</t>
  </si>
  <si>
    <t>21:05:38</t>
  </si>
  <si>
    <t>17:28:07</t>
  </si>
  <si>
    <t>OID5703</t>
  </si>
  <si>
    <t>16:01:40</t>
  </si>
  <si>
    <t>02:24:54</t>
  </si>
  <si>
    <t>OID7457</t>
  </si>
  <si>
    <t>13:25:17</t>
  </si>
  <si>
    <t>13:52:42</t>
  </si>
  <si>
    <t>CID197</t>
  </si>
  <si>
    <t>Jacobs</t>
  </si>
  <si>
    <t>gary.jacobs@gmail.com</t>
  </si>
  <si>
    <t>USNV Williams, FPO AP 23197</t>
  </si>
  <si>
    <t>OID4784</t>
  </si>
  <si>
    <t>07:19:13</t>
  </si>
  <si>
    <t>04:47:20</t>
  </si>
  <si>
    <t>OID1726</t>
  </si>
  <si>
    <t>11:30:19</t>
  </si>
  <si>
    <t>02:44:11</t>
  </si>
  <si>
    <t>OID1073</t>
  </si>
  <si>
    <t>03:51:26</t>
  </si>
  <si>
    <t>12:59:30</t>
  </si>
  <si>
    <t>OID7443</t>
  </si>
  <si>
    <t>15:44:41</t>
  </si>
  <si>
    <t>03:08:53</t>
  </si>
  <si>
    <t>OID1025</t>
  </si>
  <si>
    <t>02:29:08</t>
  </si>
  <si>
    <t>01:57:29</t>
  </si>
  <si>
    <t>OID8826</t>
  </si>
  <si>
    <t>04:40:06</t>
  </si>
  <si>
    <t>02:03:57</t>
  </si>
  <si>
    <t>OID6254</t>
  </si>
  <si>
    <t>01:51:31</t>
  </si>
  <si>
    <t>05:04:36</t>
  </si>
  <si>
    <t>OID7518</t>
  </si>
  <si>
    <t>11:55:04</t>
  </si>
  <si>
    <t>05:45:33</t>
  </si>
  <si>
    <t>OID4491</t>
  </si>
  <si>
    <t>16:42:26</t>
  </si>
  <si>
    <t>08:22:44</t>
  </si>
  <si>
    <t>CID146</t>
  </si>
  <si>
    <t>Janice</t>
  </si>
  <si>
    <t>Gordon</t>
  </si>
  <si>
    <t>janice.gordon@yahoo.com</t>
  </si>
  <si>
    <t>5812 Evelyn Mountains Suite 845, Ortiztown, MN 86166</t>
  </si>
  <si>
    <t>OID8288</t>
  </si>
  <si>
    <t>02:55:29</t>
  </si>
  <si>
    <t>04:21:49</t>
  </si>
  <si>
    <t>OID6504</t>
  </si>
  <si>
    <t>12:05:41</t>
  </si>
  <si>
    <t>04:38:50</t>
  </si>
  <si>
    <t>OID2595</t>
  </si>
  <si>
    <t>03:10:32</t>
  </si>
  <si>
    <t>11:44:11</t>
  </si>
  <si>
    <t>OID9478</t>
  </si>
  <si>
    <t>17:54:41</t>
  </si>
  <si>
    <t>08:42:42</t>
  </si>
  <si>
    <t>OID1169</t>
  </si>
  <si>
    <t>07:11:33</t>
  </si>
  <si>
    <t>03:38:41</t>
  </si>
  <si>
    <t>OID6775</t>
  </si>
  <si>
    <t>06:54:03</t>
  </si>
  <si>
    <t>01:13:09</t>
  </si>
  <si>
    <t>OID2383</t>
  </si>
  <si>
    <t>04:44:42</t>
  </si>
  <si>
    <t>02:15:04</t>
  </si>
  <si>
    <t>CID167</t>
  </si>
  <si>
    <t>Diana</t>
  </si>
  <si>
    <t>French</t>
  </si>
  <si>
    <t>diana.french@outlook.com</t>
  </si>
  <si>
    <t>163 Jeffrey Drive, South Mary, NH 23999</t>
  </si>
  <si>
    <t>OID3750</t>
  </si>
  <si>
    <t>04:44:04</t>
  </si>
  <si>
    <t>21:00:20</t>
  </si>
  <si>
    <t>OID4837</t>
  </si>
  <si>
    <t>22:42:38</t>
  </si>
  <si>
    <t>12:41:59</t>
  </si>
  <si>
    <t>OID6975</t>
  </si>
  <si>
    <t>18:23:17</t>
  </si>
  <si>
    <t>19:23:44</t>
  </si>
  <si>
    <t>OID1869</t>
  </si>
  <si>
    <t>12:14:10</t>
  </si>
  <si>
    <t>03:34:04</t>
  </si>
  <si>
    <t>OID3921</t>
  </si>
  <si>
    <t>04:53:45</t>
  </si>
  <si>
    <t>05:48:22</t>
  </si>
  <si>
    <t>OID4056</t>
  </si>
  <si>
    <t>10:23:23</t>
  </si>
  <si>
    <t>21:18:46</t>
  </si>
  <si>
    <t>OID4907</t>
  </si>
  <si>
    <t>20:13:44</t>
  </si>
  <si>
    <t>09:06:18</t>
  </si>
  <si>
    <t>OID9684</t>
  </si>
  <si>
    <t>12:43:07</t>
  </si>
  <si>
    <t>05:09:35</t>
  </si>
  <si>
    <t>OID2044</t>
  </si>
  <si>
    <t>22:16:48</t>
  </si>
  <si>
    <t>16:09:18</t>
  </si>
  <si>
    <t>OID6436</t>
  </si>
  <si>
    <t>13:00:52</t>
  </si>
  <si>
    <t>00:18:32</t>
  </si>
  <si>
    <t>OID9374</t>
  </si>
  <si>
    <t>15:33:07</t>
  </si>
  <si>
    <t>15:51:15</t>
  </si>
  <si>
    <t>OID2767</t>
  </si>
  <si>
    <t>16:58:37</t>
  </si>
  <si>
    <t>01:05:53</t>
  </si>
  <si>
    <t>OID8981</t>
  </si>
  <si>
    <t>15:06:44</t>
  </si>
  <si>
    <t>14:31:29</t>
  </si>
  <si>
    <t>OID2246</t>
  </si>
  <si>
    <t>05:36:29</t>
  </si>
  <si>
    <t>07:21:52</t>
  </si>
  <si>
    <t>OID1779</t>
  </si>
  <si>
    <t>12:50:57</t>
  </si>
  <si>
    <t>01:24:34</t>
  </si>
  <si>
    <t>OID2005</t>
  </si>
  <si>
    <t>12:10:00</t>
  </si>
  <si>
    <t>09:31:36</t>
  </si>
  <si>
    <t>OID6485</t>
  </si>
  <si>
    <t>13:21:50</t>
  </si>
  <si>
    <t>18:29:46</t>
  </si>
  <si>
    <t>OID6319</t>
  </si>
  <si>
    <t>09:32:58</t>
  </si>
  <si>
    <t>OID9461</t>
  </si>
  <si>
    <t>14:34:14</t>
  </si>
  <si>
    <t>17:45:57</t>
  </si>
  <si>
    <t>OID4522</t>
  </si>
  <si>
    <t>00:44:05</t>
  </si>
  <si>
    <t>19:29:03</t>
  </si>
  <si>
    <t>OID9862</t>
  </si>
  <si>
    <t>05:02:45</t>
  </si>
  <si>
    <t>14:00:57</t>
  </si>
  <si>
    <t>OID6361</t>
  </si>
  <si>
    <t>16:28:38</t>
  </si>
  <si>
    <t>01:06:14</t>
  </si>
  <si>
    <t>OID7238</t>
  </si>
  <si>
    <t>08:22:36</t>
  </si>
  <si>
    <t>07:46:17</t>
  </si>
  <si>
    <t>OID8446</t>
  </si>
  <si>
    <t>02:53:11</t>
  </si>
  <si>
    <t>03:53:13</t>
  </si>
  <si>
    <t>OID9459</t>
  </si>
  <si>
    <t>08:17:07</t>
  </si>
  <si>
    <t>07:01:18</t>
  </si>
  <si>
    <t>OID6433</t>
  </si>
  <si>
    <t>01:02:33</t>
  </si>
  <si>
    <t>03:31:58</t>
  </si>
  <si>
    <t>OID3128</t>
  </si>
  <si>
    <t>22:17:42</t>
  </si>
  <si>
    <t>09:42:50</t>
  </si>
  <si>
    <t>OID8972</t>
  </si>
  <si>
    <t>07:36:32</t>
  </si>
  <si>
    <t>09:34:23</t>
  </si>
  <si>
    <t>OID5970</t>
  </si>
  <si>
    <t>07:39:59</t>
  </si>
  <si>
    <t>04:52:06</t>
  </si>
  <si>
    <t>OID3491</t>
  </si>
  <si>
    <t>18:04:56</t>
  </si>
  <si>
    <t>06:42:40</t>
  </si>
  <si>
    <t>OID6651</t>
  </si>
  <si>
    <t>03:18:41</t>
  </si>
  <si>
    <t>01:31:23</t>
  </si>
  <si>
    <t>OID2861</t>
  </si>
  <si>
    <t>20:38:05</t>
  </si>
  <si>
    <t>02:58:16</t>
  </si>
  <si>
    <t>OID3302</t>
  </si>
  <si>
    <t>08:32:59</t>
  </si>
  <si>
    <t>03:32:40</t>
  </si>
  <si>
    <t>OID9922</t>
  </si>
  <si>
    <t>12:42:28</t>
  </si>
  <si>
    <t>16:13:49</t>
  </si>
  <si>
    <t>OID4613</t>
  </si>
  <si>
    <t>10:24:01</t>
  </si>
  <si>
    <t>06:25:35</t>
  </si>
  <si>
    <t>OID7483</t>
  </si>
  <si>
    <t>12:19:38</t>
  </si>
  <si>
    <t>00:24:54</t>
  </si>
  <si>
    <t>OID7418</t>
  </si>
  <si>
    <t>01:15:18</t>
  </si>
  <si>
    <t>16:11:48</t>
  </si>
  <si>
    <t>OID3361</t>
  </si>
  <si>
    <t>09:50:05</t>
  </si>
  <si>
    <t>23:38:57</t>
  </si>
  <si>
    <t>OID7475</t>
  </si>
  <si>
    <t>08:30:03</t>
  </si>
  <si>
    <t>17:07:47</t>
  </si>
  <si>
    <t>OID6847</t>
  </si>
  <si>
    <t>17:02:09</t>
  </si>
  <si>
    <t>05:55:32</t>
  </si>
  <si>
    <t>Kristina Haynes</t>
  </si>
  <si>
    <t>BeforeTime</t>
  </si>
  <si>
    <t>Thomas Owens</t>
  </si>
  <si>
    <t>Mallory Mitchell</t>
  </si>
  <si>
    <t>Kara Brennan</t>
  </si>
  <si>
    <t>Late</t>
  </si>
  <si>
    <t>Amy Ellis</t>
  </si>
  <si>
    <t>Katherine Weber</t>
  </si>
  <si>
    <t>Lauren Crane</t>
  </si>
  <si>
    <t>Gregory Lee</t>
  </si>
  <si>
    <t>Erin Miller</t>
  </si>
  <si>
    <t>Rebecca Figueroa</t>
  </si>
  <si>
    <t>Gina Moreno</t>
  </si>
  <si>
    <t>Intime</t>
  </si>
  <si>
    <t>Alexandra Smith</t>
  </si>
  <si>
    <t>Lindsey Byrd</t>
  </si>
  <si>
    <t>Amanda Howard</t>
  </si>
  <si>
    <t>Angela Casey</t>
  </si>
  <si>
    <t>Jessica Ruiz</t>
  </si>
  <si>
    <t>Donna Oneill</t>
  </si>
  <si>
    <t>Debra Rodriguez</t>
  </si>
  <si>
    <t>Heather Schneider</t>
  </si>
  <si>
    <t>Marcus Valenzuela</t>
  </si>
  <si>
    <t>Christy Chang</t>
  </si>
  <si>
    <t>Katie Hicks</t>
  </si>
  <si>
    <t>Lauren Lane</t>
  </si>
  <si>
    <t>Christian Clayton</t>
  </si>
  <si>
    <t>Traci Jones</t>
  </si>
  <si>
    <t>Taylor Davis</t>
  </si>
  <si>
    <t>John Ramirez</t>
  </si>
  <si>
    <t>Gary Huff</t>
  </si>
  <si>
    <t>Scott Jones</t>
  </si>
  <si>
    <t>Julie Meyer</t>
  </si>
  <si>
    <t>Rachel Lopez</t>
  </si>
  <si>
    <t>Melissa Levy</t>
  </si>
  <si>
    <t>Amy Griffin</t>
  </si>
  <si>
    <t>Robert Castillo</t>
  </si>
  <si>
    <t>Sarah Butler</t>
  </si>
  <si>
    <t>Kim Blevins</t>
  </si>
  <si>
    <t>Angela Horne</t>
  </si>
  <si>
    <t>Brian Kennedy</t>
  </si>
  <si>
    <t>Brendan Kelly</t>
  </si>
  <si>
    <t>Hannah Gutierrez</t>
  </si>
  <si>
    <t>Jenny Estrada</t>
  </si>
  <si>
    <t>Jared Horn</t>
  </si>
  <si>
    <t>Marcus Rogers</t>
  </si>
  <si>
    <t>Anthony Thomas</t>
  </si>
  <si>
    <t>Mike Carter</t>
  </si>
  <si>
    <t>Mark Summers</t>
  </si>
  <si>
    <t>Timothy Hicks</t>
  </si>
  <si>
    <t>Valerie Carr</t>
  </si>
  <si>
    <t>Lauren Long</t>
  </si>
  <si>
    <t>John Herrera</t>
  </si>
  <si>
    <t>Regina Hawkins</t>
  </si>
  <si>
    <t>Teresa Harvey</t>
  </si>
  <si>
    <t>Beth Mason</t>
  </si>
  <si>
    <t>Jason Lopez</t>
  </si>
  <si>
    <t>Ashley Romero</t>
  </si>
  <si>
    <t>Barbara Fuller</t>
  </si>
  <si>
    <t>Jason Nguyen</t>
  </si>
  <si>
    <t>Debra Hayes</t>
  </si>
  <si>
    <t>Mary Knight</t>
  </si>
  <si>
    <t>Brandon Cruz</t>
  </si>
  <si>
    <t>Rachael Robinson</t>
  </si>
  <si>
    <t>Angela Evans</t>
  </si>
  <si>
    <t>Thomas Andersen</t>
  </si>
  <si>
    <t>Joshua Campbell</t>
  </si>
  <si>
    <t>Karl Gallagher</t>
  </si>
  <si>
    <t>Mitchell Parker</t>
  </si>
  <si>
    <t>Lisa Miller</t>
  </si>
  <si>
    <t>Amy Reid</t>
  </si>
  <si>
    <t>Troy Gomez</t>
  </si>
  <si>
    <t>Leslie Montgomery</t>
  </si>
  <si>
    <t>Ashley Rose</t>
  </si>
  <si>
    <t>Susan Thompson</t>
  </si>
  <si>
    <t>David Delacruz</t>
  </si>
  <si>
    <t>Brittany Stewart</t>
  </si>
  <si>
    <t>Courtney Parker</t>
  </si>
  <si>
    <t>Aaron Thompson</t>
  </si>
  <si>
    <t>Sarah Benson</t>
  </si>
  <si>
    <t>Kelli Smith</t>
  </si>
  <si>
    <t>Anne Oconnell</t>
  </si>
  <si>
    <t>Mark Henderson</t>
  </si>
  <si>
    <t>Sharon Thompson</t>
  </si>
  <si>
    <t>Megan Hunt</t>
  </si>
  <si>
    <t>Janice Gordon</t>
  </si>
  <si>
    <t>Edward Black</t>
  </si>
  <si>
    <t>Gary Jacobs</t>
  </si>
  <si>
    <t>Joseph Stewart</t>
  </si>
  <si>
    <t>Bobby Forbes</t>
  </si>
  <si>
    <t>Jodi Whitney</t>
  </si>
  <si>
    <t>Lori Cook</t>
  </si>
  <si>
    <t>Joseph Gaines</t>
  </si>
  <si>
    <t>Diana French</t>
  </si>
  <si>
    <t>William Mann</t>
  </si>
  <si>
    <t>James Brown</t>
  </si>
  <si>
    <t>Bruce Allen</t>
  </si>
  <si>
    <t>Christine Aguilar</t>
  </si>
  <si>
    <t>William Richmond</t>
  </si>
  <si>
    <t>Deborah Bates</t>
  </si>
  <si>
    <t>Natasha Michael</t>
  </si>
  <si>
    <t>Christine West</t>
  </si>
  <si>
    <t>Veronica Lopez</t>
  </si>
  <si>
    <t>Row Labels</t>
  </si>
  <si>
    <t>Max. of Amount</t>
  </si>
  <si>
    <t>Average of Age</t>
  </si>
  <si>
    <t>Grand Total</t>
  </si>
  <si>
    <t>Count of Order_ID</t>
  </si>
  <si>
    <t>Average of Days_to_Deliver</t>
  </si>
  <si>
    <t>Sum of Amount_with_Delivery_Charge</t>
  </si>
  <si>
    <t>Sum of Amount</t>
  </si>
  <si>
    <t>Sum of Discounted_Amount</t>
  </si>
  <si>
    <t>Sum of Discount Offered</t>
  </si>
  <si>
    <t>Count of Coupon_Code</t>
  </si>
  <si>
    <t>Count of Product_ID</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</si>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</sst>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font>
      <sz val="11"/>
      <color theme="1"/>
      <name val="Calibri"/>
      <scheme val="minor"/>
    </font>
    <font>
      <sz val="11"/>
      <color theme="1"/>
      <name val="Calibri"/>
      <family val="2"/>
      <scheme val="minor"/>
    </font>
    <font>
      <sz val="11"/>
      <color theme="1"/>
      <name val="Calibri"/>
    </font>
    <font>
      <sz val="11"/>
      <color theme="1"/>
      <name val="Calibri"/>
      <scheme val="minor"/>
    </font>
    <font>
      <b/>
      <sz val="11"/>
      <color theme="0"/>
      <name val="Calibri"/>
      <family val="2"/>
      <scheme val="minor"/>
    </font>
    <font>
      <sz val="11"/>
      <color theme="1"/>
      <name val="Calibri"/>
      <family val="2"/>
    </font>
    <font>
      <b/>
      <sz val="11"/>
      <color theme="1" tint="4.9989318521683403E-2"/>
      <name val="Calibri"/>
      <family val="2"/>
    </font>
    <font>
      <sz val="11"/>
      <color theme="1" tint="4.9989318521683403E-2"/>
      <name val="Calibri"/>
      <family val="2"/>
      <scheme val="minor"/>
    </font>
  </fonts>
  <fills count="5">
    <fill>
      <patternFill patternType="none"/>
    </fill>
    <fill>
      <patternFill patternType="gray125"/>
    </fill>
    <fill>
      <patternFill patternType="solid">
        <fgColor rgb="FFFDE9D9"/>
        <bgColor rgb="FFFDE9D9"/>
      </patternFill>
    </fill>
    <fill>
      <patternFill patternType="solid">
        <fgColor theme="4" tint="0.79998168889431442"/>
        <bgColor theme="4" tint="0.79998168889431442"/>
      </patternFill>
    </fill>
    <fill>
      <patternFill patternType="solid">
        <fgColor theme="4"/>
        <bgColor theme="4"/>
      </patternFill>
    </fill>
  </fills>
  <borders count="6">
    <border>
      <left/>
      <right/>
      <top/>
      <bottom/>
      <diagonal/>
    </border>
    <border>
      <left style="thin">
        <color rgb="FF000000"/>
      </left>
      <right style="thin">
        <color rgb="FF000000"/>
      </right>
      <top/>
      <bottom style="thin">
        <color rgb="FF000000"/>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style="thin">
        <color theme="4" tint="0.39997558519241921"/>
      </right>
      <top style="thin">
        <color theme="4" tint="0.39997558519241921"/>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s>
  <cellStyleXfs count="2">
    <xf numFmtId="0" fontId="0" fillId="0" borderId="0"/>
    <xf numFmtId="9" fontId="3" fillId="0" borderId="0" applyFont="0" applyFill="0" applyBorder="0" applyAlignment="0" applyProtection="0"/>
  </cellStyleXfs>
  <cellXfs count="26">
    <xf numFmtId="0" fontId="0" fillId="0" borderId="0" xfId="0"/>
    <xf numFmtId="0" fontId="2" fillId="0" borderId="0" xfId="0" applyFont="1"/>
    <xf numFmtId="0" fontId="6" fillId="2" borderId="1" xfId="0" applyFont="1" applyFill="1" applyBorder="1" applyAlignment="1">
      <alignment horizontal="center" vertical="top"/>
    </xf>
    <xf numFmtId="0" fontId="7" fillId="0" borderId="0" xfId="0" applyFont="1"/>
    <xf numFmtId="0" fontId="5" fillId="0" borderId="0" xfId="0" applyFont="1"/>
    <xf numFmtId="0" fontId="0" fillId="0" borderId="0" xfId="0" pivotButton="1"/>
    <xf numFmtId="0" fontId="0" fillId="0" borderId="0" xfId="0" applyAlignment="1">
      <alignment horizontal="left"/>
    </xf>
    <xf numFmtId="0" fontId="4" fillId="4" borderId="3" xfId="0" applyFont="1" applyFill="1" applyBorder="1"/>
    <xf numFmtId="0" fontId="4" fillId="4" borderId="3" xfId="1" applyNumberFormat="1" applyFont="1" applyFill="1" applyBorder="1"/>
    <xf numFmtId="0" fontId="0" fillId="0" borderId="0" xfId="1" applyNumberFormat="1" applyFont="1"/>
    <xf numFmtId="0" fontId="6" fillId="2" borderId="1" xfId="1" applyNumberFormat="1" applyFont="1" applyFill="1" applyBorder="1" applyAlignment="1">
      <alignment horizontal="center" vertical="top"/>
    </xf>
    <xf numFmtId="0" fontId="5" fillId="0" borderId="0" xfId="1" applyNumberFormat="1" applyFont="1"/>
    <xf numFmtId="0" fontId="4" fillId="4" borderId="4" xfId="0" applyFont="1" applyFill="1" applyBorder="1"/>
    <xf numFmtId="0" fontId="2" fillId="0" borderId="0" xfId="0" applyNumberFormat="1" applyFont="1"/>
    <xf numFmtId="0" fontId="0" fillId="0" borderId="0" xfId="0" applyNumberFormat="1"/>
    <xf numFmtId="0" fontId="1" fillId="3" borderId="3" xfId="0" applyFont="1" applyFill="1" applyBorder="1"/>
    <xf numFmtId="0" fontId="1" fillId="3" borderId="3" xfId="1" applyNumberFormat="1" applyFont="1" applyFill="1" applyBorder="1"/>
    <xf numFmtId="0" fontId="1" fillId="3" borderId="4" xfId="0" applyFont="1" applyFill="1" applyBorder="1"/>
    <xf numFmtId="0" fontId="1" fillId="0" borderId="3" xfId="0" applyFont="1" applyBorder="1"/>
    <xf numFmtId="0" fontId="1" fillId="0" borderId="3" xfId="1" applyNumberFormat="1" applyFont="1" applyBorder="1"/>
    <xf numFmtId="0" fontId="1" fillId="0" borderId="4" xfId="0" applyFont="1" applyBorder="1"/>
    <xf numFmtId="0" fontId="1" fillId="0" borderId="2" xfId="0" applyFont="1" applyBorder="1"/>
    <xf numFmtId="0" fontId="1" fillId="0" borderId="2" xfId="1" applyNumberFormat="1" applyFont="1" applyBorder="1"/>
    <xf numFmtId="0" fontId="1" fillId="0" borderId="5" xfId="0" applyFont="1" applyBorder="1"/>
    <xf numFmtId="164" fontId="2" fillId="0" borderId="0" xfId="0" applyNumberFormat="1" applyFont="1"/>
    <xf numFmtId="0" fontId="1" fillId="0" borderId="0" xfId="0" applyFont="1"/>
  </cellXfs>
  <cellStyles count="2">
    <cellStyle name="Normal" xfId="0" builtinId="0"/>
    <cellStyle name="Per cent" xfId="1" builtinId="5"/>
  </cellStyles>
  <dxfs count="62">
    <dxf>
      <font>
        <b val="0"/>
        <i val="0"/>
        <strike val="0"/>
        <condense val="0"/>
        <extend val="0"/>
        <outline val="0"/>
        <shadow val="0"/>
        <u val="none"/>
        <vertAlign val="baseline"/>
        <sz val="11"/>
        <color theme="1"/>
        <name val="Calibri"/>
        <family val="2"/>
        <scheme val="minor"/>
      </font>
      <border diagonalUp="0" diagonalDown="0">
        <left style="thin">
          <color theme="4" tint="0.39997558519241921"/>
        </left>
        <right style="thin">
          <color theme="4" tint="0.39997558519241921"/>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border outline="0">
        <left style="thin">
          <color theme="4" tint="0.39997558519241921"/>
        </left>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164" formatCode="yyyy\-mm\-dd"/>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164" formatCode="yyyy\-mm\-dd"/>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border outline="0">
        <bottom style="thin">
          <color rgb="FF000000"/>
        </bottom>
      </border>
    </dxf>
    <dxf>
      <border outline="0">
        <top style="thin">
          <color rgb="FF000000"/>
        </top>
      </border>
    </dxf>
    <dxf>
      <font>
        <b val="0"/>
        <i val="0"/>
        <strike val="0"/>
        <condense val="0"/>
        <extend val="0"/>
        <outline val="0"/>
        <shadow val="0"/>
        <u val="none"/>
        <vertAlign val="baseline"/>
        <sz val="11"/>
        <color theme="1"/>
        <name val="Calibri"/>
        <scheme val="none"/>
      </font>
    </dxf>
    <dxf>
      <font>
        <b/>
        <i val="0"/>
        <strike val="0"/>
        <condense val="0"/>
        <extend val="0"/>
        <outline val="0"/>
        <shadow val="0"/>
        <u val="none"/>
        <vertAlign val="baseline"/>
        <sz val="11"/>
        <color theme="1" tint="4.9989318521683403E-2"/>
        <name val="Calibri"/>
        <family val="2"/>
        <scheme val="none"/>
      </font>
      <fill>
        <patternFill patternType="solid">
          <fgColor rgb="FFFDE9D9"/>
          <bgColor rgb="FFFDE9D9"/>
        </patternFill>
      </fill>
      <alignment horizontal="center" vertical="top"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[Akhil_PGA_56.xlsx] charts!PivotTable30</c:name>
    <c:fmtId val="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10 Customers by Total Sales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charts'!$B$2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charts'!$A$3:$A$13</c:f>
              <c:strCache>
                <c:ptCount val="10"/>
                <c:pt idx="0">
                  <c:v>Katherine Weber</c:v>
                </c:pt>
                <c:pt idx="1">
                  <c:v>Brendan Kelly</c:v>
                </c:pt>
                <c:pt idx="2">
                  <c:v>John Herrera</c:v>
                </c:pt>
                <c:pt idx="3">
                  <c:v>Angela Evans</c:v>
                </c:pt>
                <c:pt idx="4">
                  <c:v>Lauren Long</c:v>
                </c:pt>
                <c:pt idx="5">
                  <c:v>Jessica Ruiz</c:v>
                </c:pt>
                <c:pt idx="6">
                  <c:v>Mary Knight</c:v>
                </c:pt>
                <c:pt idx="7">
                  <c:v>Mark Summers</c:v>
                </c:pt>
                <c:pt idx="8">
                  <c:v>Lauren Crane</c:v>
                </c:pt>
                <c:pt idx="9">
                  <c:v>Jodi Whitney</c:v>
                </c:pt>
              </c:strCache>
            </c:strRef>
          </c:cat>
          <c:val>
            <c:numRef>
              <c:f>' charts'!$B$3:$B$13</c:f>
              <c:numCache>
                <c:formatCode>General</c:formatCode>
                <c:ptCount val="10"/>
                <c:pt idx="0">
                  <c:v>6564.2683999999999</c:v>
                </c:pt>
                <c:pt idx="1">
                  <c:v>6567.3071999999993</c:v>
                </c:pt>
                <c:pt idx="2">
                  <c:v>6576.1845999999996</c:v>
                </c:pt>
                <c:pt idx="3">
                  <c:v>6606.2736999999997</c:v>
                </c:pt>
                <c:pt idx="4">
                  <c:v>6685.0841000000009</c:v>
                </c:pt>
                <c:pt idx="5">
                  <c:v>6854.0678000000007</c:v>
                </c:pt>
                <c:pt idx="6">
                  <c:v>7451.5637999999999</c:v>
                </c:pt>
                <c:pt idx="7">
                  <c:v>7874.7187000000004</c:v>
                </c:pt>
                <c:pt idx="8">
                  <c:v>8218.4582999999984</c:v>
                </c:pt>
                <c:pt idx="9">
                  <c:v>13056.678899999999</c:v>
                </c:pt>
              </c:numCache>
            </c:numRef>
          </c:val>
          <c:extLst>
            <c:ext xmlns:c16="http://schemas.microsoft.com/office/drawing/2014/chart" uri="{C3380CC4-5D6E-409C-BE32-E72D297353CC}">
              <c16:uniqueId val="{00000000-1263-4757-9E38-B45DAA9F8F9E}"/>
            </c:ext>
          </c:extLst>
        </c:ser>
        <c:dLbls>
          <c:showLegendKey val="0"/>
          <c:showVal val="0"/>
          <c:showCatName val="0"/>
          <c:showSerName val="0"/>
          <c:showPercent val="0"/>
          <c:showBubbleSize val="0"/>
        </c:dLbls>
        <c:gapWidth val="182"/>
        <c:axId val="2101047152"/>
        <c:axId val="1954010576"/>
      </c:barChart>
      <c:catAx>
        <c:axId val="2101047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010576"/>
        <c:crosses val="autoZero"/>
        <c:auto val="1"/>
        <c:lblAlgn val="ctr"/>
        <c:lblOffset val="100"/>
        <c:noMultiLvlLbl val="0"/>
      </c:catAx>
      <c:valAx>
        <c:axId val="1954010576"/>
        <c:scaling>
          <c:orientation val="minMax"/>
        </c:scaling>
        <c:delete val="1"/>
        <c:axPos val="b"/>
        <c:numFmt formatCode="General" sourceLinked="1"/>
        <c:majorTickMark val="none"/>
        <c:minorTickMark val="none"/>
        <c:tickLblPos val="nextTo"/>
        <c:crossAx val="210104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[Akhil_PGA_56.xlsx] charts!PivotTable41</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 Adjusted</a:t>
            </a:r>
            <a:r>
              <a:rPr lang="en-US" b="1" baseline="0">
                <a:solidFill>
                  <a:schemeClr val="tx1"/>
                </a:solidFill>
              </a:rPr>
              <a:t> Sales by City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159607777747997E-2"/>
          <c:y val="0.26158320490973525"/>
          <c:w val="0.93372989452996491"/>
          <c:h val="0.49020352801203892"/>
        </c:manualLayout>
      </c:layout>
      <c:barChart>
        <c:barDir val="col"/>
        <c:grouping val="clustered"/>
        <c:varyColors val="0"/>
        <c:ser>
          <c:idx val="0"/>
          <c:order val="0"/>
          <c:tx>
            <c:strRef>
              <c:f>' charts'!$S$2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charts'!$R$3:$R$11</c:f>
              <c:strCache>
                <c:ptCount val="8"/>
                <c:pt idx="0">
                  <c:v>Houston</c:v>
                </c:pt>
                <c:pt idx="1">
                  <c:v>San Francisco</c:v>
                </c:pt>
                <c:pt idx="2">
                  <c:v>Los Angeles</c:v>
                </c:pt>
                <c:pt idx="3">
                  <c:v>Dallas</c:v>
                </c:pt>
                <c:pt idx="4">
                  <c:v>Phoenix</c:v>
                </c:pt>
                <c:pt idx="5">
                  <c:v>New York</c:v>
                </c:pt>
                <c:pt idx="6">
                  <c:v>Chicago</c:v>
                </c:pt>
                <c:pt idx="7">
                  <c:v>Miami</c:v>
                </c:pt>
              </c:strCache>
            </c:strRef>
          </c:cat>
          <c:val>
            <c:numRef>
              <c:f>' charts'!$S$3:$S$11</c:f>
              <c:numCache>
                <c:formatCode>General</c:formatCode>
                <c:ptCount val="8"/>
                <c:pt idx="0">
                  <c:v>63375.029999999992</c:v>
                </c:pt>
                <c:pt idx="1">
                  <c:v>52545.420000000006</c:v>
                </c:pt>
                <c:pt idx="2">
                  <c:v>49339.330000000009</c:v>
                </c:pt>
                <c:pt idx="3">
                  <c:v>48591.26</c:v>
                </c:pt>
                <c:pt idx="4">
                  <c:v>47998.48</c:v>
                </c:pt>
                <c:pt idx="5">
                  <c:v>41839.179999999993</c:v>
                </c:pt>
                <c:pt idx="6">
                  <c:v>34676.51</c:v>
                </c:pt>
                <c:pt idx="7">
                  <c:v>25924.28</c:v>
                </c:pt>
              </c:numCache>
            </c:numRef>
          </c:val>
          <c:extLst>
            <c:ext xmlns:c16="http://schemas.microsoft.com/office/drawing/2014/chart" uri="{C3380CC4-5D6E-409C-BE32-E72D297353CC}">
              <c16:uniqueId val="{00000000-C129-40D2-B359-627944A66BD7}"/>
            </c:ext>
          </c:extLst>
        </c:ser>
        <c:dLbls>
          <c:showLegendKey val="0"/>
          <c:showVal val="0"/>
          <c:showCatName val="0"/>
          <c:showSerName val="0"/>
          <c:showPercent val="0"/>
          <c:showBubbleSize val="0"/>
        </c:dLbls>
        <c:gapWidth val="219"/>
        <c:overlap val="-27"/>
        <c:axId val="1987584656"/>
        <c:axId val="13789167"/>
      </c:barChart>
      <c:catAx>
        <c:axId val="198758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9167"/>
        <c:crosses val="autoZero"/>
        <c:auto val="1"/>
        <c:lblAlgn val="ctr"/>
        <c:lblOffset val="100"/>
        <c:noMultiLvlLbl val="0"/>
      </c:catAx>
      <c:valAx>
        <c:axId val="13789167"/>
        <c:scaling>
          <c:orientation val="minMax"/>
        </c:scaling>
        <c:delete val="1"/>
        <c:axPos val="l"/>
        <c:numFmt formatCode="General" sourceLinked="1"/>
        <c:majorTickMark val="none"/>
        <c:minorTickMark val="none"/>
        <c:tickLblPos val="nextTo"/>
        <c:crossAx val="198758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[Akhil_PGA_56.xlsx] charts!PivotTable31</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7 Most Ordered products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 charts'!$B$23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18-4FA6-ABE0-B441CD72B6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018-4FA6-ABE0-B441CD72B6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018-4FA6-ABE0-B441CD72B62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018-4FA6-ABE0-B441CD72B62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018-4FA6-ABE0-B441CD72B62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018-4FA6-ABE0-B441CD72B62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018-4FA6-ABE0-B441CD72B6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charts'!$A$24:$A$31</c:f>
              <c:strCache>
                <c:ptCount val="7"/>
                <c:pt idx="0">
                  <c:v>PID036</c:v>
                </c:pt>
                <c:pt idx="1">
                  <c:v>PID046</c:v>
                </c:pt>
                <c:pt idx="2">
                  <c:v>PID048</c:v>
                </c:pt>
                <c:pt idx="3">
                  <c:v>PID027</c:v>
                </c:pt>
                <c:pt idx="4">
                  <c:v>PID018</c:v>
                </c:pt>
                <c:pt idx="5">
                  <c:v>PID041</c:v>
                </c:pt>
                <c:pt idx="6">
                  <c:v>PID002</c:v>
                </c:pt>
              </c:strCache>
            </c:strRef>
          </c:cat>
          <c:val>
            <c:numRef>
              <c:f>' charts'!$B$24:$B$31</c:f>
              <c:numCache>
                <c:formatCode>General</c:formatCode>
                <c:ptCount val="7"/>
                <c:pt idx="0">
                  <c:v>17</c:v>
                </c:pt>
                <c:pt idx="1">
                  <c:v>16</c:v>
                </c:pt>
                <c:pt idx="2">
                  <c:v>15</c:v>
                </c:pt>
                <c:pt idx="3">
                  <c:v>15</c:v>
                </c:pt>
                <c:pt idx="4">
                  <c:v>15</c:v>
                </c:pt>
                <c:pt idx="5">
                  <c:v>14</c:v>
                </c:pt>
                <c:pt idx="6">
                  <c:v>14</c:v>
                </c:pt>
              </c:numCache>
            </c:numRef>
          </c:val>
          <c:extLst>
            <c:ext xmlns:c16="http://schemas.microsoft.com/office/drawing/2014/chart" uri="{C3380CC4-5D6E-409C-BE32-E72D297353CC}">
              <c16:uniqueId val="{0000000E-D018-4FA6-ABE0-B441CD72B62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[Akhil_PGA_56.xlsx] charts!PivotTable43</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Monthly Adjusted</a:t>
            </a:r>
            <a:r>
              <a:rPr lang="en-IN" b="1" baseline="0">
                <a:solidFill>
                  <a:schemeClr val="tx1"/>
                </a:solidFill>
              </a:rPr>
              <a:t> Sales By Gender</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charts'!$V$43:$V$44</c:f>
              <c:strCache>
                <c:ptCount val="1"/>
                <c:pt idx="0">
                  <c:v>Female</c:v>
                </c:pt>
              </c:strCache>
            </c:strRef>
          </c:tx>
          <c:spPr>
            <a:solidFill>
              <a:schemeClr val="accent1"/>
            </a:solidFill>
            <a:ln>
              <a:noFill/>
            </a:ln>
            <a:effectLst/>
          </c:spPr>
          <c:invertIfNegative val="0"/>
          <c:cat>
            <c:strRef>
              <c:f>' charts'!$U$45:$U$57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 charts'!$V$45:$V$57</c:f>
              <c:numCache>
                <c:formatCode>General</c:formatCode>
                <c:ptCount val="12"/>
                <c:pt idx="0">
                  <c:v>6506.9598999999998</c:v>
                </c:pt>
                <c:pt idx="1">
                  <c:v>8514.8821000000007</c:v>
                </c:pt>
                <c:pt idx="2">
                  <c:v>15142.567499999999</c:v>
                </c:pt>
                <c:pt idx="3">
                  <c:v>12127.033700000002</c:v>
                </c:pt>
                <c:pt idx="4">
                  <c:v>3285.7773999999999</c:v>
                </c:pt>
                <c:pt idx="5">
                  <c:v>8722.6895999999997</c:v>
                </c:pt>
                <c:pt idx="6">
                  <c:v>10149.869999999999</c:v>
                </c:pt>
                <c:pt idx="7">
                  <c:v>7481.1401999999998</c:v>
                </c:pt>
                <c:pt idx="8">
                  <c:v>8433.5825999999997</c:v>
                </c:pt>
                <c:pt idx="9">
                  <c:v>11424.228599999999</c:v>
                </c:pt>
                <c:pt idx="10">
                  <c:v>4519.0763999999999</c:v>
                </c:pt>
                <c:pt idx="11">
                  <c:v>4125.3098</c:v>
                </c:pt>
              </c:numCache>
            </c:numRef>
          </c:val>
          <c:extLst>
            <c:ext xmlns:c16="http://schemas.microsoft.com/office/drawing/2014/chart" uri="{C3380CC4-5D6E-409C-BE32-E72D297353CC}">
              <c16:uniqueId val="{00000000-0A7E-433A-946A-384E313918DF}"/>
            </c:ext>
          </c:extLst>
        </c:ser>
        <c:ser>
          <c:idx val="1"/>
          <c:order val="1"/>
          <c:tx>
            <c:strRef>
              <c:f>' charts'!$W$43:$W$44</c:f>
              <c:strCache>
                <c:ptCount val="1"/>
                <c:pt idx="0">
                  <c:v>Male</c:v>
                </c:pt>
              </c:strCache>
            </c:strRef>
          </c:tx>
          <c:spPr>
            <a:solidFill>
              <a:schemeClr val="accent2"/>
            </a:solidFill>
            <a:ln>
              <a:noFill/>
            </a:ln>
            <a:effectLst/>
          </c:spPr>
          <c:invertIfNegative val="0"/>
          <c:cat>
            <c:strRef>
              <c:f>' charts'!$U$45:$U$57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 charts'!$W$45:$W$57</c:f>
              <c:numCache>
                <c:formatCode>General</c:formatCode>
                <c:ptCount val="12"/>
                <c:pt idx="0">
                  <c:v>7020.4683999999997</c:v>
                </c:pt>
                <c:pt idx="1">
                  <c:v>10309.695599999999</c:v>
                </c:pt>
                <c:pt idx="2">
                  <c:v>7417.8769000000002</c:v>
                </c:pt>
                <c:pt idx="3">
                  <c:v>7651.7350999999999</c:v>
                </c:pt>
                <c:pt idx="4">
                  <c:v>7919.5396000000001</c:v>
                </c:pt>
                <c:pt idx="5">
                  <c:v>8844.8089999999993</c:v>
                </c:pt>
                <c:pt idx="6">
                  <c:v>8707.1795999999995</c:v>
                </c:pt>
                <c:pt idx="7">
                  <c:v>4917.2932000000001</c:v>
                </c:pt>
                <c:pt idx="8">
                  <c:v>12331.6126</c:v>
                </c:pt>
                <c:pt idx="9">
                  <c:v>7531.1372000000001</c:v>
                </c:pt>
                <c:pt idx="10">
                  <c:v>7054.6145000000006</c:v>
                </c:pt>
                <c:pt idx="11">
                  <c:v>15705.0497</c:v>
                </c:pt>
              </c:numCache>
            </c:numRef>
          </c:val>
          <c:extLst>
            <c:ext xmlns:c16="http://schemas.microsoft.com/office/drawing/2014/chart" uri="{C3380CC4-5D6E-409C-BE32-E72D297353CC}">
              <c16:uniqueId val="{00000004-0A7E-433A-946A-384E313918DF}"/>
            </c:ext>
          </c:extLst>
        </c:ser>
        <c:ser>
          <c:idx val="2"/>
          <c:order val="2"/>
          <c:tx>
            <c:strRef>
              <c:f>' charts'!$X$43:$X$44</c:f>
              <c:strCache>
                <c:ptCount val="1"/>
                <c:pt idx="0">
                  <c:v>Other</c:v>
                </c:pt>
              </c:strCache>
            </c:strRef>
          </c:tx>
          <c:spPr>
            <a:solidFill>
              <a:schemeClr val="accent3"/>
            </a:solidFill>
            <a:ln>
              <a:noFill/>
            </a:ln>
            <a:effectLst/>
          </c:spPr>
          <c:invertIfNegative val="0"/>
          <c:cat>
            <c:strRef>
              <c:f>' charts'!$U$45:$U$57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 charts'!$X$45:$X$57</c:f>
              <c:numCache>
                <c:formatCode>General</c:formatCode>
                <c:ptCount val="12"/>
                <c:pt idx="0">
                  <c:v>11504.387300000002</c:v>
                </c:pt>
                <c:pt idx="1">
                  <c:v>7526.5054000000009</c:v>
                </c:pt>
                <c:pt idx="2">
                  <c:v>18957.694400000004</c:v>
                </c:pt>
                <c:pt idx="3">
                  <c:v>12642.293799999999</c:v>
                </c:pt>
                <c:pt idx="4">
                  <c:v>12161.428599999999</c:v>
                </c:pt>
                <c:pt idx="5">
                  <c:v>14258.475699999999</c:v>
                </c:pt>
                <c:pt idx="6">
                  <c:v>9677.5800000000017</c:v>
                </c:pt>
                <c:pt idx="7">
                  <c:v>13323.793000000001</c:v>
                </c:pt>
                <c:pt idx="8">
                  <c:v>12821.2091</c:v>
                </c:pt>
                <c:pt idx="9">
                  <c:v>7298.6207999999997</c:v>
                </c:pt>
                <c:pt idx="10">
                  <c:v>8059.1866</c:v>
                </c:pt>
                <c:pt idx="11">
                  <c:v>13114.4558</c:v>
                </c:pt>
              </c:numCache>
            </c:numRef>
          </c:val>
          <c:extLst>
            <c:ext xmlns:c16="http://schemas.microsoft.com/office/drawing/2014/chart" uri="{C3380CC4-5D6E-409C-BE32-E72D297353CC}">
              <c16:uniqueId val="{00000005-0A7E-433A-946A-384E313918DF}"/>
            </c:ext>
          </c:extLst>
        </c:ser>
        <c:dLbls>
          <c:showLegendKey val="0"/>
          <c:showVal val="0"/>
          <c:showCatName val="0"/>
          <c:showSerName val="0"/>
          <c:showPercent val="0"/>
          <c:showBubbleSize val="0"/>
        </c:dLbls>
        <c:gapWidth val="219"/>
        <c:overlap val="-27"/>
        <c:axId val="255719583"/>
        <c:axId val="13815087"/>
      </c:barChart>
      <c:catAx>
        <c:axId val="25571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5087"/>
        <c:crosses val="autoZero"/>
        <c:auto val="1"/>
        <c:lblAlgn val="ctr"/>
        <c:lblOffset val="100"/>
        <c:noMultiLvlLbl val="0"/>
      </c:catAx>
      <c:valAx>
        <c:axId val="13815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719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[Akhil_PGA_56.xlsx] charts!PivotTable42</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Coupon</a:t>
            </a:r>
            <a:r>
              <a:rPr lang="en-US" b="1" baseline="0">
                <a:solidFill>
                  <a:schemeClr val="tx1"/>
                </a:solidFill>
              </a:rPr>
              <a:t> Code Usage Distribution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 charts'!$S$24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2F-433F-B2E0-C6B73384C0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2F-433F-B2E0-C6B73384C0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2F-433F-B2E0-C6B73384C0F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C2F-433F-B2E0-C6B73384C0F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C2F-433F-B2E0-C6B73384C0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charts'!$R$25:$R$30</c:f>
              <c:strCache>
                <c:ptCount val="5"/>
                <c:pt idx="0">
                  <c:v>FLAT8</c:v>
                </c:pt>
                <c:pt idx="1">
                  <c:v>FLAT20</c:v>
                </c:pt>
                <c:pt idx="2">
                  <c:v>DEL0</c:v>
                </c:pt>
                <c:pt idx="3">
                  <c:v>FLAT10</c:v>
                </c:pt>
                <c:pt idx="4">
                  <c:v>FLAT15</c:v>
                </c:pt>
              </c:strCache>
            </c:strRef>
          </c:cat>
          <c:val>
            <c:numRef>
              <c:f>' charts'!$S$25:$S$30</c:f>
              <c:numCache>
                <c:formatCode>General</c:formatCode>
                <c:ptCount val="5"/>
                <c:pt idx="0">
                  <c:v>111</c:v>
                </c:pt>
                <c:pt idx="1">
                  <c:v>104</c:v>
                </c:pt>
                <c:pt idx="2">
                  <c:v>102</c:v>
                </c:pt>
                <c:pt idx="3">
                  <c:v>100</c:v>
                </c:pt>
                <c:pt idx="4">
                  <c:v>83</c:v>
                </c:pt>
              </c:numCache>
            </c:numRef>
          </c:val>
          <c:extLst>
            <c:ext xmlns:c16="http://schemas.microsoft.com/office/drawing/2014/chart" uri="{C3380CC4-5D6E-409C-BE32-E72D297353CC}">
              <c16:uniqueId val="{0000000A-5C2F-433F-B2E0-C6B73384C0F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 City-Wise Total Orders</cx:v>
        </cx:txData>
      </cx:tx>
      <cx:txPr>
        <a:bodyPr spcFirstLastPara="1" vertOverflow="ellipsis" horzOverflow="overflow" wrap="square" lIns="0" tIns="0" rIns="0" bIns="0" anchor="ctr" anchorCtr="1"/>
        <a:lstStyle/>
        <a:p>
          <a:pPr algn="ctr" rtl="0">
            <a:defRPr b="1">
              <a:solidFill>
                <a:schemeClr val="tx1"/>
              </a:solidFill>
            </a:defRPr>
          </a:pPr>
          <a:r>
            <a:rPr lang="en-GB" sz="1400" b="1" i="0" u="none" strike="noStrike" baseline="0">
              <a:solidFill>
                <a:schemeClr val="tx1"/>
              </a:solidFill>
              <a:latin typeface="Calibri"/>
              <a:ea typeface="Calibri"/>
              <a:cs typeface="Calibri"/>
            </a:rPr>
            <a:t> City-Wise Total Orders</a:t>
          </a:r>
        </a:p>
      </cx:txPr>
    </cx:title>
    <cx:plotArea>
      <cx:plotAreaRegion>
        <cx:series layoutId="funnel" uniqueId="{EE9990B4-E422-42E9-B223-C8365C0FA279}">
          <cx:tx>
            <cx:txData>
              <cx:f>_xlchart.v2.1</cx:f>
              <cx:v>Count of Order_ID</cx:v>
            </cx:txData>
          </cx:tx>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spPr>
    <a:solidFill>
      <a:schemeClr val="accent6">
        <a:lumMod val="60000"/>
        <a:lumOff val="40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12</xdr:col>
      <xdr:colOff>556260</xdr:colOff>
      <xdr:row>28</xdr:row>
      <xdr:rowOff>76200</xdr:rowOff>
    </xdr:from>
    <xdr:to>
      <xdr:col>16</xdr:col>
      <xdr:colOff>800100</xdr:colOff>
      <xdr:row>32</xdr:row>
      <xdr:rowOff>22860</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7DE8C766-7B98-46B3-79A1-A02F59118F5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011400" y="5196840"/>
              <a:ext cx="4305300" cy="678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395469</xdr:colOff>
      <xdr:row>3</xdr:row>
      <xdr:rowOff>91922</xdr:rowOff>
    </xdr:from>
    <xdr:to>
      <xdr:col>34</xdr:col>
      <xdr:colOff>388189</xdr:colOff>
      <xdr:row>59</xdr:row>
      <xdr:rowOff>144683</xdr:rowOff>
    </xdr:to>
    <xdr:sp macro="" textlink="">
      <xdr:nvSpPr>
        <xdr:cNvPr id="2" name="Rectangle: Rounded Corners 1">
          <a:extLst>
            <a:ext uri="{FF2B5EF4-FFF2-40B4-BE49-F238E27FC236}">
              <a16:creationId xmlns:a16="http://schemas.microsoft.com/office/drawing/2014/main" id="{D111A3C4-CBAF-69CF-C05B-F749137B9252}"/>
            </a:ext>
          </a:extLst>
        </xdr:cNvPr>
        <xdr:cNvSpPr/>
      </xdr:nvSpPr>
      <xdr:spPr>
        <a:xfrm>
          <a:off x="4622412" y="652639"/>
          <a:ext cx="16296645" cy="10519478"/>
        </a:xfrm>
        <a:prstGeom prst="roundRect">
          <a:avLst>
            <a:gd name="adj" fmla="val 5259"/>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154329</xdr:colOff>
      <xdr:row>8</xdr:row>
      <xdr:rowOff>135040</xdr:rowOff>
    </xdr:from>
    <xdr:to>
      <xdr:col>33</xdr:col>
      <xdr:colOff>28937</xdr:colOff>
      <xdr:row>19</xdr:row>
      <xdr:rowOff>125394</xdr:rowOff>
    </xdr:to>
    <xdr:sp macro="" textlink="">
      <xdr:nvSpPr>
        <xdr:cNvPr id="40" name="Rectangle: Rounded Corners 39">
          <a:extLst>
            <a:ext uri="{FF2B5EF4-FFF2-40B4-BE49-F238E27FC236}">
              <a16:creationId xmlns:a16="http://schemas.microsoft.com/office/drawing/2014/main" id="{115E9B24-C462-889D-5CE5-33604D2A9059}"/>
            </a:ext>
          </a:extLst>
        </xdr:cNvPr>
        <xdr:cNvSpPr/>
      </xdr:nvSpPr>
      <xdr:spPr>
        <a:xfrm>
          <a:off x="5623367" y="1051369"/>
          <a:ext cx="14458709" cy="2006278"/>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6">
                <a:lumMod val="40000"/>
                <a:lumOff val="60000"/>
              </a:schemeClr>
            </a:solidFill>
          </a:endParaRPr>
        </a:p>
      </xdr:txBody>
    </xdr:sp>
    <xdr:clientData/>
  </xdr:twoCellAnchor>
  <xdr:twoCellAnchor>
    <xdr:from>
      <xdr:col>9</xdr:col>
      <xdr:colOff>250784</xdr:colOff>
      <xdr:row>4</xdr:row>
      <xdr:rowOff>77165</xdr:rowOff>
    </xdr:from>
    <xdr:to>
      <xdr:col>32</xdr:col>
      <xdr:colOff>511215</xdr:colOff>
      <xdr:row>8</xdr:row>
      <xdr:rowOff>77166</xdr:rowOff>
    </xdr:to>
    <xdr:sp macro="" textlink="">
      <xdr:nvSpPr>
        <xdr:cNvPr id="3" name="TextBox 2">
          <a:extLst>
            <a:ext uri="{FF2B5EF4-FFF2-40B4-BE49-F238E27FC236}">
              <a16:creationId xmlns:a16="http://schemas.microsoft.com/office/drawing/2014/main" id="{5C8C8949-ACC6-6908-0E9A-83BBF5FF5889}"/>
            </a:ext>
          </a:extLst>
        </xdr:cNvPr>
        <xdr:cNvSpPr txBox="1"/>
      </xdr:nvSpPr>
      <xdr:spPr>
        <a:xfrm>
          <a:off x="2073797" y="260431"/>
          <a:ext cx="14236861" cy="733064"/>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800"/>
            <a:t>Sales Performance Analysis Dashboard</a:t>
          </a:r>
        </a:p>
      </xdr:txBody>
    </xdr:sp>
    <xdr:clientData/>
  </xdr:twoCellAnchor>
  <xdr:twoCellAnchor>
    <xdr:from>
      <xdr:col>9</xdr:col>
      <xdr:colOff>231493</xdr:colOff>
      <xdr:row>9</xdr:row>
      <xdr:rowOff>48228</xdr:rowOff>
    </xdr:from>
    <xdr:to>
      <xdr:col>13</xdr:col>
      <xdr:colOff>67519</xdr:colOff>
      <xdr:row>14</xdr:row>
      <xdr:rowOff>19291</xdr:rowOff>
    </xdr:to>
    <xdr:sp macro="" textlink="">
      <xdr:nvSpPr>
        <xdr:cNvPr id="14" name="Rectangle: Rounded Corners 13">
          <a:extLst>
            <a:ext uri="{FF2B5EF4-FFF2-40B4-BE49-F238E27FC236}">
              <a16:creationId xmlns:a16="http://schemas.microsoft.com/office/drawing/2014/main" id="{B685A109-424F-9B6C-750E-42DF3B30F2CB}"/>
            </a:ext>
          </a:extLst>
        </xdr:cNvPr>
        <xdr:cNvSpPr/>
      </xdr:nvSpPr>
      <xdr:spPr>
        <a:xfrm>
          <a:off x="5700531" y="1147823"/>
          <a:ext cx="2266710" cy="887392"/>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tx1"/>
              </a:solidFill>
            </a:rPr>
            <a:t>Unique</a:t>
          </a:r>
          <a:r>
            <a:rPr lang="en-IN" sz="1400" baseline="0">
              <a:solidFill>
                <a:schemeClr val="tx1"/>
              </a:solidFill>
            </a:rPr>
            <a:t> Customers</a:t>
          </a:r>
          <a:endParaRPr lang="en-IN" sz="1400">
            <a:solidFill>
              <a:schemeClr val="tx1"/>
            </a:solidFill>
          </a:endParaRPr>
        </a:p>
      </xdr:txBody>
    </xdr:sp>
    <xdr:clientData/>
  </xdr:twoCellAnchor>
  <xdr:twoCellAnchor>
    <xdr:from>
      <xdr:col>13</xdr:col>
      <xdr:colOff>162046</xdr:colOff>
      <xdr:row>9</xdr:row>
      <xdr:rowOff>36655</xdr:rowOff>
    </xdr:from>
    <xdr:to>
      <xdr:col>16</xdr:col>
      <xdr:colOff>605742</xdr:colOff>
      <xdr:row>14</xdr:row>
      <xdr:rowOff>7718</xdr:rowOff>
    </xdr:to>
    <xdr:sp macro="" textlink="">
      <xdr:nvSpPr>
        <xdr:cNvPr id="15" name="Rectangle: Rounded Corners 14">
          <a:extLst>
            <a:ext uri="{FF2B5EF4-FFF2-40B4-BE49-F238E27FC236}">
              <a16:creationId xmlns:a16="http://schemas.microsoft.com/office/drawing/2014/main" id="{D4ED3A19-98C9-44A0-BBEB-07DC7ED21665}"/>
            </a:ext>
          </a:extLst>
        </xdr:cNvPr>
        <xdr:cNvSpPr/>
      </xdr:nvSpPr>
      <xdr:spPr>
        <a:xfrm>
          <a:off x="4415742" y="1136250"/>
          <a:ext cx="2266709" cy="887392"/>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aseline="0">
              <a:solidFill>
                <a:schemeClr val="tx1"/>
              </a:solidFill>
            </a:rPr>
            <a:t>Top Customer</a:t>
          </a:r>
          <a:endParaRPr lang="en-IN" sz="1400">
            <a:solidFill>
              <a:schemeClr val="tx1"/>
            </a:solidFill>
          </a:endParaRPr>
        </a:p>
      </xdr:txBody>
    </xdr:sp>
    <xdr:clientData/>
  </xdr:twoCellAnchor>
  <xdr:twoCellAnchor>
    <xdr:from>
      <xdr:col>17</xdr:col>
      <xdr:colOff>121532</xdr:colOff>
      <xdr:row>9</xdr:row>
      <xdr:rowOff>34726</xdr:rowOff>
    </xdr:from>
    <xdr:to>
      <xdr:col>20</xdr:col>
      <xdr:colOff>565229</xdr:colOff>
      <xdr:row>14</xdr:row>
      <xdr:rowOff>5789</xdr:rowOff>
    </xdr:to>
    <xdr:sp macro="" textlink="">
      <xdr:nvSpPr>
        <xdr:cNvPr id="16" name="Rectangle: Rounded Corners 15">
          <a:extLst>
            <a:ext uri="{FF2B5EF4-FFF2-40B4-BE49-F238E27FC236}">
              <a16:creationId xmlns:a16="http://schemas.microsoft.com/office/drawing/2014/main" id="{B7745524-AD5F-4EEB-BDB8-5C80BA92EB45}"/>
            </a:ext>
          </a:extLst>
        </xdr:cNvPr>
        <xdr:cNvSpPr/>
      </xdr:nvSpPr>
      <xdr:spPr>
        <a:xfrm>
          <a:off x="10451937" y="1134321"/>
          <a:ext cx="2266710" cy="887392"/>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aseline="0">
              <a:solidFill>
                <a:schemeClr val="tx1"/>
              </a:solidFill>
            </a:rPr>
            <a:t>Avg Customer Age</a:t>
          </a:r>
          <a:endParaRPr lang="en-IN" sz="1400">
            <a:solidFill>
              <a:schemeClr val="tx1"/>
            </a:solidFill>
          </a:endParaRPr>
        </a:p>
      </xdr:txBody>
    </xdr:sp>
    <xdr:clientData/>
  </xdr:twoCellAnchor>
  <xdr:twoCellAnchor>
    <xdr:from>
      <xdr:col>21</xdr:col>
      <xdr:colOff>81022</xdr:colOff>
      <xdr:row>9</xdr:row>
      <xdr:rowOff>23149</xdr:rowOff>
    </xdr:from>
    <xdr:to>
      <xdr:col>24</xdr:col>
      <xdr:colOff>524718</xdr:colOff>
      <xdr:row>13</xdr:row>
      <xdr:rowOff>177478</xdr:rowOff>
    </xdr:to>
    <xdr:sp macro="" textlink="">
      <xdr:nvSpPr>
        <xdr:cNvPr id="17" name="Rectangle: Rounded Corners 16">
          <a:extLst>
            <a:ext uri="{FF2B5EF4-FFF2-40B4-BE49-F238E27FC236}">
              <a16:creationId xmlns:a16="http://schemas.microsoft.com/office/drawing/2014/main" id="{C4766C86-A0A1-4E9A-B52C-815FBC4544A0}"/>
            </a:ext>
          </a:extLst>
        </xdr:cNvPr>
        <xdr:cNvSpPr/>
      </xdr:nvSpPr>
      <xdr:spPr>
        <a:xfrm>
          <a:off x="12842111" y="1122744"/>
          <a:ext cx="2266708" cy="887392"/>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tx1"/>
              </a:solidFill>
            </a:rPr>
            <a:t>Total</a:t>
          </a:r>
          <a:r>
            <a:rPr lang="en-IN" sz="1400" baseline="0">
              <a:solidFill>
                <a:schemeClr val="tx1"/>
              </a:solidFill>
            </a:rPr>
            <a:t> Orders</a:t>
          </a:r>
          <a:endParaRPr lang="en-IN" sz="1400">
            <a:solidFill>
              <a:schemeClr val="tx1"/>
            </a:solidFill>
          </a:endParaRPr>
        </a:p>
      </xdr:txBody>
    </xdr:sp>
    <xdr:clientData/>
  </xdr:twoCellAnchor>
  <xdr:twoCellAnchor>
    <xdr:from>
      <xdr:col>25</xdr:col>
      <xdr:colOff>59802</xdr:colOff>
      <xdr:row>9</xdr:row>
      <xdr:rowOff>30867</xdr:rowOff>
    </xdr:from>
    <xdr:to>
      <xdr:col>28</xdr:col>
      <xdr:colOff>503499</xdr:colOff>
      <xdr:row>14</xdr:row>
      <xdr:rowOff>1930</xdr:rowOff>
    </xdr:to>
    <xdr:sp macro="" textlink="">
      <xdr:nvSpPr>
        <xdr:cNvPr id="18" name="Rectangle: Rounded Corners 17">
          <a:extLst>
            <a:ext uri="{FF2B5EF4-FFF2-40B4-BE49-F238E27FC236}">
              <a16:creationId xmlns:a16="http://schemas.microsoft.com/office/drawing/2014/main" id="{1226D8E1-0831-4D45-99A7-053D763A8177}"/>
            </a:ext>
          </a:extLst>
        </xdr:cNvPr>
        <xdr:cNvSpPr/>
      </xdr:nvSpPr>
      <xdr:spPr>
        <a:xfrm>
          <a:off x="15251574" y="1130462"/>
          <a:ext cx="2266710" cy="887392"/>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tx1"/>
              </a:solidFill>
            </a:rPr>
            <a:t>Avg</a:t>
          </a:r>
          <a:r>
            <a:rPr lang="en-IN" sz="1400" baseline="0">
              <a:solidFill>
                <a:schemeClr val="tx1"/>
              </a:solidFill>
            </a:rPr>
            <a:t> Delivery Days</a:t>
          </a:r>
          <a:endParaRPr lang="en-IN" sz="1400">
            <a:solidFill>
              <a:schemeClr val="tx1"/>
            </a:solidFill>
          </a:endParaRPr>
        </a:p>
      </xdr:txBody>
    </xdr:sp>
    <xdr:clientData/>
  </xdr:twoCellAnchor>
  <xdr:twoCellAnchor>
    <xdr:from>
      <xdr:col>29</xdr:col>
      <xdr:colOff>38583</xdr:colOff>
      <xdr:row>9</xdr:row>
      <xdr:rowOff>1</xdr:rowOff>
    </xdr:from>
    <xdr:to>
      <xdr:col>32</xdr:col>
      <xdr:colOff>482279</xdr:colOff>
      <xdr:row>13</xdr:row>
      <xdr:rowOff>154330</xdr:rowOff>
    </xdr:to>
    <xdr:sp macro="" textlink="">
      <xdr:nvSpPr>
        <xdr:cNvPr id="19" name="Rectangle: Rounded Corners 18">
          <a:extLst>
            <a:ext uri="{FF2B5EF4-FFF2-40B4-BE49-F238E27FC236}">
              <a16:creationId xmlns:a16="http://schemas.microsoft.com/office/drawing/2014/main" id="{505E0389-F3D0-4D40-81A6-1F08B5E900E1}"/>
            </a:ext>
          </a:extLst>
        </xdr:cNvPr>
        <xdr:cNvSpPr/>
      </xdr:nvSpPr>
      <xdr:spPr>
        <a:xfrm>
          <a:off x="17661039" y="1099596"/>
          <a:ext cx="2266708" cy="887392"/>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tx1"/>
              </a:solidFill>
            </a:rPr>
            <a:t>Free</a:t>
          </a:r>
          <a:r>
            <a:rPr lang="en-IN" sz="1400" baseline="0">
              <a:solidFill>
                <a:schemeClr val="tx1"/>
              </a:solidFill>
            </a:rPr>
            <a:t> Deliveries</a:t>
          </a:r>
          <a:endParaRPr lang="en-IN" sz="1400">
            <a:solidFill>
              <a:schemeClr val="tx1"/>
            </a:solidFill>
          </a:endParaRPr>
        </a:p>
      </xdr:txBody>
    </xdr:sp>
    <xdr:clientData/>
  </xdr:twoCellAnchor>
  <xdr:twoCellAnchor>
    <xdr:from>
      <xdr:col>9</xdr:col>
      <xdr:colOff>248854</xdr:colOff>
      <xdr:row>14</xdr:row>
      <xdr:rowOff>84882</xdr:rowOff>
    </xdr:from>
    <xdr:to>
      <xdr:col>13</xdr:col>
      <xdr:colOff>84880</xdr:colOff>
      <xdr:row>19</xdr:row>
      <xdr:rowOff>55945</xdr:rowOff>
    </xdr:to>
    <xdr:sp macro="" textlink="">
      <xdr:nvSpPr>
        <xdr:cNvPr id="20" name="Rectangle: Rounded Corners 19">
          <a:extLst>
            <a:ext uri="{FF2B5EF4-FFF2-40B4-BE49-F238E27FC236}">
              <a16:creationId xmlns:a16="http://schemas.microsoft.com/office/drawing/2014/main" id="{85FFBC25-FC6D-401F-B70E-3E2AE21FE484}"/>
            </a:ext>
          </a:extLst>
        </xdr:cNvPr>
        <xdr:cNvSpPr/>
      </xdr:nvSpPr>
      <xdr:spPr>
        <a:xfrm>
          <a:off x="5717892" y="2100806"/>
          <a:ext cx="2266710" cy="887392"/>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tx1"/>
              </a:solidFill>
            </a:rPr>
            <a:t> Unique Products</a:t>
          </a:r>
        </a:p>
      </xdr:txBody>
    </xdr:sp>
    <xdr:clientData/>
  </xdr:twoCellAnchor>
  <xdr:twoCellAnchor>
    <xdr:from>
      <xdr:col>13</xdr:col>
      <xdr:colOff>160115</xdr:colOff>
      <xdr:row>14</xdr:row>
      <xdr:rowOff>92600</xdr:rowOff>
    </xdr:from>
    <xdr:to>
      <xdr:col>16</xdr:col>
      <xdr:colOff>603811</xdr:colOff>
      <xdr:row>19</xdr:row>
      <xdr:rowOff>63663</xdr:rowOff>
    </xdr:to>
    <xdr:sp macro="" textlink="">
      <xdr:nvSpPr>
        <xdr:cNvPr id="21" name="Rectangle: Rounded Corners 20">
          <a:extLst>
            <a:ext uri="{FF2B5EF4-FFF2-40B4-BE49-F238E27FC236}">
              <a16:creationId xmlns:a16="http://schemas.microsoft.com/office/drawing/2014/main" id="{80D2D220-40F0-430D-9903-E3D816DB6911}"/>
            </a:ext>
          </a:extLst>
        </xdr:cNvPr>
        <xdr:cNvSpPr/>
      </xdr:nvSpPr>
      <xdr:spPr>
        <a:xfrm>
          <a:off x="8059837" y="2108524"/>
          <a:ext cx="2266708" cy="887392"/>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tx1"/>
              </a:solidFill>
            </a:rPr>
            <a:t> Top Products</a:t>
          </a:r>
        </a:p>
      </xdr:txBody>
    </xdr:sp>
    <xdr:clientData/>
  </xdr:twoCellAnchor>
  <xdr:twoCellAnchor>
    <xdr:from>
      <xdr:col>17</xdr:col>
      <xdr:colOff>109960</xdr:colOff>
      <xdr:row>14</xdr:row>
      <xdr:rowOff>81026</xdr:rowOff>
    </xdr:from>
    <xdr:to>
      <xdr:col>20</xdr:col>
      <xdr:colOff>553657</xdr:colOff>
      <xdr:row>19</xdr:row>
      <xdr:rowOff>52089</xdr:rowOff>
    </xdr:to>
    <xdr:sp macro="" textlink="">
      <xdr:nvSpPr>
        <xdr:cNvPr id="22" name="Rectangle: Rounded Corners 21">
          <a:extLst>
            <a:ext uri="{FF2B5EF4-FFF2-40B4-BE49-F238E27FC236}">
              <a16:creationId xmlns:a16="http://schemas.microsoft.com/office/drawing/2014/main" id="{B2C7E659-7661-496F-9796-8A4953773CE3}"/>
            </a:ext>
          </a:extLst>
        </xdr:cNvPr>
        <xdr:cNvSpPr/>
      </xdr:nvSpPr>
      <xdr:spPr>
        <a:xfrm>
          <a:off x="10440365" y="2096950"/>
          <a:ext cx="2266710" cy="887392"/>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tx1"/>
              </a:solidFill>
            </a:rPr>
            <a:t> Highest Sales Product</a:t>
          </a:r>
        </a:p>
      </xdr:txBody>
    </xdr:sp>
    <xdr:clientData/>
  </xdr:twoCellAnchor>
  <xdr:twoCellAnchor>
    <xdr:from>
      <xdr:col>21</xdr:col>
      <xdr:colOff>79094</xdr:colOff>
      <xdr:row>14</xdr:row>
      <xdr:rowOff>69451</xdr:rowOff>
    </xdr:from>
    <xdr:to>
      <xdr:col>24</xdr:col>
      <xdr:colOff>522790</xdr:colOff>
      <xdr:row>19</xdr:row>
      <xdr:rowOff>40514</xdr:rowOff>
    </xdr:to>
    <xdr:sp macro="" textlink="">
      <xdr:nvSpPr>
        <xdr:cNvPr id="23" name="Rectangle: Rounded Corners 22">
          <a:extLst>
            <a:ext uri="{FF2B5EF4-FFF2-40B4-BE49-F238E27FC236}">
              <a16:creationId xmlns:a16="http://schemas.microsoft.com/office/drawing/2014/main" id="{88211D9B-4A84-4EAB-9C8D-5497FAB4C84F}"/>
            </a:ext>
          </a:extLst>
        </xdr:cNvPr>
        <xdr:cNvSpPr/>
      </xdr:nvSpPr>
      <xdr:spPr>
        <a:xfrm>
          <a:off x="12840183" y="2085375"/>
          <a:ext cx="2266708" cy="887392"/>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tx1"/>
              </a:solidFill>
            </a:rPr>
            <a:t> Total Sales</a:t>
          </a:r>
        </a:p>
      </xdr:txBody>
    </xdr:sp>
    <xdr:clientData/>
  </xdr:twoCellAnchor>
  <xdr:twoCellAnchor>
    <xdr:from>
      <xdr:col>25</xdr:col>
      <xdr:colOff>77164</xdr:colOff>
      <xdr:row>14</xdr:row>
      <xdr:rowOff>86814</xdr:rowOff>
    </xdr:from>
    <xdr:to>
      <xdr:col>28</xdr:col>
      <xdr:colOff>520861</xdr:colOff>
      <xdr:row>19</xdr:row>
      <xdr:rowOff>57877</xdr:rowOff>
    </xdr:to>
    <xdr:sp macro="" textlink="">
      <xdr:nvSpPr>
        <xdr:cNvPr id="24" name="Rectangle: Rounded Corners 23">
          <a:extLst>
            <a:ext uri="{FF2B5EF4-FFF2-40B4-BE49-F238E27FC236}">
              <a16:creationId xmlns:a16="http://schemas.microsoft.com/office/drawing/2014/main" id="{3F52C012-D64F-4B49-A7FC-805963112476}"/>
            </a:ext>
          </a:extLst>
        </xdr:cNvPr>
        <xdr:cNvSpPr/>
      </xdr:nvSpPr>
      <xdr:spPr>
        <a:xfrm>
          <a:off x="15268936" y="2102738"/>
          <a:ext cx="2266710" cy="887392"/>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tx1"/>
              </a:solidFill>
            </a:rPr>
            <a:t>Net</a:t>
          </a:r>
          <a:r>
            <a:rPr lang="en-IN" sz="1400" baseline="0">
              <a:solidFill>
                <a:schemeClr val="tx1"/>
              </a:solidFill>
            </a:rPr>
            <a:t> Sales</a:t>
          </a:r>
          <a:endParaRPr lang="en-IN" sz="1400">
            <a:solidFill>
              <a:schemeClr val="tx1"/>
            </a:solidFill>
          </a:endParaRPr>
        </a:p>
      </xdr:txBody>
    </xdr:sp>
    <xdr:clientData/>
  </xdr:twoCellAnchor>
  <xdr:twoCellAnchor>
    <xdr:from>
      <xdr:col>10</xdr:col>
      <xdr:colOff>86809</xdr:colOff>
      <xdr:row>11</xdr:row>
      <xdr:rowOff>57873</xdr:rowOff>
    </xdr:from>
    <xdr:to>
      <xdr:col>12</xdr:col>
      <xdr:colOff>144683</xdr:colOff>
      <xdr:row>13</xdr:row>
      <xdr:rowOff>28937</xdr:rowOff>
    </xdr:to>
    <xdr:sp macro="" textlink="' kpis'!L4">
      <xdr:nvSpPr>
        <xdr:cNvPr id="26" name="TextBox 25">
          <a:extLst>
            <a:ext uri="{FF2B5EF4-FFF2-40B4-BE49-F238E27FC236}">
              <a16:creationId xmlns:a16="http://schemas.microsoft.com/office/drawing/2014/main" id="{ABD93E29-2883-8A96-7255-2759D3C1390E}"/>
            </a:ext>
          </a:extLst>
        </xdr:cNvPr>
        <xdr:cNvSpPr txBox="1"/>
      </xdr:nvSpPr>
      <xdr:spPr>
        <a:xfrm>
          <a:off x="6163518" y="1524000"/>
          <a:ext cx="1273216" cy="33759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6C3E29-E07D-405C-98E1-6E747084395C}" type="TxLink">
            <a:rPr lang="en-US" sz="2400" b="1" i="0" u="none" strike="noStrike">
              <a:solidFill>
                <a:schemeClr val="tx1"/>
              </a:solidFill>
              <a:latin typeface="Calibri"/>
              <a:ea typeface="Calibri"/>
              <a:cs typeface="Calibri"/>
            </a:rPr>
            <a:pPr algn="ctr"/>
            <a:t>100</a:t>
          </a:fld>
          <a:endParaRPr lang="en-US" sz="2400" b="1">
            <a:solidFill>
              <a:schemeClr val="tx1"/>
            </a:solidFill>
          </a:endParaRPr>
        </a:p>
      </xdr:txBody>
    </xdr:sp>
    <xdr:clientData/>
  </xdr:twoCellAnchor>
  <xdr:twoCellAnchor>
    <xdr:from>
      <xdr:col>29</xdr:col>
      <xdr:colOff>84880</xdr:colOff>
      <xdr:row>14</xdr:row>
      <xdr:rowOff>65593</xdr:rowOff>
    </xdr:from>
    <xdr:to>
      <xdr:col>32</xdr:col>
      <xdr:colOff>528576</xdr:colOff>
      <xdr:row>19</xdr:row>
      <xdr:rowOff>36656</xdr:rowOff>
    </xdr:to>
    <xdr:sp macro="" textlink="">
      <xdr:nvSpPr>
        <xdr:cNvPr id="25" name="Rectangle: Rounded Corners 24">
          <a:extLst>
            <a:ext uri="{FF2B5EF4-FFF2-40B4-BE49-F238E27FC236}">
              <a16:creationId xmlns:a16="http://schemas.microsoft.com/office/drawing/2014/main" id="{D15C8FDE-6558-4F75-AE4E-E360848E761B}"/>
            </a:ext>
          </a:extLst>
        </xdr:cNvPr>
        <xdr:cNvSpPr/>
      </xdr:nvSpPr>
      <xdr:spPr>
        <a:xfrm>
          <a:off x="17707336" y="2081517"/>
          <a:ext cx="2266708" cy="887392"/>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tx1"/>
              </a:solidFill>
            </a:rPr>
            <a:t>Final</a:t>
          </a:r>
          <a:r>
            <a:rPr lang="en-IN" sz="1400" baseline="0">
              <a:solidFill>
                <a:schemeClr val="tx1"/>
              </a:solidFill>
            </a:rPr>
            <a:t> Sales</a:t>
          </a:r>
          <a:endParaRPr lang="en-IN" sz="1400">
            <a:solidFill>
              <a:schemeClr val="tx1"/>
            </a:solidFill>
          </a:endParaRPr>
        </a:p>
      </xdr:txBody>
    </xdr:sp>
    <xdr:clientData/>
  </xdr:twoCellAnchor>
  <xdr:twoCellAnchor>
    <xdr:from>
      <xdr:col>14</xdr:col>
      <xdr:colOff>65590</xdr:colOff>
      <xdr:row>11</xdr:row>
      <xdr:rowOff>94526</xdr:rowOff>
    </xdr:from>
    <xdr:to>
      <xdr:col>16</xdr:col>
      <xdr:colOff>123463</xdr:colOff>
      <xdr:row>13</xdr:row>
      <xdr:rowOff>65590</xdr:rowOff>
    </xdr:to>
    <xdr:sp macro="" textlink="' kpis'!A6">
      <xdr:nvSpPr>
        <xdr:cNvPr id="27" name="TextBox 26">
          <a:extLst>
            <a:ext uri="{FF2B5EF4-FFF2-40B4-BE49-F238E27FC236}">
              <a16:creationId xmlns:a16="http://schemas.microsoft.com/office/drawing/2014/main" id="{9A8564EF-33D9-45F9-A5D1-841455464E58}"/>
            </a:ext>
          </a:extLst>
        </xdr:cNvPr>
        <xdr:cNvSpPr txBox="1"/>
      </xdr:nvSpPr>
      <xdr:spPr>
        <a:xfrm>
          <a:off x="4926957" y="1560653"/>
          <a:ext cx="1273215" cy="33759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F84AE3-CE29-49AD-BEB2-01070C99A059}" type="TxLink">
            <a:rPr lang="en-US" sz="1800" b="1" i="0" u="none" strike="noStrike">
              <a:solidFill>
                <a:schemeClr val="tx1"/>
              </a:solidFill>
              <a:latin typeface="Calibri"/>
              <a:ea typeface="Calibri"/>
              <a:cs typeface="Calibri"/>
            </a:rPr>
            <a:pPr algn="ctr"/>
            <a:t>Bruce Allen</a:t>
          </a:fld>
          <a:endParaRPr lang="en-IN" sz="1800" b="1">
            <a:solidFill>
              <a:schemeClr val="tx1"/>
            </a:solidFill>
          </a:endParaRPr>
        </a:p>
      </xdr:txBody>
    </xdr:sp>
    <xdr:clientData/>
  </xdr:twoCellAnchor>
  <xdr:twoCellAnchor>
    <xdr:from>
      <xdr:col>18</xdr:col>
      <xdr:colOff>34724</xdr:colOff>
      <xdr:row>11</xdr:row>
      <xdr:rowOff>92597</xdr:rowOff>
    </xdr:from>
    <xdr:to>
      <xdr:col>20</xdr:col>
      <xdr:colOff>92598</xdr:colOff>
      <xdr:row>13</xdr:row>
      <xdr:rowOff>63661</xdr:rowOff>
    </xdr:to>
    <xdr:sp macro="" textlink="' kpis'!D5">
      <xdr:nvSpPr>
        <xdr:cNvPr id="28" name="TextBox 27">
          <a:extLst>
            <a:ext uri="{FF2B5EF4-FFF2-40B4-BE49-F238E27FC236}">
              <a16:creationId xmlns:a16="http://schemas.microsoft.com/office/drawing/2014/main" id="{C17223FA-D42B-4504-9F12-1AD37275CAEA}"/>
            </a:ext>
          </a:extLst>
        </xdr:cNvPr>
        <xdr:cNvSpPr txBox="1"/>
      </xdr:nvSpPr>
      <xdr:spPr>
        <a:xfrm>
          <a:off x="7326775" y="1558724"/>
          <a:ext cx="1273215" cy="33759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CD4BFDF-9C01-4A24-A8EA-8B32AED230FA}" type="TxLink">
            <a:rPr lang="en-US" sz="2400" b="1" i="0" u="none" strike="noStrike">
              <a:solidFill>
                <a:schemeClr val="tx1"/>
              </a:solidFill>
              <a:latin typeface="Calibri"/>
              <a:ea typeface="Calibri"/>
              <a:cs typeface="Calibri"/>
            </a:rPr>
            <a:pPr algn="ctr"/>
            <a:t>42.124</a:t>
          </a:fld>
          <a:endParaRPr lang="en-IN" sz="2400" b="1">
            <a:solidFill>
              <a:schemeClr val="tx1"/>
            </a:solidFill>
          </a:endParaRPr>
        </a:p>
      </xdr:txBody>
    </xdr:sp>
    <xdr:clientData/>
  </xdr:twoCellAnchor>
  <xdr:twoCellAnchor>
    <xdr:from>
      <xdr:col>21</xdr:col>
      <xdr:colOff>592238</xdr:colOff>
      <xdr:row>11</xdr:row>
      <xdr:rowOff>81023</xdr:rowOff>
    </xdr:from>
    <xdr:to>
      <xdr:col>24</xdr:col>
      <xdr:colOff>42441</xdr:colOff>
      <xdr:row>13</xdr:row>
      <xdr:rowOff>52087</xdr:rowOff>
    </xdr:to>
    <xdr:sp macro="" textlink="' kpis'!A18">
      <xdr:nvSpPr>
        <xdr:cNvPr id="29" name="TextBox 28">
          <a:extLst>
            <a:ext uri="{FF2B5EF4-FFF2-40B4-BE49-F238E27FC236}">
              <a16:creationId xmlns:a16="http://schemas.microsoft.com/office/drawing/2014/main" id="{96D92AA7-A849-41A9-B73B-04C1BE3F05F3}"/>
            </a:ext>
          </a:extLst>
        </xdr:cNvPr>
        <xdr:cNvSpPr txBox="1"/>
      </xdr:nvSpPr>
      <xdr:spPr>
        <a:xfrm>
          <a:off x="13353327" y="1547150"/>
          <a:ext cx="1273215" cy="33759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E69C42-355F-40CD-A028-E47B06412404}" type="TxLink">
            <a:rPr lang="en-US" sz="2400" b="1" i="0" u="none" strike="noStrike">
              <a:solidFill>
                <a:schemeClr val="tx1"/>
              </a:solidFill>
              <a:latin typeface="Calibri"/>
              <a:ea typeface="Calibri"/>
              <a:cs typeface="Calibri"/>
            </a:rPr>
            <a:pPr algn="ctr"/>
            <a:t>500</a:t>
          </a:fld>
          <a:endParaRPr lang="en-IN" sz="2400" b="1">
            <a:solidFill>
              <a:schemeClr val="tx1"/>
            </a:solidFill>
          </a:endParaRPr>
        </a:p>
      </xdr:txBody>
    </xdr:sp>
    <xdr:clientData/>
  </xdr:twoCellAnchor>
  <xdr:twoCellAnchor>
    <xdr:from>
      <xdr:col>25</xdr:col>
      <xdr:colOff>580663</xdr:colOff>
      <xdr:row>11</xdr:row>
      <xdr:rowOff>88740</xdr:rowOff>
    </xdr:from>
    <xdr:to>
      <xdr:col>28</xdr:col>
      <xdr:colOff>30866</xdr:colOff>
      <xdr:row>13</xdr:row>
      <xdr:rowOff>59804</xdr:rowOff>
    </xdr:to>
    <xdr:sp macro="" textlink="' kpis'!C18">
      <xdr:nvSpPr>
        <xdr:cNvPr id="30" name="TextBox 29">
          <a:extLst>
            <a:ext uri="{FF2B5EF4-FFF2-40B4-BE49-F238E27FC236}">
              <a16:creationId xmlns:a16="http://schemas.microsoft.com/office/drawing/2014/main" id="{E072E92B-948A-454C-8BFB-CD8896B6D551}"/>
            </a:ext>
          </a:extLst>
        </xdr:cNvPr>
        <xdr:cNvSpPr txBox="1"/>
      </xdr:nvSpPr>
      <xdr:spPr>
        <a:xfrm>
          <a:off x="15772435" y="1554867"/>
          <a:ext cx="1273216" cy="33759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8A9EF3-3C72-41DB-94E7-5628F5380764}" type="TxLink">
            <a:rPr lang="en-US" sz="2400" b="1" i="0" u="none" strike="noStrike">
              <a:solidFill>
                <a:schemeClr val="tx1"/>
              </a:solidFill>
              <a:latin typeface="Calibri"/>
              <a:ea typeface="Calibri"/>
              <a:cs typeface="Calibri"/>
            </a:rPr>
            <a:pPr algn="ctr"/>
            <a:t>4.002</a:t>
          </a:fld>
          <a:endParaRPr lang="en-IN" sz="2400" b="1">
            <a:solidFill>
              <a:schemeClr val="tx1"/>
            </a:solidFill>
          </a:endParaRPr>
        </a:p>
      </xdr:txBody>
    </xdr:sp>
    <xdr:clientData/>
  </xdr:twoCellAnchor>
  <xdr:twoCellAnchor>
    <xdr:from>
      <xdr:col>29</xdr:col>
      <xdr:colOff>598026</xdr:colOff>
      <xdr:row>11</xdr:row>
      <xdr:rowOff>9646</xdr:rowOff>
    </xdr:from>
    <xdr:to>
      <xdr:col>32</xdr:col>
      <xdr:colOff>48228</xdr:colOff>
      <xdr:row>12</xdr:row>
      <xdr:rowOff>163976</xdr:rowOff>
    </xdr:to>
    <xdr:sp macro="" textlink="' kpis'!H39">
      <xdr:nvSpPr>
        <xdr:cNvPr id="31" name="TextBox 30">
          <a:extLst>
            <a:ext uri="{FF2B5EF4-FFF2-40B4-BE49-F238E27FC236}">
              <a16:creationId xmlns:a16="http://schemas.microsoft.com/office/drawing/2014/main" id="{F7407106-FAE5-4878-BF78-11ADDB417AF8}"/>
            </a:ext>
          </a:extLst>
        </xdr:cNvPr>
        <xdr:cNvSpPr txBox="1"/>
      </xdr:nvSpPr>
      <xdr:spPr>
        <a:xfrm>
          <a:off x="14574456" y="1475773"/>
          <a:ext cx="1273215" cy="33759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63A01F-A9B2-42A4-AAD4-151FA7B04711}" type="TxLink">
            <a:rPr lang="en-US" sz="2400" b="1" i="0" u="none" strike="noStrike">
              <a:solidFill>
                <a:schemeClr val="tx1"/>
              </a:solidFill>
              <a:latin typeface="Calibri"/>
              <a:ea typeface="Calibri"/>
              <a:cs typeface="Calibri"/>
            </a:rPr>
            <a:pPr algn="ctr"/>
            <a:t>102</a:t>
          </a:fld>
          <a:endParaRPr lang="en-IN" sz="2400" b="1">
            <a:solidFill>
              <a:schemeClr val="tx1"/>
            </a:solidFill>
          </a:endParaRPr>
        </a:p>
      </xdr:txBody>
    </xdr:sp>
    <xdr:clientData/>
  </xdr:twoCellAnchor>
  <xdr:twoCellAnchor>
    <xdr:from>
      <xdr:col>10</xdr:col>
      <xdr:colOff>94525</xdr:colOff>
      <xdr:row>16</xdr:row>
      <xdr:rowOff>142755</xdr:rowOff>
    </xdr:from>
    <xdr:to>
      <xdr:col>12</xdr:col>
      <xdr:colOff>152399</xdr:colOff>
      <xdr:row>18</xdr:row>
      <xdr:rowOff>113819</xdr:rowOff>
    </xdr:to>
    <xdr:sp macro="" textlink="' kpis'!L6">
      <xdr:nvSpPr>
        <xdr:cNvPr id="32" name="TextBox 31">
          <a:extLst>
            <a:ext uri="{FF2B5EF4-FFF2-40B4-BE49-F238E27FC236}">
              <a16:creationId xmlns:a16="http://schemas.microsoft.com/office/drawing/2014/main" id="{4397AD1D-2ED2-4EEE-9BEF-D0BCB95FF234}"/>
            </a:ext>
          </a:extLst>
        </xdr:cNvPr>
        <xdr:cNvSpPr txBox="1"/>
      </xdr:nvSpPr>
      <xdr:spPr>
        <a:xfrm>
          <a:off x="6171234" y="2525211"/>
          <a:ext cx="1273216" cy="33759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F4B5C6-B057-4131-BEF1-7847B6893C2D}" type="TxLink">
            <a:rPr lang="en-US" sz="2400" b="1" i="0" u="none" strike="noStrike">
              <a:solidFill>
                <a:schemeClr val="tx1"/>
              </a:solidFill>
              <a:latin typeface="Calibri"/>
              <a:ea typeface="Calibri"/>
              <a:cs typeface="Calibri"/>
            </a:rPr>
            <a:pPr algn="ctr"/>
            <a:t>50</a:t>
          </a:fld>
          <a:endParaRPr lang="en-IN" sz="2400" b="1">
            <a:solidFill>
              <a:schemeClr val="tx1"/>
            </a:solidFill>
          </a:endParaRPr>
        </a:p>
      </xdr:txBody>
    </xdr:sp>
    <xdr:clientData/>
  </xdr:twoCellAnchor>
  <xdr:twoCellAnchor>
    <xdr:from>
      <xdr:col>14</xdr:col>
      <xdr:colOff>63661</xdr:colOff>
      <xdr:row>16</xdr:row>
      <xdr:rowOff>150471</xdr:rowOff>
    </xdr:from>
    <xdr:to>
      <xdr:col>16</xdr:col>
      <xdr:colOff>121534</xdr:colOff>
      <xdr:row>18</xdr:row>
      <xdr:rowOff>121535</xdr:rowOff>
    </xdr:to>
    <xdr:sp macro="" textlink="' kpis'!C26">
      <xdr:nvSpPr>
        <xdr:cNvPr id="33" name="TextBox 32">
          <a:extLst>
            <a:ext uri="{FF2B5EF4-FFF2-40B4-BE49-F238E27FC236}">
              <a16:creationId xmlns:a16="http://schemas.microsoft.com/office/drawing/2014/main" id="{1F4556CE-A8D0-442C-BEEE-26DD8D6CB58D}"/>
            </a:ext>
          </a:extLst>
        </xdr:cNvPr>
        <xdr:cNvSpPr txBox="1"/>
      </xdr:nvSpPr>
      <xdr:spPr>
        <a:xfrm>
          <a:off x="4925028" y="2532927"/>
          <a:ext cx="1273215" cy="33759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926465-B2FC-4B48-8AD9-9586D3F67F94}" type="TxLink">
            <a:rPr lang="en-US" sz="1800" b="1" i="0" u="none" strike="noStrike">
              <a:solidFill>
                <a:schemeClr val="tx1"/>
              </a:solidFill>
              <a:latin typeface="Calibri"/>
              <a:ea typeface="Calibri"/>
              <a:cs typeface="Calibri"/>
            </a:rPr>
            <a:pPr algn="ctr"/>
            <a:t>PID036</a:t>
          </a:fld>
          <a:endParaRPr lang="en-IN" sz="1800" b="1">
            <a:solidFill>
              <a:schemeClr val="tx1"/>
            </a:solidFill>
          </a:endParaRPr>
        </a:p>
      </xdr:txBody>
    </xdr:sp>
    <xdr:clientData/>
  </xdr:twoCellAnchor>
  <xdr:twoCellAnchor>
    <xdr:from>
      <xdr:col>17</xdr:col>
      <xdr:colOff>592238</xdr:colOff>
      <xdr:row>16</xdr:row>
      <xdr:rowOff>138897</xdr:rowOff>
    </xdr:from>
    <xdr:to>
      <xdr:col>20</xdr:col>
      <xdr:colOff>42441</xdr:colOff>
      <xdr:row>18</xdr:row>
      <xdr:rowOff>109961</xdr:rowOff>
    </xdr:to>
    <xdr:sp macro="" textlink="' kpis'!F25">
      <xdr:nvSpPr>
        <xdr:cNvPr id="34" name="TextBox 33">
          <a:extLst>
            <a:ext uri="{FF2B5EF4-FFF2-40B4-BE49-F238E27FC236}">
              <a16:creationId xmlns:a16="http://schemas.microsoft.com/office/drawing/2014/main" id="{AB8098F1-0143-4A84-83F2-1A3EDAC3A2B9}"/>
            </a:ext>
          </a:extLst>
        </xdr:cNvPr>
        <xdr:cNvSpPr txBox="1"/>
      </xdr:nvSpPr>
      <xdr:spPr>
        <a:xfrm>
          <a:off x="10922643" y="2521353"/>
          <a:ext cx="1273216" cy="33759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7965E3-0BA1-4BE9-AC31-78D489003F62}" type="TxLink">
            <a:rPr lang="en-US" sz="1800" b="1" i="0" u="none" strike="noStrike">
              <a:solidFill>
                <a:schemeClr val="tx1"/>
              </a:solidFill>
              <a:latin typeface="Calibri"/>
              <a:ea typeface="Calibri"/>
              <a:cs typeface="Calibri"/>
            </a:rPr>
            <a:pPr algn="ctr"/>
            <a:t>PID027</a:t>
          </a:fld>
          <a:endParaRPr lang="en-IN" sz="1800" b="1">
            <a:solidFill>
              <a:schemeClr val="tx1"/>
            </a:solidFill>
          </a:endParaRPr>
        </a:p>
      </xdr:txBody>
    </xdr:sp>
    <xdr:clientData/>
  </xdr:twoCellAnchor>
  <xdr:twoCellAnchor>
    <xdr:from>
      <xdr:col>22</xdr:col>
      <xdr:colOff>40512</xdr:colOff>
      <xdr:row>16</xdr:row>
      <xdr:rowOff>98385</xdr:rowOff>
    </xdr:from>
    <xdr:to>
      <xdr:col>24</xdr:col>
      <xdr:colOff>98385</xdr:colOff>
      <xdr:row>18</xdr:row>
      <xdr:rowOff>69449</xdr:rowOff>
    </xdr:to>
    <xdr:sp macro="" textlink="' kpis'!C32">
      <xdr:nvSpPr>
        <xdr:cNvPr id="35" name="TextBox 34">
          <a:extLst>
            <a:ext uri="{FF2B5EF4-FFF2-40B4-BE49-F238E27FC236}">
              <a16:creationId xmlns:a16="http://schemas.microsoft.com/office/drawing/2014/main" id="{5FF308D8-AFB6-4E6A-8235-6E3E823753FF}"/>
            </a:ext>
          </a:extLst>
        </xdr:cNvPr>
        <xdr:cNvSpPr txBox="1"/>
      </xdr:nvSpPr>
      <xdr:spPr>
        <a:xfrm>
          <a:off x="13409271" y="2480841"/>
          <a:ext cx="1273215" cy="33759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1A2F6A-990B-43E6-B530-87CFCD02DE14}" type="TxLink">
            <a:rPr lang="en-US" sz="1800" b="1" i="0" u="none" strike="noStrike">
              <a:solidFill>
                <a:schemeClr val="tx1"/>
              </a:solidFill>
              <a:latin typeface="Calibri"/>
              <a:ea typeface="Calibri"/>
              <a:cs typeface="Calibri"/>
            </a:rPr>
            <a:pPr algn="ctr"/>
            <a:t>364289.49</a:t>
          </a:fld>
          <a:endParaRPr lang="en-IN" sz="1800" b="1">
            <a:solidFill>
              <a:schemeClr val="tx1"/>
            </a:solidFill>
          </a:endParaRPr>
        </a:p>
      </xdr:txBody>
    </xdr:sp>
    <xdr:clientData/>
  </xdr:twoCellAnchor>
  <xdr:twoCellAnchor>
    <xdr:from>
      <xdr:col>25</xdr:col>
      <xdr:colOff>578734</xdr:colOff>
      <xdr:row>16</xdr:row>
      <xdr:rowOff>135037</xdr:rowOff>
    </xdr:from>
    <xdr:to>
      <xdr:col>28</xdr:col>
      <xdr:colOff>28937</xdr:colOff>
      <xdr:row>18</xdr:row>
      <xdr:rowOff>106101</xdr:rowOff>
    </xdr:to>
    <xdr:sp macro="" textlink="' kpis'!E32">
      <xdr:nvSpPr>
        <xdr:cNvPr id="36" name="TextBox 35">
          <a:extLst>
            <a:ext uri="{FF2B5EF4-FFF2-40B4-BE49-F238E27FC236}">
              <a16:creationId xmlns:a16="http://schemas.microsoft.com/office/drawing/2014/main" id="{8C8E5798-0303-4C7F-96C3-EF945E7ABCE8}"/>
            </a:ext>
          </a:extLst>
        </xdr:cNvPr>
        <xdr:cNvSpPr txBox="1"/>
      </xdr:nvSpPr>
      <xdr:spPr>
        <a:xfrm>
          <a:off x="15770506" y="2517493"/>
          <a:ext cx="1273216" cy="33759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DD1AD9-67EF-4785-8D39-55215C4F071E}" type="TxLink">
            <a:rPr lang="en-US" sz="1600" b="1" i="0" u="none" strike="noStrike">
              <a:solidFill>
                <a:schemeClr val="tx1"/>
              </a:solidFill>
              <a:latin typeface="Calibri"/>
              <a:ea typeface="Calibri"/>
              <a:cs typeface="Calibri"/>
            </a:rPr>
            <a:pPr algn="ctr"/>
            <a:t>326325.7597</a:t>
          </a:fld>
          <a:endParaRPr lang="en-IN" sz="1600" b="1">
            <a:solidFill>
              <a:schemeClr val="tx1"/>
            </a:solidFill>
          </a:endParaRPr>
        </a:p>
      </xdr:txBody>
    </xdr:sp>
    <xdr:clientData/>
  </xdr:twoCellAnchor>
  <xdr:twoCellAnchor>
    <xdr:from>
      <xdr:col>30</xdr:col>
      <xdr:colOff>36654</xdr:colOff>
      <xdr:row>16</xdr:row>
      <xdr:rowOff>142754</xdr:rowOff>
    </xdr:from>
    <xdr:to>
      <xdr:col>32</xdr:col>
      <xdr:colOff>94527</xdr:colOff>
      <xdr:row>18</xdr:row>
      <xdr:rowOff>113818</xdr:rowOff>
    </xdr:to>
    <xdr:sp macro="" textlink="' kpis'!G32">
      <xdr:nvSpPr>
        <xdr:cNvPr id="37" name="TextBox 36">
          <a:extLst>
            <a:ext uri="{FF2B5EF4-FFF2-40B4-BE49-F238E27FC236}">
              <a16:creationId xmlns:a16="http://schemas.microsoft.com/office/drawing/2014/main" id="{4D3A0C37-C8E9-48D9-B9F5-7E2FBF463357}"/>
            </a:ext>
          </a:extLst>
        </xdr:cNvPr>
        <xdr:cNvSpPr txBox="1"/>
      </xdr:nvSpPr>
      <xdr:spPr>
        <a:xfrm>
          <a:off x="14620755" y="2525210"/>
          <a:ext cx="1273215" cy="33759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3066DC-891E-4FDE-92EB-655B24248BDF}" type="TxLink">
            <a:rPr lang="en-US" sz="1600" b="1" i="0" u="none" strike="noStrike">
              <a:solidFill>
                <a:schemeClr val="tx1"/>
              </a:solidFill>
              <a:latin typeface="Calibri"/>
              <a:ea typeface="Calibri"/>
              <a:cs typeface="Calibri"/>
            </a:rPr>
            <a:pPr algn="ctr"/>
            <a:t>347189.7597</a:t>
          </a:fld>
          <a:endParaRPr lang="en-IN" sz="1600" b="1">
            <a:solidFill>
              <a:schemeClr val="tx1"/>
            </a:solidFill>
          </a:endParaRPr>
        </a:p>
      </xdr:txBody>
    </xdr:sp>
    <xdr:clientData/>
  </xdr:twoCellAnchor>
  <xdr:twoCellAnchor>
    <xdr:from>
      <xdr:col>9</xdr:col>
      <xdr:colOff>96455</xdr:colOff>
      <xdr:row>20</xdr:row>
      <xdr:rowOff>28935</xdr:rowOff>
    </xdr:from>
    <xdr:to>
      <xdr:col>13</xdr:col>
      <xdr:colOff>96455</xdr:colOff>
      <xdr:row>58</xdr:row>
      <xdr:rowOff>48227</xdr:rowOff>
    </xdr:to>
    <xdr:sp macro="" textlink="">
      <xdr:nvSpPr>
        <xdr:cNvPr id="41" name="Rectangle 40">
          <a:extLst>
            <a:ext uri="{FF2B5EF4-FFF2-40B4-BE49-F238E27FC236}">
              <a16:creationId xmlns:a16="http://schemas.microsoft.com/office/drawing/2014/main" id="{9E77BA09-B341-EA51-1D84-E66A9300BFCB}"/>
            </a:ext>
          </a:extLst>
        </xdr:cNvPr>
        <xdr:cNvSpPr/>
      </xdr:nvSpPr>
      <xdr:spPr>
        <a:xfrm>
          <a:off x="5565493" y="3144454"/>
          <a:ext cx="2430684" cy="6983393"/>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189050</xdr:colOff>
      <xdr:row>20</xdr:row>
      <xdr:rowOff>131181</xdr:rowOff>
    </xdr:from>
    <xdr:to>
      <xdr:col>13</xdr:col>
      <xdr:colOff>25076</xdr:colOff>
      <xdr:row>25</xdr:row>
      <xdr:rowOff>102244</xdr:rowOff>
    </xdr:to>
    <xdr:sp macro="" textlink="">
      <xdr:nvSpPr>
        <xdr:cNvPr id="8" name="Rectangle: Rounded Corners 7">
          <a:extLst>
            <a:ext uri="{FF2B5EF4-FFF2-40B4-BE49-F238E27FC236}">
              <a16:creationId xmlns:a16="http://schemas.microsoft.com/office/drawing/2014/main" id="{CC68EF8E-12C9-4701-BABD-D197474BA41D}"/>
            </a:ext>
          </a:extLst>
        </xdr:cNvPr>
        <xdr:cNvSpPr/>
      </xdr:nvSpPr>
      <xdr:spPr>
        <a:xfrm>
          <a:off x="5658088" y="3246700"/>
          <a:ext cx="2266710" cy="887392"/>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i="0" u="none" strike="noStrike">
              <a:solidFill>
                <a:schemeClr val="tx1"/>
              </a:solidFill>
              <a:effectLst/>
              <a:latin typeface="+mn-lt"/>
              <a:ea typeface="+mn-ea"/>
              <a:cs typeface="+mn-cs"/>
            </a:rPr>
            <a:t> Discount Offered</a:t>
          </a:r>
          <a:r>
            <a:rPr lang="en-IN" sz="1400" b="0">
              <a:solidFill>
                <a:schemeClr val="tx1"/>
              </a:solidFill>
              <a:effectLst/>
            </a:rPr>
            <a:t> </a:t>
          </a:r>
          <a:endParaRPr lang="en-IN" sz="1400" b="0">
            <a:solidFill>
              <a:schemeClr val="tx1"/>
            </a:solidFill>
          </a:endParaRPr>
        </a:p>
      </xdr:txBody>
    </xdr:sp>
    <xdr:clientData/>
  </xdr:twoCellAnchor>
  <xdr:twoCellAnchor>
    <xdr:from>
      <xdr:col>10</xdr:col>
      <xdr:colOff>34723</xdr:colOff>
      <xdr:row>22</xdr:row>
      <xdr:rowOff>131180</xdr:rowOff>
    </xdr:from>
    <xdr:to>
      <xdr:col>12</xdr:col>
      <xdr:colOff>92597</xdr:colOff>
      <xdr:row>24</xdr:row>
      <xdr:rowOff>102244</xdr:rowOff>
    </xdr:to>
    <xdr:sp macro="" textlink="' kpis'!E36">
      <xdr:nvSpPr>
        <xdr:cNvPr id="38" name="TextBox 37">
          <a:extLst>
            <a:ext uri="{FF2B5EF4-FFF2-40B4-BE49-F238E27FC236}">
              <a16:creationId xmlns:a16="http://schemas.microsoft.com/office/drawing/2014/main" id="{6710E6BE-86EA-439C-818F-DA9C1E567AA1}"/>
            </a:ext>
          </a:extLst>
        </xdr:cNvPr>
        <xdr:cNvSpPr txBox="1"/>
      </xdr:nvSpPr>
      <xdr:spPr>
        <a:xfrm>
          <a:off x="6111432" y="3613231"/>
          <a:ext cx="1273216" cy="33759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9BF0F2-AA84-4BCE-A5EA-B0081F84B7FD}" type="TxLink">
            <a:rPr lang="en-US" sz="1600" b="1" i="0" u="none" strike="noStrike">
              <a:solidFill>
                <a:schemeClr val="tx1"/>
              </a:solidFill>
              <a:latin typeface="Calibri"/>
              <a:ea typeface="Calibri"/>
              <a:cs typeface="Calibri"/>
            </a:rPr>
            <a:pPr algn="ctr"/>
            <a:t>37963.7303</a:t>
          </a:fld>
          <a:endParaRPr lang="en-IN" sz="1600" b="1">
            <a:solidFill>
              <a:schemeClr val="tx1"/>
            </a:solidFill>
          </a:endParaRPr>
        </a:p>
      </xdr:txBody>
    </xdr:sp>
    <xdr:clientData/>
  </xdr:twoCellAnchor>
  <xdr:twoCellAnchor editAs="oneCell">
    <xdr:from>
      <xdr:col>9</xdr:col>
      <xdr:colOff>212201</xdr:colOff>
      <xdr:row>26</xdr:row>
      <xdr:rowOff>115748</xdr:rowOff>
    </xdr:from>
    <xdr:to>
      <xdr:col>12</xdr:col>
      <xdr:colOff>540151</xdr:colOff>
      <xdr:row>33</xdr:row>
      <xdr:rowOff>77165</xdr:rowOff>
    </xdr:to>
    <mc:AlternateContent xmlns:mc="http://schemas.openxmlformats.org/markup-compatibility/2006" xmlns:a14="http://schemas.microsoft.com/office/drawing/2010/main">
      <mc:Choice Requires="a14">
        <xdr:graphicFrame macro="">
          <xdr:nvGraphicFramePr>
            <xdr:cNvPr id="39" name="Gender 1">
              <a:extLst>
                <a:ext uri="{FF2B5EF4-FFF2-40B4-BE49-F238E27FC236}">
                  <a16:creationId xmlns:a16="http://schemas.microsoft.com/office/drawing/2014/main" id="{3DDF98CF-898A-4F2D-BC82-7A47DDD9943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646843" y="4975295"/>
              <a:ext cx="2139497" cy="12697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212203</xdr:colOff>
      <xdr:row>33</xdr:row>
      <xdr:rowOff>149795</xdr:rowOff>
    </xdr:from>
    <xdr:to>
      <xdr:col>12</xdr:col>
      <xdr:colOff>540152</xdr:colOff>
      <xdr:row>43</xdr:row>
      <xdr:rowOff>0</xdr:rowOff>
    </xdr:to>
    <mc:AlternateContent xmlns:mc="http://schemas.openxmlformats.org/markup-compatibility/2006" xmlns:a14="http://schemas.microsoft.com/office/drawing/2010/main">
      <mc:Choice Requires="a14">
        <xdr:graphicFrame macro="">
          <xdr:nvGraphicFramePr>
            <xdr:cNvPr id="42" name="Coupon_Code 1">
              <a:extLst>
                <a:ext uri="{FF2B5EF4-FFF2-40B4-BE49-F238E27FC236}">
                  <a16:creationId xmlns:a16="http://schemas.microsoft.com/office/drawing/2014/main" id="{EE3CC846-E48B-4F8D-9747-09C37ABC3087}"/>
                </a:ext>
              </a:extLst>
            </xdr:cNvPr>
            <xdr:cNvGraphicFramePr/>
          </xdr:nvGraphicFramePr>
          <xdr:xfrm>
            <a:off x="0" y="0"/>
            <a:ext cx="0" cy="0"/>
          </xdr:xfrm>
          <a:graphic>
            <a:graphicData uri="http://schemas.microsoft.com/office/drawing/2010/slicer">
              <sle:slicer xmlns:sle="http://schemas.microsoft.com/office/drawing/2010/slicer" name="Coupon_Code 1"/>
            </a:graphicData>
          </a:graphic>
        </xdr:graphicFrame>
      </mc:Choice>
      <mc:Fallback xmlns="">
        <xdr:sp macro="" textlink="">
          <xdr:nvSpPr>
            <xdr:cNvPr id="0" name=""/>
            <xdr:cNvSpPr>
              <a:spLocks noTextEdit="1"/>
            </xdr:cNvSpPr>
          </xdr:nvSpPr>
          <xdr:spPr>
            <a:xfrm>
              <a:off x="5646845" y="6317682"/>
              <a:ext cx="2139496" cy="17192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257175</xdr:colOff>
      <xdr:row>43</xdr:row>
      <xdr:rowOff>28575</xdr:rowOff>
    </xdr:from>
    <xdr:to>
      <xdr:col>12</xdr:col>
      <xdr:colOff>552450</xdr:colOff>
      <xdr:row>57</xdr:row>
      <xdr:rowOff>57150</xdr:rowOff>
    </xdr:to>
    <mc:AlternateContent xmlns:mc="http://schemas.openxmlformats.org/markup-compatibility/2006" xmlns:a14="http://schemas.microsoft.com/office/drawing/2010/main">
      <mc:Choice Requires="a14">
        <xdr:graphicFrame macro="">
          <xdr:nvGraphicFramePr>
            <xdr:cNvPr id="43" name="City 1">
              <a:extLst>
                <a:ext uri="{FF2B5EF4-FFF2-40B4-BE49-F238E27FC236}">
                  <a16:creationId xmlns:a16="http://schemas.microsoft.com/office/drawing/2014/main" id="{4343C8B2-6D2D-4B9F-93E8-59FE7E2D4C7A}"/>
                </a:ext>
                <a:ext uri="{147F2762-F138-4A5C-976F-8EAC2B608ADB}">
                  <a16:predDERef xmlns:a16="http://schemas.microsoft.com/office/drawing/2014/main" pred="{EE3CC846-E48B-4F8D-9747-09C37ABC3087}"/>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5685425" y="8099928"/>
              <a:ext cx="2100915" cy="25142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144683</xdr:colOff>
      <xdr:row>20</xdr:row>
      <xdr:rowOff>38582</xdr:rowOff>
    </xdr:from>
    <xdr:to>
      <xdr:col>33</xdr:col>
      <xdr:colOff>57874</xdr:colOff>
      <xdr:row>58</xdr:row>
      <xdr:rowOff>86810</xdr:rowOff>
    </xdr:to>
    <xdr:sp macro="" textlink="">
      <xdr:nvSpPr>
        <xdr:cNvPr id="46" name="Rectangle: Rounded Corners 45">
          <a:extLst>
            <a:ext uri="{FF2B5EF4-FFF2-40B4-BE49-F238E27FC236}">
              <a16:creationId xmlns:a16="http://schemas.microsoft.com/office/drawing/2014/main" id="{4C40D948-D5F0-FB27-9E3C-7072E591DD38}"/>
            </a:ext>
          </a:extLst>
        </xdr:cNvPr>
        <xdr:cNvSpPr/>
      </xdr:nvSpPr>
      <xdr:spPr>
        <a:xfrm>
          <a:off x="8044405" y="3154101"/>
          <a:ext cx="12066608" cy="7012329"/>
        </a:xfrm>
        <a:prstGeom prst="roundRect">
          <a:avLst>
            <a:gd name="adj" fmla="val 0"/>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183264</xdr:colOff>
      <xdr:row>20</xdr:row>
      <xdr:rowOff>62985</xdr:rowOff>
    </xdr:from>
    <xdr:to>
      <xdr:col>32</xdr:col>
      <xdr:colOff>549797</xdr:colOff>
      <xdr:row>24</xdr:row>
      <xdr:rowOff>8101</xdr:rowOff>
    </xdr:to>
    <mc:AlternateContent xmlns:mc="http://schemas.openxmlformats.org/markup-compatibility/2006" xmlns:a14="http://schemas.microsoft.com/office/drawing/2010/main">
      <mc:Choice Requires="a14">
        <xdr:graphicFrame macro="">
          <xdr:nvGraphicFramePr>
            <xdr:cNvPr id="44" name="month 1">
              <a:extLst>
                <a:ext uri="{FF2B5EF4-FFF2-40B4-BE49-F238E27FC236}">
                  <a16:creationId xmlns:a16="http://schemas.microsoft.com/office/drawing/2014/main" id="{76853801-C246-4CE2-A1D6-B02E6607CD8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8033302" y="3801098"/>
              <a:ext cx="11839665" cy="692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180975</xdr:colOff>
      <xdr:row>24</xdr:row>
      <xdr:rowOff>95250</xdr:rowOff>
    </xdr:from>
    <xdr:to>
      <xdr:col>19</xdr:col>
      <xdr:colOff>447675</xdr:colOff>
      <xdr:row>40</xdr:row>
      <xdr:rowOff>9525</xdr:rowOff>
    </xdr:to>
    <xdr:graphicFrame macro="">
      <xdr:nvGraphicFramePr>
        <xdr:cNvPr id="45" name="Chart 1">
          <a:extLst>
            <a:ext uri="{FF2B5EF4-FFF2-40B4-BE49-F238E27FC236}">
              <a16:creationId xmlns:a16="http://schemas.microsoft.com/office/drawing/2014/main" id="{EA411D0B-ED92-C2F4-F59B-5A76A8E17656}"/>
            </a:ext>
            <a:ext uri="{147F2762-F138-4A5C-976F-8EAC2B608ADB}">
              <a16:predDERef xmlns:a16="http://schemas.microsoft.com/office/drawing/2014/main" pred="{76853801-C246-4CE2-A1D6-B02E6607CD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485775</xdr:colOff>
      <xdr:row>24</xdr:row>
      <xdr:rowOff>95250</xdr:rowOff>
    </xdr:from>
    <xdr:to>
      <xdr:col>32</xdr:col>
      <xdr:colOff>485775</xdr:colOff>
      <xdr:row>39</xdr:row>
      <xdr:rowOff>152400</xdr:rowOff>
    </xdr:to>
    <xdr:graphicFrame macro="">
      <xdr:nvGraphicFramePr>
        <xdr:cNvPr id="47" name="Chart 6">
          <a:extLst>
            <a:ext uri="{FF2B5EF4-FFF2-40B4-BE49-F238E27FC236}">
              <a16:creationId xmlns:a16="http://schemas.microsoft.com/office/drawing/2014/main" id="{DAC0C147-6001-9AA9-C5E6-731F9B44E105}"/>
            </a:ext>
            <a:ext uri="{147F2762-F138-4A5C-976F-8EAC2B608ADB}">
              <a16:predDERef xmlns:a16="http://schemas.microsoft.com/office/drawing/2014/main" pred="{EA411D0B-ED92-C2F4-F59B-5A76A8E176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438150</xdr:colOff>
      <xdr:row>24</xdr:row>
      <xdr:rowOff>95250</xdr:rowOff>
    </xdr:from>
    <xdr:to>
      <xdr:col>25</xdr:col>
      <xdr:colOff>466725</xdr:colOff>
      <xdr:row>39</xdr:row>
      <xdr:rowOff>152400</xdr:rowOff>
    </xdr:to>
    <xdr:graphicFrame macro="">
      <xdr:nvGraphicFramePr>
        <xdr:cNvPr id="48" name="Chart 2">
          <a:extLst>
            <a:ext uri="{FF2B5EF4-FFF2-40B4-BE49-F238E27FC236}">
              <a16:creationId xmlns:a16="http://schemas.microsoft.com/office/drawing/2014/main" id="{8FADEB5C-FB20-9B8D-B0D5-1E0194B9EAFC}"/>
            </a:ext>
            <a:ext uri="{147F2762-F138-4A5C-976F-8EAC2B608ADB}">
              <a16:predDERef xmlns:a16="http://schemas.microsoft.com/office/drawing/2014/main" pred="{DAC0C147-6001-9AA9-C5E6-731F9B44E1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171450</xdr:colOff>
      <xdr:row>39</xdr:row>
      <xdr:rowOff>161925</xdr:rowOff>
    </xdr:from>
    <xdr:to>
      <xdr:col>19</xdr:col>
      <xdr:colOff>447675</xdr:colOff>
      <xdr:row>56</xdr:row>
      <xdr:rowOff>161925</xdr:rowOff>
    </xdr:to>
    <mc:AlternateContent xmlns:mc="http://schemas.openxmlformats.org/markup-compatibility/2006">
      <mc:Choice xmlns:cx2="http://schemas.microsoft.com/office/drawing/2015/10/21/chartex" Requires="cx2">
        <xdr:graphicFrame macro="">
          <xdr:nvGraphicFramePr>
            <xdr:cNvPr id="49" name="Chart 5">
              <a:extLst>
                <a:ext uri="{FF2B5EF4-FFF2-40B4-BE49-F238E27FC236}">
                  <a16:creationId xmlns:a16="http://schemas.microsoft.com/office/drawing/2014/main" id="{BB2BA245-8BF7-F6C4-CD40-FCF10B24AE3D}"/>
                </a:ext>
                <a:ext uri="{147F2762-F138-4A5C-976F-8EAC2B608ADB}">
                  <a16:predDERef xmlns:a16="http://schemas.microsoft.com/office/drawing/2014/main" pred="{8FADEB5C-FB20-9B8D-B0D5-1E0194B9EA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096250" y="7219950"/>
              <a:ext cx="3933825" cy="307657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 a different file format will permanently break the chart.</a:t>
              </a:r>
            </a:p>
          </xdr:txBody>
        </xdr:sp>
      </mc:Fallback>
    </mc:AlternateContent>
    <xdr:clientData/>
  </xdr:twoCellAnchor>
  <xdr:twoCellAnchor>
    <xdr:from>
      <xdr:col>25</xdr:col>
      <xdr:colOff>495300</xdr:colOff>
      <xdr:row>39</xdr:row>
      <xdr:rowOff>161925</xdr:rowOff>
    </xdr:from>
    <xdr:to>
      <xdr:col>32</xdr:col>
      <xdr:colOff>495300</xdr:colOff>
      <xdr:row>56</xdr:row>
      <xdr:rowOff>161925</xdr:rowOff>
    </xdr:to>
    <xdr:graphicFrame macro="">
      <xdr:nvGraphicFramePr>
        <xdr:cNvPr id="50" name="Chart 8">
          <a:extLst>
            <a:ext uri="{FF2B5EF4-FFF2-40B4-BE49-F238E27FC236}">
              <a16:creationId xmlns:a16="http://schemas.microsoft.com/office/drawing/2014/main" id="{162C4313-7946-BA2C-462B-AC5349F54DFE}"/>
            </a:ext>
            <a:ext uri="{147F2762-F138-4A5C-976F-8EAC2B608ADB}">
              <a16:predDERef xmlns:a16="http://schemas.microsoft.com/office/drawing/2014/main" pred="{BB2BA245-8BF7-F6C4-CD40-FCF10B24AE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457200</xdr:colOff>
      <xdr:row>39</xdr:row>
      <xdr:rowOff>142875</xdr:rowOff>
    </xdr:from>
    <xdr:to>
      <xdr:col>25</xdr:col>
      <xdr:colOff>476250</xdr:colOff>
      <xdr:row>56</xdr:row>
      <xdr:rowOff>171450</xdr:rowOff>
    </xdr:to>
    <xdr:graphicFrame macro="">
      <xdr:nvGraphicFramePr>
        <xdr:cNvPr id="51" name="Chart 7">
          <a:extLst>
            <a:ext uri="{FF2B5EF4-FFF2-40B4-BE49-F238E27FC236}">
              <a16:creationId xmlns:a16="http://schemas.microsoft.com/office/drawing/2014/main" id="{36B18E03-84FD-2B2D-496F-620E5BC9488A}"/>
            </a:ext>
            <a:ext uri="{147F2762-F138-4A5C-976F-8EAC2B608ADB}">
              <a16:predDERef xmlns:a16="http://schemas.microsoft.com/office/drawing/2014/main" pred="{162C4313-7946-BA2C-462B-AC5349F54D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dhar Naidus" refreshedDate="46253.875646527777" createdVersion="8" refreshedVersion="8" minRefreshableVersion="3" recordCount="500" xr:uid="{0BAFC54B-69F6-4D96-BE39-D40A6C07D2E7}">
  <cacheSource type="worksheet">
    <worksheetSource name="Table35"/>
  </cacheSource>
  <cacheFields count="28">
    <cacheField name="Customer_ID" numFmtId="0">
      <sharedItems count="100">
        <s v="CID188"/>
        <s v="CID142"/>
        <s v="CID147"/>
        <s v="CID172"/>
        <s v="CID118"/>
        <s v="CID175"/>
        <s v="CID114"/>
        <s v="CID156"/>
        <s v="CID148"/>
        <s v="CID129"/>
        <s v="CID137"/>
        <s v="CID181"/>
        <s v="CID112"/>
        <s v="CID135"/>
        <s v="CID154"/>
        <s v="CID102"/>
        <s v="CID133"/>
        <s v="CID130"/>
        <s v="CID161"/>
        <s v="CID152"/>
        <s v="CID123"/>
        <s v="CID110"/>
        <s v="CID164"/>
        <s v="CID179"/>
        <s v="CID128"/>
        <s v="CID166"/>
        <s v="CID116"/>
        <s v="CID104"/>
        <s v="CID106"/>
        <s v="CID121"/>
        <s v="CID177"/>
        <s v="CID185"/>
        <s v="CID119"/>
        <s v="CID169"/>
        <s v="CID195"/>
        <s v="CID143"/>
        <s v="CID149"/>
        <s v="CID111"/>
        <s v="CID113"/>
        <s v="CID117"/>
        <s v="CID120"/>
        <s v="CID122"/>
        <s v="CID126"/>
        <s v="CID150"/>
        <s v="CID138"/>
        <s v="CID162"/>
        <s v="CID132"/>
        <s v="CID190"/>
        <s v="CID191"/>
        <s v="CID182"/>
        <s v="CID196"/>
        <s v="CID108"/>
        <s v="CID140"/>
        <s v="CID187"/>
        <s v="CID145"/>
        <s v="CID194"/>
        <s v="CID103"/>
        <s v="CID134"/>
        <s v="CID165"/>
        <s v="CID192"/>
        <s v="CID109"/>
        <s v="CID158"/>
        <s v="CID180"/>
        <s v="CID176"/>
        <s v="CID115"/>
        <s v="CID153"/>
        <s v="CID107"/>
        <s v="CID178"/>
        <s v="CID183"/>
        <s v="CID171"/>
        <s v="CID193"/>
        <s v="CID173"/>
        <s v="CID198"/>
        <s v="CID136"/>
        <s v="CID155"/>
        <s v="CID184"/>
        <s v="CID157"/>
        <s v="CID125"/>
        <s v="CID186"/>
        <s v="CID163"/>
        <s v="CID100"/>
        <s v="CID141"/>
        <s v="CID146"/>
        <s v="CID124"/>
        <s v="CID197"/>
        <s v="CID105"/>
        <s v="CID101"/>
        <s v="CID174"/>
        <s v="CID199"/>
        <s v="CID139"/>
        <s v="CID167"/>
        <s v="CID144"/>
        <s v="CID160"/>
        <s v="CID170"/>
        <s v="CID189"/>
        <s v="CID151"/>
        <s v="CID168"/>
        <s v="CID127"/>
        <s v="CID159"/>
        <s v="CID131"/>
      </sharedItems>
    </cacheField>
    <cacheField name="First_Name" numFmtId="0">
      <sharedItems/>
    </cacheField>
    <cacheField name="Last_Name" numFmtId="0">
      <sharedItems/>
    </cacheField>
    <cacheField name="Age" numFmtId="0">
      <sharedItems containsSemiMixedTypes="0" containsString="0" containsNumber="1" containsInteger="1" minValue="18" maxValue="70"/>
    </cacheField>
    <cacheField name="Gender" numFmtId="0">
      <sharedItems count="3">
        <s v="Male"/>
        <s v="Other"/>
        <s v="Female"/>
      </sharedItems>
    </cacheField>
    <cacheField name="City" numFmtId="0">
      <sharedItems count="8">
        <s v="Houston"/>
        <s v="Dallas"/>
        <s v="San Francisco"/>
        <s v="Miami"/>
        <s v="Los Angeles"/>
        <s v="New York"/>
        <s v="Phoenix"/>
        <s v="Chicago"/>
      </sharedItems>
    </cacheField>
    <cacheField name="Email" numFmtId="0">
      <sharedItems/>
    </cacheField>
    <cacheField name="Address" numFmtId="0">
      <sharedItems/>
    </cacheField>
    <cacheField name="Order_ID" numFmtId="0">
      <sharedItems count="500">
        <s v="OID6608"/>
        <s v="OID7303"/>
        <s v="OID7238"/>
        <s v="OID5326"/>
        <s v="OID8347"/>
        <s v="OID7996"/>
        <s v="OID6504"/>
        <s v="OID6651"/>
        <s v="OID6340"/>
        <s v="OID4147"/>
        <s v="OID4552"/>
        <s v="OID3616"/>
        <s v="OID3035"/>
        <s v="OID1041"/>
        <s v="OID5703"/>
        <s v="OID9578"/>
        <s v="OID3523"/>
        <s v="OID9634"/>
        <s v="OID3140"/>
        <s v="OID9398"/>
        <s v="OID6794"/>
        <s v="OID8004"/>
        <s v="OID9123"/>
        <s v="OID9700"/>
        <s v="OID9975"/>
        <s v="OID4643"/>
        <s v="OID8388"/>
        <s v="OID1179"/>
        <s v="OID9069"/>
        <s v="OID7555"/>
        <s v="OID3637"/>
        <s v="OID9922"/>
        <s v="OID8074"/>
        <s v="OID5700"/>
        <s v="OID2097"/>
        <s v="OID9798"/>
        <s v="OID5402"/>
        <s v="OID6856"/>
        <s v="OID7495"/>
        <s v="OID3792"/>
        <s v="OID3502"/>
        <s v="OID5607"/>
        <s v="OID5255"/>
        <s v="OID8575"/>
        <s v="OID9035"/>
        <s v="OID9692"/>
        <s v="OID3358"/>
        <s v="OID2991"/>
        <s v="OID4746"/>
        <s v="OID1520"/>
        <s v="OID6541"/>
        <s v="OID7008"/>
        <s v="OID1744"/>
        <s v="OID2701"/>
        <s v="OID3319"/>
        <s v="OID7258"/>
        <s v="OID3302"/>
        <s v="OID4032"/>
        <s v="OID4558"/>
        <s v="OID6775"/>
        <s v="OID9808"/>
        <s v="OID2044"/>
        <s v="OID6097"/>
        <s v="OID1420"/>
        <s v="OID8104"/>
        <s v="OID5229"/>
        <s v="OID3491"/>
        <s v="OID5108"/>
        <s v="OID8380"/>
        <s v="OID6634"/>
        <s v="OID4840"/>
        <s v="OID4932"/>
        <s v="OID1592"/>
        <s v="OID3128"/>
        <s v="OID6297"/>
        <s v="OID3834"/>
        <s v="OID7417"/>
        <s v="OID2595"/>
        <s v="OID2793"/>
        <s v="OID2005"/>
        <s v="OID2842"/>
        <s v="OID3981"/>
        <s v="OID1669"/>
        <s v="OID6854"/>
        <s v="OID1956"/>
        <s v="OID1153"/>
        <s v="OID6847"/>
        <s v="OID6974"/>
        <s v="OID7380"/>
        <s v="OID3969"/>
        <s v="OID8446"/>
        <s v="OID3509"/>
        <s v="OID8494"/>
        <s v="OID1693"/>
        <s v="OID1699"/>
        <s v="OID7502"/>
        <s v="OID6103"/>
        <s v="OID6123"/>
        <s v="OID9584"/>
        <s v="OID7059"/>
        <s v="OID5883"/>
        <s v="OID5389"/>
        <s v="OID1379"/>
        <s v="OID1686"/>
        <s v="OID9451"/>
        <s v="OID2412"/>
        <s v="OID3967"/>
        <s v="OID9627"/>
        <s v="OID8913"/>
        <s v="OID3681"/>
        <s v="OID1013"/>
        <s v="OID1661"/>
        <s v="OID1769"/>
        <s v="OID3209"/>
        <s v="OID6420"/>
        <s v="OID5186"/>
        <s v="OID7302"/>
        <s v="OID2861"/>
        <s v="OID9964"/>
        <s v="OID9915"/>
        <s v="OID2938"/>
        <s v="OID3388"/>
        <s v="OID7156"/>
        <s v="OID2523"/>
        <s v="OID9478"/>
        <s v="OID2170"/>
        <s v="OID5985"/>
        <s v="OID7850"/>
        <s v="OID1707"/>
        <s v="OID2779"/>
        <s v="OID7256"/>
        <s v="OID3467"/>
        <s v="OID9324"/>
        <s v="OID9782"/>
        <s v="OID2189"/>
        <s v="OID7679"/>
        <s v="OID9693"/>
        <s v="OID1418"/>
        <s v="OID2746"/>
        <s v="OID9705"/>
        <s v="OID7003"/>
        <s v="OID6600"/>
        <s v="OID1135"/>
        <s v="OID3528"/>
        <s v="OID6237"/>
        <s v="OID7443"/>
        <s v="OID7287"/>
        <s v="OID7358"/>
        <s v="OID1573"/>
        <s v="OID6767"/>
        <s v="OID9988"/>
        <s v="OID2767"/>
        <s v="OID1073"/>
        <s v="OID6436"/>
        <s v="OID7329"/>
        <s v="OID7412"/>
        <s v="OID6987"/>
        <s v="OID7205"/>
        <s v="OID1597"/>
        <s v="OID4995"/>
        <s v="OID1080"/>
        <s v="OID9187"/>
        <s v="OID9461"/>
        <s v="OID3837"/>
        <s v="OID2873"/>
        <s v="OID5787"/>
        <s v="OID4491"/>
        <s v="OID1025"/>
        <s v="OID1076"/>
        <s v="OID5802"/>
        <s v="OID7806"/>
        <s v="OID9374"/>
        <s v="OID1898"/>
        <s v="OID7910"/>
        <s v="OID2571"/>
        <s v="OID9880"/>
        <s v="OID6752"/>
        <s v="OID9630"/>
        <s v="OID6330"/>
        <s v="OID6002"/>
        <s v="OID3145"/>
        <s v="OID7904"/>
        <s v="OID4011"/>
        <s v="OID6374"/>
        <s v="OID8830"/>
        <s v="OID4710"/>
        <s v="OID6893"/>
        <s v="OID6361"/>
        <s v="OID7418"/>
        <s v="OID5126"/>
        <s v="OID3469"/>
        <s v="OID8981"/>
        <s v="OID2941"/>
        <s v="OID4412"/>
        <s v="OID8041"/>
        <s v="OID6304"/>
        <s v="OID2152"/>
        <s v="OID1309"/>
        <s v="OID7980"/>
        <s v="OID1317"/>
        <s v="OID6906"/>
        <s v="OID4070"/>
        <s v="OID6749"/>
        <s v="OID2501"/>
        <s v="OID9527"/>
        <s v="OID3749"/>
        <s v="OID7486"/>
        <s v="OID4784"/>
        <s v="OID9862"/>
        <s v="OID8972"/>
        <s v="OID9822"/>
        <s v="OID7065"/>
        <s v="OID3750"/>
        <s v="OID3689"/>
        <s v="OID5610"/>
        <s v="OID6264"/>
        <s v="OID1694"/>
        <s v="OID4415"/>
        <s v="OID1336"/>
        <s v="OID8649"/>
        <s v="OID8875"/>
        <s v="OID1137"/>
        <s v="OID5555"/>
        <s v="OID8974"/>
        <s v="OID4642"/>
        <s v="OID8192"/>
        <s v="OID1508"/>
        <s v="OID8609"/>
        <s v="OID1243"/>
        <s v="OID5978"/>
        <s v="OID3900"/>
        <s v="OID9459"/>
        <s v="OID4575"/>
        <s v="OID1114"/>
        <s v="OID4364"/>
        <s v="OID7609"/>
        <s v="OID3097"/>
        <s v="OID4719"/>
        <s v="OID4369"/>
        <s v="OID2246"/>
        <s v="OID4514"/>
        <s v="OID9600"/>
        <s v="OID3186"/>
        <s v="OID8955"/>
        <s v="OID4442"/>
        <s v="OID7812"/>
        <s v="OID5575"/>
        <s v="OID4081"/>
        <s v="OID9990"/>
        <s v="OID4240"/>
        <s v="OID4560"/>
        <s v="OID2619"/>
        <s v="OID4436"/>
        <s v="OID8699"/>
        <s v="OID7593"/>
        <s v="OID9735"/>
        <s v="OID7667"/>
        <s v="OID9224"/>
        <s v="OID6635"/>
        <s v="OID3125"/>
        <s v="OID7866"/>
        <s v="OID1726"/>
        <s v="OID9577"/>
        <s v="OID7606"/>
        <s v="OID3727"/>
        <s v="OID2949"/>
        <s v="OID8620"/>
        <s v="OID8162"/>
        <s v="OID1706"/>
        <s v="OID9872"/>
        <s v="OID5605"/>
        <s v="OID2440"/>
        <s v="OID9257"/>
        <s v="OID4613"/>
        <s v="OID8692"/>
        <s v="OID7056"/>
        <s v="OID6503"/>
        <s v="OID1663"/>
        <s v="OID6869"/>
        <s v="OID9743"/>
        <s v="OID4014"/>
        <s v="OID8869"/>
        <s v="OID6886"/>
        <s v="OID7754"/>
        <s v="OID8225"/>
        <s v="OID8716"/>
        <s v="OID1869"/>
        <s v="OID2817"/>
        <s v="OID4506"/>
        <s v="OID9805"/>
        <s v="OID4770"/>
        <s v="OID8860"/>
        <s v="OID9222"/>
        <s v="OID7457"/>
        <s v="OID4548"/>
        <s v="OID6057"/>
        <s v="OID4097"/>
        <s v="OID7454"/>
        <s v="OID3136"/>
        <s v="OID5210"/>
        <s v="OID3550"/>
        <s v="OID4432"/>
        <s v="OID8628"/>
        <s v="OID1833"/>
        <s v="OID5502"/>
        <s v="OID6912"/>
        <s v="OID5996"/>
        <s v="OID8114"/>
        <s v="OID8307"/>
        <s v="OID1071"/>
        <s v="OID3980"/>
        <s v="OID1477"/>
        <s v="OID4907"/>
        <s v="OID6771"/>
        <s v="OID4965"/>
        <s v="OID1692"/>
        <s v="OID9980"/>
        <s v="OID4538"/>
        <s v="OID7759"/>
        <s v="OID8569"/>
        <s v="OID2119"/>
        <s v="OID2121"/>
        <s v="OID8708"/>
        <s v="OID5598"/>
        <s v="OID6246"/>
        <s v="OID7475"/>
        <s v="OID7946"/>
        <s v="OID7117"/>
        <s v="OID5831"/>
        <s v="OID7650"/>
        <s v="OID5832"/>
        <s v="OID6943"/>
        <s v="OID5367"/>
        <s v="OID8826"/>
        <s v="OID7483"/>
        <s v="OID7382"/>
        <s v="OID1134"/>
        <s v="OID3607"/>
        <s v="OID2686"/>
        <s v="OID2505"/>
        <s v="OID3760"/>
        <s v="OID2173"/>
        <s v="OID9465"/>
        <s v="OID8288"/>
        <s v="OID7663"/>
        <s v="OID5850"/>
        <s v="OID6433"/>
        <s v="OID6229"/>
        <s v="OID6911"/>
        <s v="OID9745"/>
        <s v="OID2157"/>
        <s v="OID4411"/>
        <s v="OID8680"/>
        <s v="OID9756"/>
        <s v="OID2383"/>
        <s v="OID5081"/>
        <s v="OID8741"/>
        <s v="OID6410"/>
        <s v="OID7518"/>
        <s v="OID1157"/>
        <s v="OID8988"/>
        <s v="OID5272"/>
        <s v="OID6217"/>
        <s v="OID4580"/>
        <s v="OID8270"/>
        <s v="OID3421"/>
        <s v="OID8486"/>
        <s v="OID7359"/>
        <s v="OID9515"/>
        <s v="OID9267"/>
        <s v="OID4169"/>
        <s v="OID6520"/>
        <s v="OID4402"/>
        <s v="OID4465"/>
        <s v="OID8295"/>
        <s v="OID3574"/>
        <s v="OID4372"/>
        <s v="OID4295"/>
        <s v="OID8169"/>
        <s v="OID8542"/>
        <s v="OID6607"/>
        <s v="OID1086"/>
        <s v="OID4101"/>
        <s v="OID2704"/>
        <s v="OID6973"/>
        <s v="OID4875"/>
        <s v="OID5372"/>
        <s v="OID1246"/>
        <s v="OID2099"/>
        <s v="OID8577"/>
        <s v="OID7688"/>
        <s v="OID4659"/>
        <s v="OID2270"/>
        <s v="OID4569"/>
        <s v="OID1756"/>
        <s v="OID9804"/>
        <s v="OID5366"/>
        <s v="OID3902"/>
        <s v="OID7432"/>
        <s v="OID3490"/>
        <s v="OID6254"/>
        <s v="OID4522"/>
        <s v="OID7090"/>
        <s v="OID5671"/>
        <s v="OID2529"/>
        <s v="OID4599"/>
        <s v="OID8203"/>
        <s v="OID6373"/>
        <s v="OID7102"/>
        <s v="OID1054"/>
        <s v="OID1169"/>
        <s v="OID6975"/>
        <s v="OID6469"/>
        <s v="OID1483"/>
        <s v="OID1911"/>
        <s v="OID4892"/>
        <s v="OID1826"/>
        <s v="OID2597"/>
        <s v="OID5130"/>
        <s v="OID5190"/>
        <s v="OID4056"/>
        <s v="OID1866"/>
        <s v="OID3361"/>
        <s v="OID2944"/>
        <s v="OID1779"/>
        <s v="OID1269"/>
        <s v="OID4368"/>
        <s v="OID7409"/>
        <s v="OID4481"/>
        <s v="OID1966"/>
        <s v="OID8585"/>
        <s v="OID9628"/>
        <s v="OID1905"/>
        <s v="OID5999"/>
        <s v="OID4219"/>
        <s v="OID3134"/>
        <s v="OID1046"/>
        <s v="OID8431"/>
        <s v="OID8681"/>
        <s v="OID8093"/>
        <s v="OID4670"/>
        <s v="OID3556"/>
        <s v="OID5283"/>
        <s v="OID5834"/>
        <s v="OID3921"/>
        <s v="OID3570"/>
        <s v="OID4815"/>
        <s v="OID2497"/>
        <s v="OID4105"/>
        <s v="OID6453"/>
        <s v="OID6945"/>
        <s v="OID3165"/>
        <s v="OID2659"/>
        <s v="OID4185"/>
        <s v="OID9178"/>
        <s v="OID9404"/>
        <s v="OID7453"/>
        <s v="OID1411"/>
        <s v="OID7954"/>
        <s v="OID9112"/>
        <s v="OID9247"/>
        <s v="OID9816"/>
        <s v="OID1159"/>
        <s v="OID5182"/>
        <s v="OID5745"/>
        <s v="OID5561"/>
        <s v="OID4837"/>
        <s v="OID6936"/>
        <s v="OID6485"/>
        <s v="OID6555"/>
        <s v="OID3568"/>
        <s v="OID1067"/>
        <s v="OID2353"/>
        <s v="OID4399"/>
        <s v="OID8953"/>
        <s v="OID2429"/>
        <s v="OID9360"/>
        <s v="OID1586"/>
        <s v="OID7077"/>
        <s v="OID7664"/>
        <s v="OID8034"/>
        <s v="OID6045"/>
        <s v="OID1219"/>
        <s v="OID9748"/>
        <s v="OID2338"/>
        <s v="OID6597"/>
        <s v="OID6802"/>
        <s v="OID6898"/>
        <s v="OID5696"/>
        <s v="OID2519"/>
        <s v="OID5913"/>
        <s v="OID4539"/>
        <s v="OID5970"/>
        <s v="OID3348"/>
        <s v="OID7689"/>
        <s v="OID7828"/>
        <s v="OID6319"/>
        <s v="OID6716"/>
        <s v="OID4685"/>
        <s v="OID9684"/>
      </sharedItems>
    </cacheField>
    <cacheField name="Order_Date" numFmtId="0">
      <sharedItems containsSemiMixedTypes="0" containsString="0" containsNumber="1" containsInteger="1" minValue="44966" maxValue="45695"/>
    </cacheField>
    <cacheField name="Order_Time" numFmtId="0">
      <sharedItems/>
    </cacheField>
    <cacheField name="Product_ID" numFmtId="0">
      <sharedItems count="50">
        <s v="PID044"/>
        <s v="PID003"/>
        <s v="PID045"/>
        <s v="PID010"/>
        <s v="PID033"/>
        <s v="PID018"/>
        <s v="PID009"/>
        <s v="PID024"/>
        <s v="PID002"/>
        <s v="PID028"/>
        <s v="PID026"/>
        <s v="PID021"/>
        <s v="PID012"/>
        <s v="PID016"/>
        <s v="PID048"/>
        <s v="PID037"/>
        <s v="PID036"/>
        <s v="PID015"/>
        <s v="PID047"/>
        <s v="PID023"/>
        <s v="PID040"/>
        <s v="PID013"/>
        <s v="PID007"/>
        <s v="PID014"/>
        <s v="PID034"/>
        <s v="PID030"/>
        <s v="PID019"/>
        <s v="PID011"/>
        <s v="PID022"/>
        <s v="PID050"/>
        <s v="PID043"/>
        <s v="PID042"/>
        <s v="PID046"/>
        <s v="PID001"/>
        <s v="PID041"/>
        <s v="PID029"/>
        <s v="PID025"/>
        <s v="PID031"/>
        <s v="PID038"/>
        <s v="PID032"/>
        <s v="PID017"/>
        <s v="PID020"/>
        <s v="PID039"/>
        <s v="PID005"/>
        <s v="PID008"/>
        <s v="PID006"/>
        <s v="PID027"/>
        <s v="PID035"/>
        <s v="PID049"/>
        <s v="PID004"/>
      </sharedItems>
    </cacheField>
    <cacheField name="Price" numFmtId="0">
      <sharedItems containsSemiMixedTypes="0" containsString="0" containsNumber="1" minValue="20" maxValue="496.59"/>
    </cacheField>
    <cacheField name="Quantity" numFmtId="0">
      <sharedItems containsSemiMixedTypes="0" containsString="0" containsNumber="1" containsInteger="1" minValue="1" maxValue="5"/>
    </cacheField>
    <cacheField name="Coupon_Code" numFmtId="0">
      <sharedItems count="5">
        <s v="FLAT10"/>
        <s v="DEL0"/>
        <s v="FLAT8"/>
        <s v="FLAT20"/>
        <s v="FLAT15"/>
      </sharedItems>
    </cacheField>
    <cacheField name="Estimated_Days_to_Deliver" numFmtId="0">
      <sharedItems containsSemiMixedTypes="0" containsString="0" containsNumber="1" containsInteger="1" minValue="1" maxValue="7"/>
    </cacheField>
    <cacheField name="Delivery_Charge" numFmtId="0">
      <sharedItems containsSemiMixedTypes="0" containsString="0" containsNumber="1" containsInteger="1" minValue="35" maxValue="70"/>
    </cacheField>
    <cacheField name="Delivery_Date" numFmtId="0">
      <sharedItems containsSemiMixedTypes="0" containsString="0" containsNumber="1" containsInteger="1" minValue="44970" maxValue="45701"/>
    </cacheField>
    <cacheField name="Delivery_Time" numFmtId="0">
      <sharedItems/>
    </cacheField>
    <cacheField name="Days_to_Deliver" numFmtId="0">
      <sharedItems containsSemiMixedTypes="0" containsString="0" containsNumber="1" containsInteger="1" minValue="1" maxValue="7"/>
    </cacheField>
    <cacheField name="Amount" numFmtId="0">
      <sharedItems containsSemiMixedTypes="0" containsString="0" containsNumber="1" minValue="20" maxValue="2482.9499999999998"/>
    </cacheField>
    <cacheField name="Discount_Percent" numFmtId="0">
      <sharedItems containsSemiMixedTypes="0" containsString="0" containsNumber="1" minValue="0" maxValue="0.2"/>
    </cacheField>
    <cacheField name="Discounted_Amount" numFmtId="0">
      <sharedItems containsSemiMixedTypes="0" containsString="0" containsNumber="1" minValue="18" maxValue="2284.3139999999999"/>
    </cacheField>
    <cacheField name="Amount_with_Delivery_Charge" numFmtId="0">
      <sharedItems containsSemiMixedTypes="0" containsString="0" containsNumber="1" minValue="20.7" maxValue="2345.3139999999999"/>
    </cacheField>
    <cacheField name="Full_Name" numFmtId="0">
      <sharedItems count="100">
        <s v="Kristina Haynes"/>
        <s v="Thomas Owens"/>
        <s v="Mallory Mitchell"/>
        <s v="Kara Brennan"/>
        <s v="Amy Ellis"/>
        <s v="Katherine Weber"/>
        <s v="Lauren Crane"/>
        <s v="Gregory Lee"/>
        <s v="Erin Miller"/>
        <s v="Rebecca Figueroa"/>
        <s v="Gina Moreno"/>
        <s v="Alexandra Smith"/>
        <s v="Lindsey Byrd"/>
        <s v="Amanda Howard"/>
        <s v="Angela Casey"/>
        <s v="Jessica Ruiz"/>
        <s v="Donna Oneill"/>
        <s v="Debra Rodriguez"/>
        <s v="Heather Schneider"/>
        <s v="Marcus Valenzuela"/>
        <s v="Christy Chang"/>
        <s v="Katie Hicks"/>
        <s v="Lauren Lane"/>
        <s v="Christian Clayton"/>
        <s v="Traci Jones"/>
        <s v="Taylor Davis"/>
        <s v="John Ramirez"/>
        <s v="Gary Huff"/>
        <s v="Scott Jones"/>
        <s v="Julie Meyer"/>
        <s v="Rachel Lopez"/>
        <s v="Melissa Levy"/>
        <s v="Amy Griffin"/>
        <s v="Robert Castillo"/>
        <s v="Sarah Butler"/>
        <s v="Kim Blevins"/>
        <s v="Angela Horne"/>
        <s v="Brian Kennedy"/>
        <s v="Brendan Kelly"/>
        <s v="Hannah Gutierrez"/>
        <s v="Jenny Estrada"/>
        <s v="Jared Horn"/>
        <s v="Marcus Rogers"/>
        <s v="Anthony Thomas"/>
        <s v="Mike Carter"/>
        <s v="Mark Summers"/>
        <s v="Timothy Hicks"/>
        <s v="Valerie Carr"/>
        <s v="Lauren Long"/>
        <s v="John Herrera"/>
        <s v="Regina Hawkins"/>
        <s v="Teresa Harvey"/>
        <s v="Beth Mason"/>
        <s v="Jason Lopez"/>
        <s v="Ashley Romero"/>
        <s v="Barbara Fuller"/>
        <s v="Jason Nguyen"/>
        <s v="Debra Hayes"/>
        <s v="Mary Knight"/>
        <s v="Brandon Cruz"/>
        <s v="Rachael Robinson"/>
        <s v="Angela Evans"/>
        <s v="Thomas Andersen"/>
        <s v="Joshua Campbell"/>
        <s v="Karl Gallagher"/>
        <s v="Mitchell Parker"/>
        <s v="Lisa Miller"/>
        <s v="Amy Reid"/>
        <s v="Troy Gomez"/>
        <s v="Leslie Montgomery"/>
        <s v="Ashley Rose"/>
        <s v="Susan Thompson"/>
        <s v="David Delacruz"/>
        <s v="Brittany Stewart"/>
        <s v="Courtney Parker"/>
        <s v="Aaron Thompson"/>
        <s v="Sarah Benson"/>
        <s v="Kelli Smith"/>
        <s v="Anne Oconnell"/>
        <s v="Mark Henderson"/>
        <s v="Sharon Thompson"/>
        <s v="Megan Hunt"/>
        <s v="Janice Gordon"/>
        <s v="Edward Black"/>
        <s v="Gary Jacobs"/>
        <s v="Joseph Stewart"/>
        <s v="Bobby Forbes"/>
        <s v="Jodi Whitney"/>
        <s v="Lori Cook"/>
        <s v="Joseph Gaines"/>
        <s v="Diana French"/>
        <s v="William Mann"/>
        <s v="James Brown"/>
        <s v="Bruce Allen"/>
        <s v="Christine Aguilar"/>
        <s v="William Richmond"/>
        <s v="Deborah Bates"/>
        <s v="Natasha Michael"/>
        <s v="Christine West"/>
        <s v="Veronica Lopez"/>
      </sharedItems>
    </cacheField>
    <cacheField name="Delivery_Status" numFmtId="0">
      <sharedItems/>
    </cacheField>
    <cacheField name="month" numFmtId="0">
      <sharedItems containsSemiMixedTypes="0" containsString="0" containsNumber="1" containsInteger="1" minValue="1" maxValue="12" count="12">
        <n v="3"/>
        <n v="2"/>
        <n v="5"/>
        <n v="4"/>
        <n v="9"/>
        <n v="1"/>
        <n v="6"/>
        <n v="12"/>
        <n v="10"/>
        <n v="7"/>
        <n v="8"/>
        <n v="11"/>
      </sharedItems>
    </cacheField>
    <cacheField name="Discount Offered" numFmtId="0">
      <sharedItems containsSemiMixedTypes="0" containsString="0" containsNumber="1" minValue="0" maxValue="496.59"/>
    </cacheField>
  </cacheFields>
  <extLst>
    <ext xmlns:x14="http://schemas.microsoft.com/office/spreadsheetml/2009/9/main" uri="{725AE2AE-9491-48be-B2B4-4EB974FC3084}">
      <x14:pivotCacheDefinition pivotCacheId="13618455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Kristina"/>
    <s v="Haynes"/>
    <n v="27"/>
    <x v="0"/>
    <x v="0"/>
    <s v="kristina.haynes@yahoo.com"/>
    <s v="18295 Thomas River, Kochville, NH 80868"/>
    <x v="0"/>
    <n v="45183"/>
    <s v="10:28:03"/>
    <x v="0"/>
    <n v="20"/>
    <n v="1"/>
    <x v="0"/>
    <n v="4"/>
    <n v="68"/>
    <n v="45185"/>
    <s v="23:08:52"/>
    <n v="2"/>
    <n v="20"/>
    <n v="0.1"/>
    <n v="18"/>
    <n v="86"/>
    <x v="0"/>
    <s v="BeforeTime"/>
    <x v="0"/>
    <n v="123.55200000000001"/>
  </r>
  <r>
    <x v="1"/>
    <s v="Thomas"/>
    <s v="Owens"/>
    <n v="34"/>
    <x v="1"/>
    <x v="1"/>
    <s v="thomas.owens@outlook.com"/>
    <s v="43920 Shaffer Valley Suite 531, South Jerry, MD 67120"/>
    <x v="1"/>
    <n v="45085"/>
    <s v="23:40:03"/>
    <x v="1"/>
    <n v="20.7"/>
    <n v="1"/>
    <x v="1"/>
    <n v="5"/>
    <n v="51"/>
    <n v="45086"/>
    <s v="09:33:08"/>
    <n v="1"/>
    <n v="20.7"/>
    <n v="0"/>
    <n v="20.7"/>
    <n v="20.7"/>
    <x v="1"/>
    <s v="BeforeTime"/>
    <x v="0"/>
    <n v="53.209600000000002"/>
  </r>
  <r>
    <x v="2"/>
    <s v="Mallory"/>
    <s v="Mitchell"/>
    <n v="42"/>
    <x v="2"/>
    <x v="2"/>
    <s v="mallory.mitchell@yahoo.com"/>
    <s v="710 Anthony Wall Suite 137, East Davidstad, NV 61494"/>
    <x v="2"/>
    <n v="45290"/>
    <s v="08:22:36"/>
    <x v="1"/>
    <n v="20.7"/>
    <n v="1"/>
    <x v="0"/>
    <n v="5"/>
    <n v="55"/>
    <n v="45291"/>
    <s v="07:46:17"/>
    <n v="1"/>
    <n v="20.7"/>
    <n v="0.1"/>
    <n v="18.63"/>
    <n v="73.63"/>
    <x v="2"/>
    <s v="BeforeTime"/>
    <x v="1"/>
    <n v="30.380999999999997"/>
  </r>
  <r>
    <x v="3"/>
    <s v="Kara"/>
    <s v="Brennan"/>
    <n v="25"/>
    <x v="1"/>
    <x v="3"/>
    <s v="kara.brennan@outlook.com"/>
    <s v="2174 Thomas Avenue, Maciasborough, NJ 41465"/>
    <x v="3"/>
    <n v="45580"/>
    <s v="13:40:51"/>
    <x v="2"/>
    <n v="33.49"/>
    <n v="1"/>
    <x v="1"/>
    <n v="1"/>
    <n v="59"/>
    <n v="45585"/>
    <s v="00:35:18"/>
    <n v="5"/>
    <n v="33.49"/>
    <n v="0"/>
    <n v="33.49"/>
    <n v="33.49"/>
    <x v="3"/>
    <s v="Late"/>
    <x v="2"/>
    <n v="0"/>
  </r>
  <r>
    <x v="4"/>
    <s v="Amy"/>
    <s v="Ellis"/>
    <n v="44"/>
    <x v="1"/>
    <x v="4"/>
    <s v="amy.ellis@gmail.com"/>
    <s v="217 Scott Ville, Christophermouth, NH 83776"/>
    <x v="4"/>
    <n v="45285"/>
    <s v="00:08:51"/>
    <x v="2"/>
    <n v="33.49"/>
    <n v="1"/>
    <x v="2"/>
    <n v="2"/>
    <n v="67"/>
    <n v="45286"/>
    <s v="10:47:50"/>
    <n v="1"/>
    <n v="33.49"/>
    <n v="0.08"/>
    <n v="30.8108"/>
    <n v="97.8108"/>
    <x v="4"/>
    <s v="BeforeTime"/>
    <x v="3"/>
    <n v="13.3024"/>
  </r>
  <r>
    <x v="5"/>
    <s v="Katherine"/>
    <s v="Weber"/>
    <n v="42"/>
    <x v="1"/>
    <x v="5"/>
    <s v="katherine.weber@outlook.com"/>
    <s v="04887 Kimberly Union Apt. 645, Port Laura, IL 97219"/>
    <x v="5"/>
    <n v="45666"/>
    <s v="17:23:49"/>
    <x v="2"/>
    <n v="33.49"/>
    <n v="1"/>
    <x v="3"/>
    <n v="4"/>
    <n v="61"/>
    <n v="45668"/>
    <s v="01:46:13"/>
    <n v="2"/>
    <n v="33.49"/>
    <n v="0.2"/>
    <n v="26.792000000000002"/>
    <n v="87.792000000000002"/>
    <x v="5"/>
    <s v="BeforeTime"/>
    <x v="4"/>
    <n v="198.066"/>
  </r>
  <r>
    <x v="6"/>
    <s v="Lauren"/>
    <s v="Crane"/>
    <n v="62"/>
    <x v="2"/>
    <x v="0"/>
    <s v="lauren.crane@yahoo.com"/>
    <s v="30313 Reyes Parkways Suite 392, Port Bradley, SC 24078"/>
    <x v="6"/>
    <n v="45380"/>
    <s v="12:05:41"/>
    <x v="2"/>
    <n v="33.49"/>
    <n v="1"/>
    <x v="1"/>
    <n v="2"/>
    <n v="69"/>
    <n v="45385"/>
    <s v="04:38:50"/>
    <n v="5"/>
    <n v="33.49"/>
    <n v="0"/>
    <n v="33.49"/>
    <n v="33.49"/>
    <x v="6"/>
    <s v="Late"/>
    <x v="5"/>
    <n v="308.88000000000005"/>
  </r>
  <r>
    <x v="7"/>
    <s v="Gregory"/>
    <s v="Lee"/>
    <n v="26"/>
    <x v="1"/>
    <x v="5"/>
    <s v="gregory.lee@rediffmail.com"/>
    <s v="619 Parker Turnpike Apt. 025, West Brucehaven, ID 48437"/>
    <x v="7"/>
    <n v="45204"/>
    <s v="03:18:41"/>
    <x v="2"/>
    <n v="33.49"/>
    <n v="1"/>
    <x v="4"/>
    <n v="4"/>
    <n v="44"/>
    <n v="45206"/>
    <s v="01:31:23"/>
    <n v="2"/>
    <n v="33.49"/>
    <n v="0.15"/>
    <n v="28.466500000000003"/>
    <n v="72.466499999999996"/>
    <x v="7"/>
    <s v="BeforeTime"/>
    <x v="6"/>
    <n v="109.09200000000001"/>
  </r>
  <r>
    <x v="8"/>
    <s v="Erin"/>
    <s v="Miller"/>
    <n v="46"/>
    <x v="0"/>
    <x v="2"/>
    <s v="erin.miller@gmail.com"/>
    <s v="65972 Peterson Route, Port Andrewfurt, SD 32892"/>
    <x v="8"/>
    <n v="45479"/>
    <s v="10:50:30"/>
    <x v="0"/>
    <n v="20"/>
    <n v="2"/>
    <x v="0"/>
    <n v="3"/>
    <n v="38"/>
    <n v="45485"/>
    <s v="16:59:14"/>
    <n v="6"/>
    <n v="40"/>
    <n v="0.1"/>
    <n v="36"/>
    <n v="74"/>
    <x v="8"/>
    <s v="Late"/>
    <x v="3"/>
    <n v="22.0352"/>
  </r>
  <r>
    <x v="9"/>
    <s v="Rebecca"/>
    <s v="Figueroa"/>
    <n v="63"/>
    <x v="0"/>
    <x v="3"/>
    <s v="rebecca.figueroa@outlook.com"/>
    <s v="3959 Bell Dale, North Jacob, LA 07934"/>
    <x v="9"/>
    <n v="45623"/>
    <s v="03:23:04"/>
    <x v="0"/>
    <n v="20"/>
    <n v="2"/>
    <x v="1"/>
    <n v="5"/>
    <n v="55"/>
    <n v="45629"/>
    <s v="05:02:16"/>
    <n v="6"/>
    <n v="40"/>
    <n v="0"/>
    <n v="40"/>
    <n v="40"/>
    <x v="9"/>
    <s v="Late"/>
    <x v="7"/>
    <n v="7.2675000000000001"/>
  </r>
  <r>
    <x v="10"/>
    <s v="Gina"/>
    <s v="Moreno"/>
    <n v="36"/>
    <x v="1"/>
    <x v="3"/>
    <s v="gina.moreno@rediffmail.com"/>
    <s v="USS Murray, FPO AP 66559"/>
    <x v="10"/>
    <n v="45194"/>
    <s v="12:10:36"/>
    <x v="0"/>
    <n v="20"/>
    <n v="2"/>
    <x v="0"/>
    <n v="1"/>
    <n v="68"/>
    <n v="45195"/>
    <s v="23:31:23"/>
    <n v="1"/>
    <n v="40"/>
    <n v="0.1"/>
    <n v="36"/>
    <n v="104"/>
    <x v="10"/>
    <s v="Intime"/>
    <x v="8"/>
    <n v="0"/>
  </r>
  <r>
    <x v="11"/>
    <s v="Alexandra"/>
    <s v="Smith"/>
    <n v="70"/>
    <x v="0"/>
    <x v="6"/>
    <s v="alexandra.smith@rediffmail.com"/>
    <s v="48611 Clark Village, West Anne, GA 92865"/>
    <x v="11"/>
    <n v="45545"/>
    <s v="04:25:34"/>
    <x v="1"/>
    <n v="20.7"/>
    <n v="2"/>
    <x v="0"/>
    <n v="2"/>
    <n v="50"/>
    <n v="45547"/>
    <s v="00:47:31"/>
    <n v="2"/>
    <n v="41.4"/>
    <n v="0.1"/>
    <n v="37.26"/>
    <n v="87.259999999999991"/>
    <x v="11"/>
    <s v="Intime"/>
    <x v="9"/>
    <n v="0"/>
  </r>
  <r>
    <x v="12"/>
    <s v="Lindsey"/>
    <s v="Byrd"/>
    <n v="32"/>
    <x v="0"/>
    <x v="7"/>
    <s v="lindsey.byrd@rediffmail.com"/>
    <s v="USCGC Harper, FPO AA 38349"/>
    <x v="12"/>
    <n v="45106"/>
    <s v="22:11:06"/>
    <x v="1"/>
    <n v="20.7"/>
    <n v="2"/>
    <x v="1"/>
    <n v="7"/>
    <n v="43"/>
    <n v="45107"/>
    <s v="11:35:56"/>
    <n v="1"/>
    <n v="41.4"/>
    <n v="0"/>
    <n v="41.4"/>
    <n v="41.4"/>
    <x v="12"/>
    <s v="BeforeTime"/>
    <x v="0"/>
    <n v="56.297600000000003"/>
  </r>
  <r>
    <x v="13"/>
    <s v="Amanda"/>
    <s v="Howard"/>
    <n v="52"/>
    <x v="1"/>
    <x v="1"/>
    <s v="amanda.howard@outlook.com"/>
    <s v="56908 Sydney Park Suite 632, West Anthonyport, NC 15954"/>
    <x v="13"/>
    <n v="45279"/>
    <s v="01:23:40"/>
    <x v="1"/>
    <n v="20.7"/>
    <n v="2"/>
    <x v="2"/>
    <n v="7"/>
    <n v="39"/>
    <n v="45286"/>
    <s v="19:01:55"/>
    <n v="7"/>
    <n v="41.4"/>
    <n v="0.08"/>
    <n v="38.088000000000001"/>
    <n v="77.087999999999994"/>
    <x v="13"/>
    <s v="Intime"/>
    <x v="7"/>
    <n v="0"/>
  </r>
  <r>
    <x v="14"/>
    <s v="Angela"/>
    <s v="Casey"/>
    <n v="40"/>
    <x v="0"/>
    <x v="5"/>
    <s v="angela.casey@gmail.com"/>
    <s v="089 Farley Terrace, Thomashaven, MT 56607"/>
    <x v="14"/>
    <n v="45175"/>
    <s v="16:01:40"/>
    <x v="1"/>
    <n v="20.7"/>
    <n v="2"/>
    <x v="2"/>
    <n v="5"/>
    <n v="61"/>
    <n v="45177"/>
    <s v="02:24:54"/>
    <n v="2"/>
    <n v="41.4"/>
    <n v="0.08"/>
    <n v="38.088000000000001"/>
    <n v="99.087999999999994"/>
    <x v="14"/>
    <s v="BeforeTime"/>
    <x v="0"/>
    <n v="0"/>
  </r>
  <r>
    <x v="15"/>
    <s v="Jessica"/>
    <s v="Ruiz"/>
    <n v="19"/>
    <x v="2"/>
    <x v="5"/>
    <s v="jessica.ruiz@rediffmail.com"/>
    <s v="02370 Laura Station Suite 309, Brandonville, DE 18875"/>
    <x v="15"/>
    <n v="45272"/>
    <s v="15:56:55"/>
    <x v="3"/>
    <n v="44.5"/>
    <n v="1"/>
    <x v="0"/>
    <n v="4"/>
    <n v="49"/>
    <n v="45278"/>
    <s v="18:16:24"/>
    <n v="6"/>
    <n v="44.5"/>
    <n v="0.1"/>
    <n v="40.049999999999997"/>
    <n v="89.05"/>
    <x v="15"/>
    <s v="Late"/>
    <x v="6"/>
    <n v="0"/>
  </r>
  <r>
    <x v="16"/>
    <s v="Donna"/>
    <s v="Oneill"/>
    <n v="70"/>
    <x v="0"/>
    <x v="2"/>
    <s v="donna.oneill@yahoo.com"/>
    <s v="464 Carolyn Crest Suite 738, Lake Isaiah, CA 66153"/>
    <x v="16"/>
    <n v="45270"/>
    <s v="10:33:52"/>
    <x v="3"/>
    <n v="44.5"/>
    <n v="1"/>
    <x v="1"/>
    <n v="1"/>
    <n v="37"/>
    <n v="45277"/>
    <s v="11:21:30"/>
    <n v="7"/>
    <n v="44.5"/>
    <n v="0"/>
    <n v="44.5"/>
    <n v="44.5"/>
    <x v="16"/>
    <s v="Late"/>
    <x v="1"/>
    <n v="109.004"/>
  </r>
  <r>
    <x v="17"/>
    <s v="Debra"/>
    <s v="Rodriguez"/>
    <n v="48"/>
    <x v="1"/>
    <x v="0"/>
    <s v="debra.rodriguez@rediffmail.com"/>
    <s v="Unit 5964 Box 0721, DPO AP 01840"/>
    <x v="17"/>
    <n v="45282"/>
    <s v="13:46:47"/>
    <x v="4"/>
    <n v="48.45"/>
    <n v="1"/>
    <x v="4"/>
    <n v="7"/>
    <n v="59"/>
    <n v="45287"/>
    <s v="19:57:06"/>
    <n v="5"/>
    <n v="48.45"/>
    <n v="0.15"/>
    <n v="41.182500000000005"/>
    <n v="100.1825"/>
    <x v="17"/>
    <s v="BeforeTime"/>
    <x v="4"/>
    <n v="0"/>
  </r>
  <r>
    <x v="18"/>
    <s v="Heather"/>
    <s v="Schneider"/>
    <n v="48"/>
    <x v="2"/>
    <x v="4"/>
    <s v="heather.schneider@outlook.com"/>
    <s v="57940 Susan Creek Apt. 541, Port Aliciamouth, OR 90221"/>
    <x v="18"/>
    <n v="45505"/>
    <s v="19:45:13"/>
    <x v="4"/>
    <n v="48.45"/>
    <n v="1"/>
    <x v="4"/>
    <n v="6"/>
    <n v="66"/>
    <n v="45512"/>
    <s v="13:53:47"/>
    <n v="7"/>
    <n v="48.45"/>
    <n v="0.15"/>
    <n v="41.182500000000005"/>
    <n v="107.1825"/>
    <x v="18"/>
    <s v="Late"/>
    <x v="5"/>
    <n v="19.380000000000003"/>
  </r>
  <r>
    <x v="19"/>
    <s v="Marcus"/>
    <s v="Valenzuela"/>
    <n v="39"/>
    <x v="0"/>
    <x v="6"/>
    <s v="marcus.valenzuela@yahoo.com"/>
    <s v="694 Graham Prairie Apt. 887, Jimenezfurt, MI 33044"/>
    <x v="19"/>
    <n v="45227"/>
    <s v="07:48:29"/>
    <x v="4"/>
    <n v="48.45"/>
    <n v="1"/>
    <x v="3"/>
    <n v="4"/>
    <n v="66"/>
    <n v="45228"/>
    <s v="23:09:43"/>
    <n v="1"/>
    <n v="48.45"/>
    <n v="0.2"/>
    <n v="38.760000000000005"/>
    <n v="104.76"/>
    <x v="19"/>
    <s v="BeforeTime"/>
    <x v="4"/>
    <n v="0"/>
  </r>
  <r>
    <x v="20"/>
    <s v="Christy"/>
    <s v="Chang"/>
    <n v="38"/>
    <x v="2"/>
    <x v="1"/>
    <s v="christy.chang@outlook.com"/>
    <s v="4647 Hannah Centers, Rhodesburgh, NH 89363"/>
    <x v="20"/>
    <n v="45059"/>
    <s v="15:34:31"/>
    <x v="4"/>
    <n v="48.45"/>
    <n v="1"/>
    <x v="0"/>
    <n v="2"/>
    <n v="41"/>
    <n v="45062"/>
    <s v="10:35:02"/>
    <n v="3"/>
    <n v="48.45"/>
    <n v="0.1"/>
    <n v="43.605000000000004"/>
    <n v="84.605000000000004"/>
    <x v="20"/>
    <s v="Late"/>
    <x v="10"/>
    <n v="92.664000000000001"/>
  </r>
  <r>
    <x v="21"/>
    <s v="Katie"/>
    <s v="Hicks"/>
    <n v="34"/>
    <x v="1"/>
    <x v="7"/>
    <s v="katie.hicks@rediffmail.com"/>
    <s v="848 William Port, New Marilyn, SD 58000"/>
    <x v="21"/>
    <n v="45449"/>
    <s v="12:05:04"/>
    <x v="4"/>
    <n v="48.45"/>
    <n v="1"/>
    <x v="0"/>
    <n v="5"/>
    <n v="38"/>
    <n v="45456"/>
    <s v="18:05:47"/>
    <n v="7"/>
    <n v="48.45"/>
    <n v="0.1"/>
    <n v="43.605000000000004"/>
    <n v="81.605000000000004"/>
    <x v="21"/>
    <s v="Late"/>
    <x v="0"/>
    <n v="41.672000000000011"/>
  </r>
  <r>
    <x v="22"/>
    <s v="Lauren"/>
    <s v="Lane"/>
    <n v="30"/>
    <x v="0"/>
    <x v="1"/>
    <s v="lauren.lane@gmail.com"/>
    <s v="56985 Sergio Extensions, Port Albert, CO 02898"/>
    <x v="22"/>
    <n v="45695"/>
    <s v="10:50:23"/>
    <x v="0"/>
    <n v="20"/>
    <n v="3"/>
    <x v="0"/>
    <n v="7"/>
    <n v="65"/>
    <n v="45701"/>
    <s v="10:39:52"/>
    <n v="6"/>
    <n v="60"/>
    <n v="0.1"/>
    <n v="54"/>
    <n v="119"/>
    <x v="22"/>
    <s v="BeforeTime"/>
    <x v="9"/>
    <n v="36.885600000000004"/>
  </r>
  <r>
    <x v="23"/>
    <s v="Christian"/>
    <s v="Clayton"/>
    <n v="39"/>
    <x v="2"/>
    <x v="7"/>
    <s v="christian.clayton@yahoo.com"/>
    <s v="065 Madison Way, Smithstad, CT 68011"/>
    <x v="23"/>
    <n v="45366"/>
    <s v="17:39:16"/>
    <x v="1"/>
    <n v="20.7"/>
    <n v="3"/>
    <x v="1"/>
    <n v="1"/>
    <n v="67"/>
    <n v="45372"/>
    <s v="05:28:25"/>
    <n v="6"/>
    <n v="62.099999999999994"/>
    <n v="0"/>
    <n v="62.099999999999994"/>
    <n v="62.099999999999994"/>
    <x v="23"/>
    <s v="Late"/>
    <x v="4"/>
    <n v="19.945499999999999"/>
  </r>
  <r>
    <x v="24"/>
    <s v="Traci"/>
    <s v="Jones"/>
    <n v="34"/>
    <x v="0"/>
    <x v="4"/>
    <s v="traci.jones@yahoo.com"/>
    <s v="4016 Ryan Passage, Collinsside, PA 88777"/>
    <x v="24"/>
    <n v="45243"/>
    <s v="09:31:29"/>
    <x v="1"/>
    <n v="20.7"/>
    <n v="3"/>
    <x v="2"/>
    <n v="5"/>
    <n v="46"/>
    <n v="45245"/>
    <s v="07:20:39"/>
    <n v="2"/>
    <n v="62.099999999999994"/>
    <n v="0.08"/>
    <n v="57.131999999999991"/>
    <n v="103.13199999999999"/>
    <x v="24"/>
    <s v="BeforeTime"/>
    <x v="10"/>
    <n v="0"/>
  </r>
  <r>
    <x v="25"/>
    <s v="Taylor"/>
    <s v="Davis"/>
    <n v="54"/>
    <x v="2"/>
    <x v="6"/>
    <s v="taylor.davis@yahoo.com"/>
    <s v="USCGC Simmons, FPO AA 60167"/>
    <x v="25"/>
    <n v="45224"/>
    <s v="00:40:20"/>
    <x v="5"/>
    <n v="62.42"/>
    <n v="1"/>
    <x v="1"/>
    <n v="3"/>
    <n v="58"/>
    <n v="45229"/>
    <s v="20:26:25"/>
    <n v="5"/>
    <n v="62.42"/>
    <n v="0"/>
    <n v="62.42"/>
    <n v="62.42"/>
    <x v="25"/>
    <s v="Late"/>
    <x v="9"/>
    <n v="0"/>
  </r>
  <r>
    <x v="26"/>
    <s v="John"/>
    <s v="Ramirez"/>
    <n v="28"/>
    <x v="1"/>
    <x v="3"/>
    <s v="john.ramirez@outlook.com"/>
    <s v="02797 Martin Landing, South Michelle, VT 98781"/>
    <x v="26"/>
    <n v="45322"/>
    <s v="04:27:02"/>
    <x v="5"/>
    <n v="62.42"/>
    <n v="1"/>
    <x v="3"/>
    <n v="6"/>
    <n v="53"/>
    <n v="45329"/>
    <s v="09:07:52"/>
    <n v="7"/>
    <n v="62.42"/>
    <n v="0.2"/>
    <n v="49.936"/>
    <n v="102.93600000000001"/>
    <x v="26"/>
    <s v="Late"/>
    <x v="2"/>
    <n v="30.753599999999999"/>
  </r>
  <r>
    <x v="27"/>
    <s v="Gary"/>
    <s v="Huff"/>
    <n v="18"/>
    <x v="0"/>
    <x v="5"/>
    <s v="gary.huff@gmail.com"/>
    <s v="58608 Alexander Terrace, South Bryan, SC 85541"/>
    <x v="27"/>
    <n v="45563"/>
    <s v="06:33:59"/>
    <x v="5"/>
    <n v="62.42"/>
    <n v="1"/>
    <x v="2"/>
    <n v="3"/>
    <n v="46"/>
    <n v="45565"/>
    <s v="13:29:05"/>
    <n v="2"/>
    <n v="62.42"/>
    <n v="0.08"/>
    <n v="57.426400000000001"/>
    <n v="103.4264"/>
    <x v="27"/>
    <s v="BeforeTime"/>
    <x v="4"/>
    <n v="218.18400000000003"/>
  </r>
  <r>
    <x v="28"/>
    <s v="Scott"/>
    <s v="Jones"/>
    <n v="29"/>
    <x v="1"/>
    <x v="4"/>
    <s v="scott.jones@yahoo.com"/>
    <s v="086 Kristin Manor Apt. 829, Marissabury, CT 12152"/>
    <x v="28"/>
    <n v="45537"/>
    <s v="02:29:46"/>
    <x v="5"/>
    <n v="62.42"/>
    <n v="1"/>
    <x v="2"/>
    <n v="3"/>
    <n v="48"/>
    <n v="45542"/>
    <s v="13:28:57"/>
    <n v="5"/>
    <n v="62.42"/>
    <n v="0.08"/>
    <n v="57.426400000000001"/>
    <n v="105.4264"/>
    <x v="28"/>
    <s v="Late"/>
    <x v="0"/>
    <n v="109.092"/>
  </r>
  <r>
    <x v="29"/>
    <s v="Julie"/>
    <s v="Meyer"/>
    <n v="23"/>
    <x v="0"/>
    <x v="6"/>
    <s v="julie.meyer@yahoo.com"/>
    <s v="17381 Smith Ramp Suite 398, Courtneyville, AL 17756"/>
    <x v="29"/>
    <n v="45659"/>
    <s v="13:24:08"/>
    <x v="2"/>
    <n v="33.49"/>
    <n v="2"/>
    <x v="2"/>
    <n v="2"/>
    <n v="45"/>
    <n v="45660"/>
    <s v="07:39:38"/>
    <n v="1"/>
    <n v="66.98"/>
    <n v="0.08"/>
    <n v="61.621600000000001"/>
    <n v="106.6216"/>
    <x v="29"/>
    <s v="BeforeTime"/>
    <x v="8"/>
    <n v="0"/>
  </r>
  <r>
    <x v="30"/>
    <s v="Rachel"/>
    <s v="Lopez"/>
    <n v="57"/>
    <x v="2"/>
    <x v="4"/>
    <s v="rachel.lopez@outlook.com"/>
    <s v="90435 Bonnie Points Suite 886, Jenniferfurt, WV 20187"/>
    <x v="30"/>
    <n v="45333"/>
    <s v="18:27:35"/>
    <x v="0"/>
    <n v="20"/>
    <n v="4"/>
    <x v="3"/>
    <n v="1"/>
    <n v="51"/>
    <n v="45334"/>
    <s v="15:09:01"/>
    <n v="1"/>
    <n v="80"/>
    <n v="0.2"/>
    <n v="64"/>
    <n v="115"/>
    <x v="30"/>
    <s v="Intime"/>
    <x v="3"/>
    <n v="0"/>
  </r>
  <r>
    <x v="10"/>
    <s v="Gina"/>
    <s v="Moreno"/>
    <n v="36"/>
    <x v="1"/>
    <x v="3"/>
    <s v="gina.moreno@rediffmail.com"/>
    <s v="USS Murray, FPO AP 66559"/>
    <x v="31"/>
    <n v="45182"/>
    <s v="12:42:28"/>
    <x v="1"/>
    <n v="20.7"/>
    <n v="4"/>
    <x v="3"/>
    <n v="1"/>
    <n v="61"/>
    <n v="45184"/>
    <s v="16:13:49"/>
    <n v="2"/>
    <n v="82.8"/>
    <n v="0.2"/>
    <n v="66.239999999999995"/>
    <n v="127.24"/>
    <x v="10"/>
    <s v="Late"/>
    <x v="3"/>
    <n v="126.11199999999999"/>
  </r>
  <r>
    <x v="31"/>
    <s v="Melissa"/>
    <s v="Levy"/>
    <n v="30"/>
    <x v="0"/>
    <x v="7"/>
    <s v="melissa.levy@rediffmail.com"/>
    <s v="3303 Kennedy Springs Suite 830, East Amybury, MI 95595"/>
    <x v="32"/>
    <n v="45320"/>
    <s v="20:47:44"/>
    <x v="6"/>
    <n v="87.09"/>
    <n v="1"/>
    <x v="0"/>
    <n v="1"/>
    <n v="61"/>
    <n v="45321"/>
    <s v="00:16:22"/>
    <n v="1"/>
    <n v="87.09"/>
    <n v="0.1"/>
    <n v="78.381"/>
    <n v="139.381"/>
    <x v="31"/>
    <s v="Intime"/>
    <x v="4"/>
    <n v="158.53"/>
  </r>
  <r>
    <x v="4"/>
    <s v="Amy"/>
    <s v="Ellis"/>
    <n v="44"/>
    <x v="1"/>
    <x v="4"/>
    <s v="amy.ellis@gmail.com"/>
    <s v="217 Scott Ville, Christophermouth, NH 83776"/>
    <x v="33"/>
    <n v="45561"/>
    <s v="09:39:48"/>
    <x v="3"/>
    <n v="44.5"/>
    <n v="2"/>
    <x v="4"/>
    <n v="5"/>
    <n v="52"/>
    <n v="45563"/>
    <s v="06:37:23"/>
    <n v="2"/>
    <n v="89"/>
    <n v="0.15"/>
    <n v="75.650000000000006"/>
    <n v="127.65"/>
    <x v="4"/>
    <s v="BeforeTime"/>
    <x v="3"/>
    <n v="14.9808"/>
  </r>
  <r>
    <x v="32"/>
    <s v="Amy"/>
    <s v="Griffin"/>
    <n v="29"/>
    <x v="0"/>
    <x v="0"/>
    <s v="amy.griffin@rediffmail.com"/>
    <s v="07350 Aaron Meadow Suite 138, Kiaraberg, AL 79545"/>
    <x v="34"/>
    <n v="45681"/>
    <s v="08:19:07"/>
    <x v="4"/>
    <n v="48.45"/>
    <n v="2"/>
    <x v="4"/>
    <n v="7"/>
    <n v="56"/>
    <n v="45687"/>
    <s v="03:55:26"/>
    <n v="6"/>
    <n v="96.9"/>
    <n v="0.15"/>
    <n v="82.365000000000009"/>
    <n v="138.36500000000001"/>
    <x v="32"/>
    <s v="BeforeTime"/>
    <x v="10"/>
    <n v="12.975000000000001"/>
  </r>
  <r>
    <x v="33"/>
    <s v="Robert"/>
    <s v="Castillo"/>
    <n v="32"/>
    <x v="2"/>
    <x v="2"/>
    <s v="robert.castillo@gmail.com"/>
    <s v="7143 Brandon Skyway Suite 899, Tylerton, IA 21756"/>
    <x v="35"/>
    <n v="45199"/>
    <s v="19:28:23"/>
    <x v="0"/>
    <n v="20"/>
    <n v="5"/>
    <x v="4"/>
    <n v="7"/>
    <n v="40"/>
    <n v="45203"/>
    <s v="11:32:19"/>
    <n v="4"/>
    <n v="100"/>
    <n v="0.15"/>
    <n v="85"/>
    <n v="125"/>
    <x v="33"/>
    <s v="BeforeTime"/>
    <x v="11"/>
    <n v="63.055999999999997"/>
  </r>
  <r>
    <x v="3"/>
    <s v="Kara"/>
    <s v="Brennan"/>
    <n v="25"/>
    <x v="1"/>
    <x v="3"/>
    <s v="kara.brennan@outlook.com"/>
    <s v="2174 Thomas Avenue, Maciasborough, NJ 41465"/>
    <x v="36"/>
    <n v="45457"/>
    <s v="18:14:45"/>
    <x v="0"/>
    <n v="20"/>
    <n v="5"/>
    <x v="4"/>
    <n v="6"/>
    <n v="36"/>
    <n v="45463"/>
    <s v="13:20:38"/>
    <n v="6"/>
    <n v="100"/>
    <n v="0.15"/>
    <n v="85"/>
    <n v="121"/>
    <x v="3"/>
    <s v="Intime"/>
    <x v="11"/>
    <n v="0"/>
  </r>
  <r>
    <x v="34"/>
    <s v="Sarah"/>
    <s v="Butler"/>
    <n v="64"/>
    <x v="0"/>
    <x v="6"/>
    <s v="sarah.butler@rediffmail.com"/>
    <s v="14131 Edwin Shore Apt. 190, Deniseberg, MD 90905"/>
    <x v="37"/>
    <n v="45282"/>
    <s v="14:00:27"/>
    <x v="2"/>
    <n v="33.49"/>
    <n v="3"/>
    <x v="4"/>
    <n v="2"/>
    <n v="62"/>
    <n v="45284"/>
    <s v="12:31:34"/>
    <n v="2"/>
    <n v="100.47"/>
    <n v="0.15"/>
    <n v="85.399500000000003"/>
    <n v="147.39949999999999"/>
    <x v="34"/>
    <s v="Intime"/>
    <x v="4"/>
    <n v="144.44399999999999"/>
  </r>
  <r>
    <x v="35"/>
    <s v="Kim"/>
    <s v="Blevins"/>
    <n v="65"/>
    <x v="2"/>
    <x v="4"/>
    <s v="kim.blevins@outlook.com"/>
    <s v="089 Rice Shoal Suite 491, Juarezmouth, MI 88715"/>
    <x v="38"/>
    <n v="45167"/>
    <s v="21:09:31"/>
    <x v="2"/>
    <n v="33.49"/>
    <n v="3"/>
    <x v="0"/>
    <n v="1"/>
    <n v="50"/>
    <n v="45172"/>
    <s v="06:09:19"/>
    <n v="5"/>
    <n v="100.47"/>
    <n v="0.1"/>
    <n v="90.423000000000002"/>
    <n v="140.423"/>
    <x v="35"/>
    <s v="Late"/>
    <x v="7"/>
    <n v="0"/>
  </r>
  <r>
    <x v="24"/>
    <s v="Traci"/>
    <s v="Jones"/>
    <n v="34"/>
    <x v="0"/>
    <x v="4"/>
    <s v="traci.jones@yahoo.com"/>
    <s v="4016 Ryan Passage, Collinsside, PA 88777"/>
    <x v="39"/>
    <n v="45556"/>
    <s v="06:34:00"/>
    <x v="1"/>
    <n v="20.7"/>
    <n v="5"/>
    <x v="1"/>
    <n v="7"/>
    <n v="38"/>
    <n v="45561"/>
    <s v="14:05:20"/>
    <n v="5"/>
    <n v="103.5"/>
    <n v="0"/>
    <n v="103.5"/>
    <n v="103.5"/>
    <x v="24"/>
    <s v="BeforeTime"/>
    <x v="8"/>
    <n v="0"/>
  </r>
  <r>
    <x v="36"/>
    <s v="Angela"/>
    <s v="Horne"/>
    <n v="49"/>
    <x v="1"/>
    <x v="6"/>
    <s v="angela.horne@outlook.com"/>
    <s v="USNV Mueller, FPO AP 54648"/>
    <x v="40"/>
    <n v="45242"/>
    <s v="12:35:46"/>
    <x v="1"/>
    <n v="20.7"/>
    <n v="5"/>
    <x v="1"/>
    <n v="2"/>
    <n v="64"/>
    <n v="45248"/>
    <s v="00:00:51"/>
    <n v="6"/>
    <n v="103.5"/>
    <n v="0"/>
    <n v="103.5"/>
    <n v="103.5"/>
    <x v="36"/>
    <s v="Late"/>
    <x v="4"/>
    <n v="89.42880000000001"/>
  </r>
  <r>
    <x v="37"/>
    <s v="Brian"/>
    <s v="Kennedy"/>
    <n v="69"/>
    <x v="0"/>
    <x v="6"/>
    <s v="brian.kennedy@outlook.com"/>
    <s v="25126 Nancy Fort Suite 568, Alexandrachester, AZ 44823"/>
    <x v="41"/>
    <n v="45213"/>
    <s v="16:10:50"/>
    <x v="1"/>
    <n v="20.7"/>
    <n v="5"/>
    <x v="4"/>
    <n v="7"/>
    <n v="57"/>
    <n v="45218"/>
    <s v="15:21:29"/>
    <n v="5"/>
    <n v="103.5"/>
    <n v="0.15"/>
    <n v="87.974999999999994"/>
    <n v="144.97499999999999"/>
    <x v="37"/>
    <s v="BeforeTime"/>
    <x v="8"/>
    <n v="89.42880000000001"/>
  </r>
  <r>
    <x v="38"/>
    <s v="Brendan"/>
    <s v="Kelly"/>
    <n v="50"/>
    <x v="1"/>
    <x v="2"/>
    <s v="brendan.kelly@rediffmail.com"/>
    <s v="688 Donald Oval Suite 089, Shepardport, CA 50844"/>
    <x v="42"/>
    <n v="45599"/>
    <s v="19:52:34"/>
    <x v="7"/>
    <n v="104.18"/>
    <n v="1"/>
    <x v="2"/>
    <n v="1"/>
    <n v="48"/>
    <n v="45603"/>
    <s v="07:40:09"/>
    <n v="4"/>
    <n v="104.18"/>
    <n v="0.08"/>
    <n v="95.845600000000005"/>
    <n v="143.84559999999999"/>
    <x v="38"/>
    <s v="Late"/>
    <x v="10"/>
    <n v="223.46549999999999"/>
  </r>
  <r>
    <x v="38"/>
    <s v="Brendan"/>
    <s v="Kelly"/>
    <n v="50"/>
    <x v="1"/>
    <x v="2"/>
    <s v="brendan.kelly@rediffmail.com"/>
    <s v="688 Donald Oval Suite 089, Shepardport, CA 50844"/>
    <x v="43"/>
    <n v="45557"/>
    <s v="09:51:24"/>
    <x v="7"/>
    <n v="104.18"/>
    <n v="1"/>
    <x v="2"/>
    <n v="3"/>
    <n v="60"/>
    <n v="45563"/>
    <s v="00:10:27"/>
    <n v="6"/>
    <n v="104.18"/>
    <n v="0.08"/>
    <n v="95.845600000000005"/>
    <n v="155.84559999999999"/>
    <x v="38"/>
    <s v="Late"/>
    <x v="3"/>
    <n v="12.975000000000001"/>
  </r>
  <r>
    <x v="39"/>
    <s v="Hannah"/>
    <s v="Gutierrez"/>
    <n v="55"/>
    <x v="2"/>
    <x v="7"/>
    <s v="hannah.gutierrez@yahoo.com"/>
    <s v="2420 David Manors, Jessicaland, CT 41698"/>
    <x v="44"/>
    <n v="45005"/>
    <s v="15:11:02"/>
    <x v="7"/>
    <n v="104.18"/>
    <n v="1"/>
    <x v="2"/>
    <n v="5"/>
    <n v="37"/>
    <n v="45007"/>
    <s v="14:16:59"/>
    <n v="2"/>
    <n v="104.18"/>
    <n v="0.08"/>
    <n v="95.845600000000005"/>
    <n v="132.84559999999999"/>
    <x v="39"/>
    <s v="BeforeTime"/>
    <x v="1"/>
    <n v="76.040000000000006"/>
  </r>
  <r>
    <x v="40"/>
    <s v="Jenny"/>
    <s v="Estrada"/>
    <n v="45"/>
    <x v="0"/>
    <x v="0"/>
    <s v="jenny.estrada@yahoo.com"/>
    <s v="792 Carlos Islands, West David, CT 16522"/>
    <x v="45"/>
    <n v="45099"/>
    <s v="13:16:36"/>
    <x v="8"/>
    <n v="107.47"/>
    <n v="1"/>
    <x v="0"/>
    <n v="5"/>
    <n v="56"/>
    <n v="45104"/>
    <s v="23:44:01"/>
    <n v="5"/>
    <n v="107.47"/>
    <n v="0.1"/>
    <n v="96.722999999999999"/>
    <n v="152.72300000000001"/>
    <x v="40"/>
    <s v="Intime"/>
    <x v="0"/>
    <n v="38.020000000000003"/>
  </r>
  <r>
    <x v="41"/>
    <s v="Jared"/>
    <s v="Horn"/>
    <n v="43"/>
    <x v="0"/>
    <x v="3"/>
    <s v="jared.horn@outlook.com"/>
    <s v="43325 Barbara Tunnel, Port James, LA 16246"/>
    <x v="46"/>
    <n v="45428"/>
    <s v="15:38:50"/>
    <x v="8"/>
    <n v="107.47"/>
    <n v="1"/>
    <x v="2"/>
    <n v="4"/>
    <n v="36"/>
    <n v="45430"/>
    <s v="12:50:53"/>
    <n v="2"/>
    <n v="107.47"/>
    <n v="0.08"/>
    <n v="98.872399999999999"/>
    <n v="134.8724"/>
    <x v="41"/>
    <s v="BeforeTime"/>
    <x v="5"/>
    <n v="172.57599999999999"/>
  </r>
  <r>
    <x v="42"/>
    <s v="Marcus"/>
    <s v="Rogers"/>
    <n v="36"/>
    <x v="2"/>
    <x v="6"/>
    <s v="marcus.rogers@outlook.com"/>
    <s v="06912 Brown Pine Apt. 763, Teresamouth, HI 24377"/>
    <x v="47"/>
    <n v="45149"/>
    <s v="02:09:48"/>
    <x v="5"/>
    <n v="62.42"/>
    <n v="2"/>
    <x v="4"/>
    <n v="1"/>
    <n v="53"/>
    <n v="45154"/>
    <s v="03:08:52"/>
    <n v="5"/>
    <n v="124.84"/>
    <n v="0.15"/>
    <n v="106.114"/>
    <n v="159.114"/>
    <x v="42"/>
    <s v="Late"/>
    <x v="2"/>
    <n v="50.444799999999994"/>
  </r>
  <r>
    <x v="8"/>
    <s v="Erin"/>
    <s v="Miller"/>
    <n v="46"/>
    <x v="0"/>
    <x v="2"/>
    <s v="erin.miller@gmail.com"/>
    <s v="65972 Peterson Route, Port Andrewfurt, SD 32892"/>
    <x v="48"/>
    <n v="45586"/>
    <s v="07:44:52"/>
    <x v="9"/>
    <n v="126.19"/>
    <n v="1"/>
    <x v="3"/>
    <n v="5"/>
    <n v="68"/>
    <n v="45588"/>
    <s v="00:28:50"/>
    <n v="2"/>
    <n v="126.19"/>
    <n v="0.2"/>
    <n v="100.952"/>
    <n v="168.952"/>
    <x v="8"/>
    <s v="BeforeTime"/>
    <x v="11"/>
    <n v="0"/>
  </r>
  <r>
    <x v="43"/>
    <s v="Anthony"/>
    <s v="Thomas"/>
    <n v="53"/>
    <x v="2"/>
    <x v="0"/>
    <s v="anthony.thomas@rediffmail.com"/>
    <s v="931 Christopher Ways Suite 833, North Michelle, IN 53484"/>
    <x v="49"/>
    <n v="45041"/>
    <s v="04:27:04"/>
    <x v="10"/>
    <n v="128.13999999999999"/>
    <n v="1"/>
    <x v="2"/>
    <n v="7"/>
    <n v="70"/>
    <n v="45045"/>
    <s v="07:38:34"/>
    <n v="4"/>
    <n v="128.13999999999999"/>
    <n v="0.08"/>
    <n v="117.88879999999999"/>
    <n v="187.8888"/>
    <x v="43"/>
    <s v="BeforeTime"/>
    <x v="4"/>
    <n v="4.1399999999999997"/>
  </r>
  <r>
    <x v="44"/>
    <s v="Mike"/>
    <s v="Carter"/>
    <n v="59"/>
    <x v="1"/>
    <x v="2"/>
    <s v="mike.carter@rediffmail.com"/>
    <s v="3971 Ortiz Fields, Lake Jackfort, IA 97132"/>
    <x v="50"/>
    <n v="45251"/>
    <s v="08:35:05"/>
    <x v="10"/>
    <n v="128.13999999999999"/>
    <n v="1"/>
    <x v="0"/>
    <n v="7"/>
    <n v="52"/>
    <n v="45254"/>
    <s v="09:50:44"/>
    <n v="3"/>
    <n v="128.13999999999999"/>
    <n v="0.1"/>
    <n v="115.32599999999999"/>
    <n v="167.32599999999999"/>
    <x v="44"/>
    <s v="BeforeTime"/>
    <x v="8"/>
    <n v="51.900000000000006"/>
  </r>
  <r>
    <x v="45"/>
    <s v="Mark"/>
    <s v="Summers"/>
    <n v="55"/>
    <x v="2"/>
    <x v="7"/>
    <s v="mark.summers@outlook.com"/>
    <s v="08413 Lynch Parkway, Calderonstad, NV 32697"/>
    <x v="51"/>
    <n v="44976"/>
    <s v="04:12:20"/>
    <x v="10"/>
    <n v="128.13999999999999"/>
    <n v="1"/>
    <x v="0"/>
    <n v="1"/>
    <n v="39"/>
    <n v="44982"/>
    <s v="01:46:13"/>
    <n v="6"/>
    <n v="128.13999999999999"/>
    <n v="0.1"/>
    <n v="115.32599999999999"/>
    <n v="154.32599999999999"/>
    <x v="45"/>
    <s v="Late"/>
    <x v="0"/>
    <n v="14.24"/>
  </r>
  <r>
    <x v="46"/>
    <s v="Timothy"/>
    <s v="Hicks"/>
    <n v="31"/>
    <x v="1"/>
    <x v="3"/>
    <s v="timothy.hicks@gmail.com"/>
    <s v="140 Tracy Fields, Lake Cynthiaton, TX 57190"/>
    <x v="52"/>
    <n v="45653"/>
    <s v="01:03:02"/>
    <x v="10"/>
    <n v="128.13999999999999"/>
    <n v="1"/>
    <x v="1"/>
    <n v="3"/>
    <n v="55"/>
    <n v="45655"/>
    <s v="08:40:48"/>
    <n v="2"/>
    <n v="128.13999999999999"/>
    <n v="0"/>
    <n v="128.13999999999999"/>
    <n v="128.13999999999999"/>
    <x v="46"/>
    <s v="BeforeTime"/>
    <x v="10"/>
    <n v="96.10499999999999"/>
  </r>
  <r>
    <x v="47"/>
    <s v="Valerie"/>
    <s v="Carr"/>
    <n v="26"/>
    <x v="1"/>
    <x v="2"/>
    <s v="valerie.carr@rediffmail.com"/>
    <s v="981 Emily Stream, South Brianna, CO 98063"/>
    <x v="53"/>
    <n v="45168"/>
    <s v="14:37:48"/>
    <x v="11"/>
    <n v="129.75"/>
    <n v="1"/>
    <x v="0"/>
    <n v="5"/>
    <n v="70"/>
    <n v="45172"/>
    <s v="09:09:46"/>
    <n v="4"/>
    <n v="129.75"/>
    <n v="0.1"/>
    <n v="116.77500000000001"/>
    <n v="186.77500000000001"/>
    <x v="47"/>
    <s v="BeforeTime"/>
    <x v="5"/>
    <n v="73.805999999999997"/>
  </r>
  <r>
    <x v="33"/>
    <s v="Robert"/>
    <s v="Castillo"/>
    <n v="32"/>
    <x v="2"/>
    <x v="2"/>
    <s v="robert.castillo@gmail.com"/>
    <s v="7143 Brandon Skyway Suite 899, Tylerton, IA 21756"/>
    <x v="54"/>
    <n v="45020"/>
    <s v="01:59:03"/>
    <x v="11"/>
    <n v="129.75"/>
    <n v="1"/>
    <x v="0"/>
    <n v="6"/>
    <n v="43"/>
    <n v="45026"/>
    <s v="12:37:05"/>
    <n v="6"/>
    <n v="129.75"/>
    <n v="0.1"/>
    <n v="116.77500000000001"/>
    <n v="159.77500000000001"/>
    <x v="33"/>
    <s v="Intime"/>
    <x v="11"/>
    <n v="36.363999999999997"/>
  </r>
  <r>
    <x v="48"/>
    <s v="Lauren"/>
    <s v="Long"/>
    <n v="44"/>
    <x v="0"/>
    <x v="1"/>
    <s v="lauren.long@gmail.com"/>
    <s v="258 Michael Brooks Suite 363, Arnoldview, PA 49438"/>
    <x v="55"/>
    <n v="45584"/>
    <s v="20:25:23"/>
    <x v="11"/>
    <n v="129.75"/>
    <n v="1"/>
    <x v="1"/>
    <n v="7"/>
    <n v="44"/>
    <n v="45591"/>
    <s v="11:54:10"/>
    <n v="7"/>
    <n v="129.75"/>
    <n v="0"/>
    <n v="129.75"/>
    <n v="129.75"/>
    <x v="48"/>
    <s v="Intime"/>
    <x v="8"/>
    <n v="0"/>
  </r>
  <r>
    <x v="33"/>
    <s v="Robert"/>
    <s v="Castillo"/>
    <n v="32"/>
    <x v="2"/>
    <x v="2"/>
    <s v="robert.castillo@gmail.com"/>
    <s v="7143 Brandon Skyway Suite 899, Tylerton, IA 21756"/>
    <x v="56"/>
    <n v="45217"/>
    <s v="08:32:59"/>
    <x v="11"/>
    <n v="129.75"/>
    <n v="1"/>
    <x v="2"/>
    <n v="7"/>
    <n v="56"/>
    <n v="45219"/>
    <s v="03:32:40"/>
    <n v="2"/>
    <n v="129.75"/>
    <n v="0.08"/>
    <n v="119.37"/>
    <n v="175.37"/>
    <x v="33"/>
    <s v="BeforeTime"/>
    <x v="10"/>
    <n v="18.725999999999999"/>
  </r>
  <r>
    <x v="49"/>
    <s v="John"/>
    <s v="Herrera"/>
    <n v="64"/>
    <x v="2"/>
    <x v="0"/>
    <s v="john.herrera@outlook.com"/>
    <s v="61263 Jacob Isle, Amandatown, TN 34321"/>
    <x v="57"/>
    <n v="45194"/>
    <s v="08:09:52"/>
    <x v="12"/>
    <n v="132.97"/>
    <n v="1"/>
    <x v="4"/>
    <n v="4"/>
    <n v="55"/>
    <n v="45198"/>
    <s v="00:57:21"/>
    <n v="4"/>
    <n v="132.97"/>
    <n v="0.15"/>
    <n v="113.0245"/>
    <n v="168.02449999999999"/>
    <x v="49"/>
    <s v="Intime"/>
    <x v="8"/>
    <n v="15.524999999999999"/>
  </r>
  <r>
    <x v="48"/>
    <s v="Lauren"/>
    <s v="Long"/>
    <n v="44"/>
    <x v="0"/>
    <x v="1"/>
    <s v="lauren.long@gmail.com"/>
    <s v="258 Michael Brooks Suite 363, Arnoldview, PA 49438"/>
    <x v="58"/>
    <n v="45389"/>
    <s v="21:19:14"/>
    <x v="12"/>
    <n v="132.97"/>
    <n v="1"/>
    <x v="1"/>
    <n v="6"/>
    <n v="57"/>
    <n v="45396"/>
    <s v="17:27:57"/>
    <n v="7"/>
    <n v="132.97"/>
    <n v="0"/>
    <n v="132.97"/>
    <n v="132.97"/>
    <x v="48"/>
    <s v="Late"/>
    <x v="7"/>
    <n v="109.09200000000001"/>
  </r>
  <r>
    <x v="50"/>
    <s v="Regina"/>
    <s v="Hawkins"/>
    <n v="47"/>
    <x v="2"/>
    <x v="6"/>
    <s v="regina.hawkins@rediffmail.com"/>
    <s v="096 Santos Neck Apt. 937, Benjaminmouth, FL 61454"/>
    <x v="59"/>
    <n v="45183"/>
    <s v="06:54:03"/>
    <x v="12"/>
    <n v="132.97"/>
    <n v="1"/>
    <x v="4"/>
    <n v="6"/>
    <n v="37"/>
    <n v="45190"/>
    <s v="01:13:09"/>
    <n v="7"/>
    <n v="132.97"/>
    <n v="0.15"/>
    <n v="113.0245"/>
    <n v="150.02449999999999"/>
    <x v="50"/>
    <s v="Late"/>
    <x v="1"/>
    <n v="171.64200000000002"/>
  </r>
  <r>
    <x v="51"/>
    <s v="Teresa"/>
    <s v="Harvey"/>
    <n v="64"/>
    <x v="1"/>
    <x v="6"/>
    <s v="teresa.harvey@gmail.com"/>
    <s v="02669 Kirk Squares, Davisville, VA 51272"/>
    <x v="60"/>
    <n v="44989"/>
    <s v="13:02:42"/>
    <x v="3"/>
    <n v="44.5"/>
    <n v="3"/>
    <x v="2"/>
    <n v="6"/>
    <n v="46"/>
    <n v="44991"/>
    <s v="06:40:28"/>
    <n v="2"/>
    <n v="133.5"/>
    <n v="0.08"/>
    <n v="122.82"/>
    <n v="168.82"/>
    <x v="51"/>
    <s v="BeforeTime"/>
    <x v="2"/>
    <n v="0"/>
  </r>
  <r>
    <x v="36"/>
    <s v="Angela"/>
    <s v="Horne"/>
    <n v="49"/>
    <x v="1"/>
    <x v="6"/>
    <s v="angela.horne@outlook.com"/>
    <s v="USNV Mueller, FPO AP 54648"/>
    <x v="61"/>
    <n v="45377"/>
    <s v="22:16:48"/>
    <x v="3"/>
    <n v="44.5"/>
    <n v="3"/>
    <x v="3"/>
    <n v="7"/>
    <n v="40"/>
    <n v="45382"/>
    <s v="16:09:18"/>
    <n v="5"/>
    <n v="133.5"/>
    <n v="0.2"/>
    <n v="106.8"/>
    <n v="146.80000000000001"/>
    <x v="36"/>
    <s v="BeforeTime"/>
    <x v="0"/>
    <n v="88.140799999999999"/>
  </r>
  <r>
    <x v="1"/>
    <s v="Thomas"/>
    <s v="Owens"/>
    <n v="34"/>
    <x v="1"/>
    <x v="1"/>
    <s v="thomas.owens@outlook.com"/>
    <s v="43920 Shaffer Valley Suite 531, South Jerry, MD 67120"/>
    <x v="62"/>
    <n v="45595"/>
    <s v="06:46:28"/>
    <x v="13"/>
    <n v="133.62"/>
    <n v="1"/>
    <x v="2"/>
    <n v="1"/>
    <n v="57"/>
    <n v="45602"/>
    <s v="11:47:41"/>
    <n v="7"/>
    <n v="133.62"/>
    <n v="0.08"/>
    <n v="122.93040000000001"/>
    <n v="179.93040000000002"/>
    <x v="1"/>
    <s v="Late"/>
    <x v="5"/>
    <n v="42.17"/>
  </r>
  <r>
    <x v="52"/>
    <s v="Beth"/>
    <s v="Mason"/>
    <n v="45"/>
    <x v="1"/>
    <x v="4"/>
    <s v="beth.mason@outlook.com"/>
    <s v="58998 Sherry Haven, East Richard, FL 90775"/>
    <x v="63"/>
    <n v="45446"/>
    <s v="18:45:41"/>
    <x v="13"/>
    <n v="133.62"/>
    <n v="1"/>
    <x v="4"/>
    <n v="5"/>
    <n v="39"/>
    <n v="45451"/>
    <s v="21:20:42"/>
    <n v="5"/>
    <n v="133.62"/>
    <n v="0.15"/>
    <n v="113.577"/>
    <n v="152.577"/>
    <x v="52"/>
    <s v="Intime"/>
    <x v="7"/>
    <n v="54.502000000000002"/>
  </r>
  <r>
    <x v="53"/>
    <s v="Jason"/>
    <s v="Lopez"/>
    <n v="40"/>
    <x v="1"/>
    <x v="2"/>
    <s v="jason.lopez@outlook.com"/>
    <s v="934 Levine View, Brentport, NE 38210"/>
    <x v="64"/>
    <n v="45033"/>
    <s v="21:07:18"/>
    <x v="13"/>
    <n v="133.62"/>
    <n v="1"/>
    <x v="4"/>
    <n v="5"/>
    <n v="66"/>
    <n v="45037"/>
    <s v="00:38:35"/>
    <n v="4"/>
    <n v="133.62"/>
    <n v="0.15"/>
    <n v="113.577"/>
    <n v="179.577"/>
    <x v="53"/>
    <s v="BeforeTime"/>
    <x v="1"/>
    <n v="42.223199999999999"/>
  </r>
  <r>
    <x v="38"/>
    <s v="Brendan"/>
    <s v="Kelly"/>
    <n v="50"/>
    <x v="1"/>
    <x v="2"/>
    <s v="brendan.kelly@rediffmail.com"/>
    <s v="688 Donald Oval Suite 089, Shepardport, CA 50844"/>
    <x v="65"/>
    <n v="45289"/>
    <s v="08:36:31"/>
    <x v="2"/>
    <n v="33.49"/>
    <n v="4"/>
    <x v="4"/>
    <n v="4"/>
    <n v="67"/>
    <n v="45294"/>
    <s v="19:33:15"/>
    <n v="5"/>
    <n v="133.96"/>
    <n v="0.15"/>
    <n v="113.86600000000001"/>
    <n v="180.86600000000001"/>
    <x v="38"/>
    <s v="Late"/>
    <x v="9"/>
    <n v="102.22499999999999"/>
  </r>
  <r>
    <x v="54"/>
    <s v="Ashley"/>
    <s v="Romero"/>
    <n v="35"/>
    <x v="0"/>
    <x v="6"/>
    <s v="ashley.romero@yahoo.com"/>
    <s v="547 Kerry Expressway, Lake Amanda, AR 20321"/>
    <x v="66"/>
    <n v="45007"/>
    <s v="18:04:56"/>
    <x v="2"/>
    <n v="33.49"/>
    <n v="4"/>
    <x v="3"/>
    <n v="7"/>
    <n v="54"/>
    <n v="45008"/>
    <s v="06:42:40"/>
    <n v="1"/>
    <n v="133.96"/>
    <n v="0.2"/>
    <n v="107.16800000000001"/>
    <n v="161.16800000000001"/>
    <x v="54"/>
    <s v="BeforeTime"/>
    <x v="6"/>
    <n v="88.206000000000003"/>
  </r>
  <r>
    <x v="53"/>
    <s v="Jason"/>
    <s v="Lopez"/>
    <n v="40"/>
    <x v="1"/>
    <x v="2"/>
    <s v="jason.lopez@outlook.com"/>
    <s v="934 Levine View, Brentport, NE 38210"/>
    <x v="67"/>
    <n v="45186"/>
    <s v="10:51:20"/>
    <x v="14"/>
    <n v="136.30000000000001"/>
    <n v="1"/>
    <x v="3"/>
    <n v="4"/>
    <n v="41"/>
    <n v="45189"/>
    <s v="23:53:27"/>
    <n v="3"/>
    <n v="136.30000000000001"/>
    <n v="0.2"/>
    <n v="109.04"/>
    <n v="150.04000000000002"/>
    <x v="53"/>
    <s v="BeforeTime"/>
    <x v="5"/>
    <n v="295.22399999999999"/>
  </r>
  <r>
    <x v="55"/>
    <s v="Barbara"/>
    <s v="Fuller"/>
    <n v="43"/>
    <x v="1"/>
    <x v="7"/>
    <s v="barbara.fuller@rediffmail.com"/>
    <s v="134 Mcintosh Unions Suite 574, Lake Laura, DE 96577"/>
    <x v="68"/>
    <n v="45291"/>
    <s v="10:35:10"/>
    <x v="14"/>
    <n v="136.30000000000001"/>
    <n v="1"/>
    <x v="4"/>
    <n v="1"/>
    <n v="64"/>
    <n v="45296"/>
    <s v="00:12:03"/>
    <n v="5"/>
    <n v="136.30000000000001"/>
    <n v="0.15"/>
    <n v="115.85500000000002"/>
    <n v="179.85500000000002"/>
    <x v="55"/>
    <s v="Late"/>
    <x v="7"/>
    <n v="297.95399999999995"/>
  </r>
  <r>
    <x v="52"/>
    <s v="Beth"/>
    <s v="Mason"/>
    <n v="45"/>
    <x v="1"/>
    <x v="4"/>
    <s v="beth.mason@outlook.com"/>
    <s v="58998 Sherry Haven, East Richard, FL 90775"/>
    <x v="69"/>
    <n v="44987"/>
    <s v="02:36:45"/>
    <x v="14"/>
    <n v="136.30000000000001"/>
    <n v="1"/>
    <x v="2"/>
    <n v="4"/>
    <n v="41"/>
    <n v="44988"/>
    <s v="14:57:01"/>
    <n v="1"/>
    <n v="136.30000000000001"/>
    <n v="0.08"/>
    <n v="125.39600000000002"/>
    <n v="166.39600000000002"/>
    <x v="52"/>
    <s v="BeforeTime"/>
    <x v="8"/>
    <n v="79.454399999999993"/>
  </r>
  <r>
    <x v="22"/>
    <s v="Lauren"/>
    <s v="Lane"/>
    <n v="30"/>
    <x v="0"/>
    <x v="1"/>
    <s v="lauren.lane@gmail.com"/>
    <s v="56985 Sergio Extensions, Port Albert, CO 02898"/>
    <x v="70"/>
    <n v="45420"/>
    <s v="12:38:37"/>
    <x v="4"/>
    <n v="48.45"/>
    <n v="3"/>
    <x v="0"/>
    <n v="2"/>
    <n v="63"/>
    <n v="45422"/>
    <s v="19:14:57"/>
    <n v="2"/>
    <n v="145.35000000000002"/>
    <n v="0.1"/>
    <n v="130.81500000000003"/>
    <n v="193.81500000000003"/>
    <x v="22"/>
    <s v="Intime"/>
    <x v="8"/>
    <n v="0"/>
  </r>
  <r>
    <x v="45"/>
    <s v="Mark"/>
    <s v="Summers"/>
    <n v="55"/>
    <x v="2"/>
    <x v="7"/>
    <s v="mark.summers@outlook.com"/>
    <s v="08413 Lynch Parkway, Calderonstad, NV 32697"/>
    <x v="71"/>
    <n v="45045"/>
    <s v="06:50:14"/>
    <x v="4"/>
    <n v="48.45"/>
    <n v="3"/>
    <x v="1"/>
    <n v="6"/>
    <n v="58"/>
    <n v="45046"/>
    <s v="13:55:34"/>
    <n v="1"/>
    <n v="145.35000000000002"/>
    <n v="0"/>
    <n v="145.35000000000002"/>
    <n v="145.35000000000002"/>
    <x v="45"/>
    <s v="BeforeTime"/>
    <x v="9"/>
    <n v="0"/>
  </r>
  <r>
    <x v="6"/>
    <s v="Lauren"/>
    <s v="Crane"/>
    <n v="62"/>
    <x v="2"/>
    <x v="0"/>
    <s v="lauren.crane@yahoo.com"/>
    <s v="30313 Reyes Parkways Suite 392, Port Bradley, SC 24078"/>
    <x v="72"/>
    <n v="45340"/>
    <s v="01:25:50"/>
    <x v="4"/>
    <n v="48.45"/>
    <n v="3"/>
    <x v="4"/>
    <n v="5"/>
    <n v="42"/>
    <n v="45347"/>
    <s v="18:04:09"/>
    <n v="7"/>
    <n v="145.35000000000002"/>
    <n v="0.15"/>
    <n v="123.54750000000001"/>
    <n v="165.54750000000001"/>
    <x v="6"/>
    <s v="Late"/>
    <x v="0"/>
    <n v="30.888000000000002"/>
  </r>
  <r>
    <x v="39"/>
    <s v="Hannah"/>
    <s v="Gutierrez"/>
    <n v="55"/>
    <x v="2"/>
    <x v="7"/>
    <s v="hannah.gutierrez@yahoo.com"/>
    <s v="2420 David Manors, Jessicaland, CT 41698"/>
    <x v="73"/>
    <n v="45356"/>
    <s v="22:17:42"/>
    <x v="4"/>
    <n v="48.45"/>
    <n v="3"/>
    <x v="3"/>
    <n v="6"/>
    <n v="43"/>
    <n v="45358"/>
    <s v="09:42:50"/>
    <n v="2"/>
    <n v="145.35000000000002"/>
    <n v="0.2"/>
    <n v="116.28000000000002"/>
    <n v="159.28000000000003"/>
    <x v="39"/>
    <s v="BeforeTime"/>
    <x v="9"/>
    <n v="323.58"/>
  </r>
  <r>
    <x v="56"/>
    <s v="Jason"/>
    <s v="Nguyen"/>
    <n v="51"/>
    <x v="1"/>
    <x v="3"/>
    <s v="jason.nguyen@yahoo.com"/>
    <s v="7112 Travis Glens Suite 790, Crystalland, WV 38373"/>
    <x v="74"/>
    <n v="45335"/>
    <s v="12:09:51"/>
    <x v="15"/>
    <n v="77.84"/>
    <n v="2"/>
    <x v="2"/>
    <n v="6"/>
    <n v="36"/>
    <n v="45341"/>
    <s v="05:11:05"/>
    <n v="6"/>
    <n v="155.68"/>
    <n v="0.08"/>
    <n v="143.22560000000001"/>
    <n v="179.22560000000001"/>
    <x v="56"/>
    <s v="Intime"/>
    <x v="7"/>
    <n v="26.724000000000004"/>
  </r>
  <r>
    <x v="57"/>
    <s v="Debra"/>
    <s v="Hayes"/>
    <n v="33"/>
    <x v="0"/>
    <x v="2"/>
    <s v="debra.hayes@yahoo.com"/>
    <s v="4601 Miller Lock, Williamsbury, IA 10943"/>
    <x v="75"/>
    <n v="45060"/>
    <s v="22:42:39"/>
    <x v="16"/>
    <n v="157.63999999999999"/>
    <n v="1"/>
    <x v="0"/>
    <n v="7"/>
    <n v="48"/>
    <n v="45067"/>
    <s v="23:12:16"/>
    <n v="7"/>
    <n v="157.63999999999999"/>
    <n v="0.1"/>
    <n v="141.87599999999998"/>
    <n v="189.87599999999998"/>
    <x v="57"/>
    <s v="Intime"/>
    <x v="6"/>
    <n v="0"/>
  </r>
  <r>
    <x v="58"/>
    <s v="Mary"/>
    <s v="Knight"/>
    <n v="28"/>
    <x v="1"/>
    <x v="5"/>
    <s v="mary.knight@yahoo.com"/>
    <s v="907 Kimberly Hill, Murrayfort, NH 88384"/>
    <x v="76"/>
    <n v="45350"/>
    <s v="08:47:14"/>
    <x v="16"/>
    <n v="157.63999999999999"/>
    <n v="1"/>
    <x v="3"/>
    <n v="1"/>
    <n v="59"/>
    <n v="45356"/>
    <s v="19:25:43"/>
    <n v="6"/>
    <n v="157.63999999999999"/>
    <n v="0.2"/>
    <n v="126.11199999999999"/>
    <n v="185.11199999999999"/>
    <x v="58"/>
    <s v="Late"/>
    <x v="3"/>
    <n v="10.251199999999999"/>
  </r>
  <r>
    <x v="46"/>
    <s v="Timothy"/>
    <s v="Hicks"/>
    <n v="31"/>
    <x v="1"/>
    <x v="3"/>
    <s v="timothy.hicks@gmail.com"/>
    <s v="140 Tracy Fields, Lake Cynthiaton, TX 57190"/>
    <x v="77"/>
    <n v="45525"/>
    <s v="03:10:32"/>
    <x v="16"/>
    <n v="157.63999999999999"/>
    <n v="1"/>
    <x v="3"/>
    <n v="7"/>
    <n v="46"/>
    <n v="45527"/>
    <s v="11:44:11"/>
    <n v="2"/>
    <n v="157.63999999999999"/>
    <n v="0.2"/>
    <n v="126.11199999999999"/>
    <n v="172.11199999999999"/>
    <x v="46"/>
    <s v="BeforeTime"/>
    <x v="5"/>
    <n v="76.403199999999998"/>
  </r>
  <r>
    <x v="36"/>
    <s v="Angela"/>
    <s v="Horne"/>
    <n v="49"/>
    <x v="1"/>
    <x v="6"/>
    <s v="angela.horne@outlook.com"/>
    <s v="USNV Mueller, FPO AP 54648"/>
    <x v="78"/>
    <n v="45391"/>
    <s v="03:23:21"/>
    <x v="17"/>
    <n v="166.28"/>
    <n v="1"/>
    <x v="2"/>
    <n v="2"/>
    <n v="54"/>
    <n v="45395"/>
    <s v="22:10:58"/>
    <n v="4"/>
    <n v="166.28"/>
    <n v="0.08"/>
    <n v="152.9776"/>
    <n v="206.9776"/>
    <x v="36"/>
    <s v="Late"/>
    <x v="2"/>
    <n v="0"/>
  </r>
  <r>
    <x v="52"/>
    <s v="Beth"/>
    <s v="Mason"/>
    <n v="45"/>
    <x v="1"/>
    <x v="4"/>
    <s v="beth.mason@outlook.com"/>
    <s v="58998 Sherry Haven, East Richard, FL 90775"/>
    <x v="79"/>
    <n v="45327"/>
    <s v="12:10:00"/>
    <x v="17"/>
    <n v="166.28"/>
    <n v="1"/>
    <x v="1"/>
    <n v="2"/>
    <n v="38"/>
    <n v="45328"/>
    <s v="09:31:36"/>
    <n v="1"/>
    <n v="166.28"/>
    <n v="0"/>
    <n v="166.28"/>
    <n v="166.28"/>
    <x v="52"/>
    <s v="BeforeTime"/>
    <x v="2"/>
    <n v="192.59200000000001"/>
  </r>
  <r>
    <x v="11"/>
    <s v="Alexandra"/>
    <s v="Smith"/>
    <n v="70"/>
    <x v="0"/>
    <x v="6"/>
    <s v="alexandra.smith@rediffmail.com"/>
    <s v="48611 Clark Village, West Anne, GA 92865"/>
    <x v="80"/>
    <n v="45622"/>
    <s v="15:52:52"/>
    <x v="2"/>
    <n v="33.49"/>
    <n v="5"/>
    <x v="3"/>
    <n v="5"/>
    <n v="64"/>
    <n v="45628"/>
    <s v="22:30:31"/>
    <n v="6"/>
    <n v="167.45000000000002"/>
    <n v="0.2"/>
    <n v="133.96"/>
    <n v="197.96"/>
    <x v="11"/>
    <s v="Late"/>
    <x v="5"/>
    <n v="138.99599999999998"/>
  </r>
  <r>
    <x v="31"/>
    <s v="Melissa"/>
    <s v="Levy"/>
    <n v="30"/>
    <x v="0"/>
    <x v="7"/>
    <s v="melissa.levy@rediffmail.com"/>
    <s v="3303 Kennedy Springs Suite 830, East Amybury, MI 95595"/>
    <x v="81"/>
    <n v="45587"/>
    <s v="12:04:15"/>
    <x v="2"/>
    <n v="33.49"/>
    <n v="5"/>
    <x v="3"/>
    <n v="2"/>
    <n v="58"/>
    <n v="45589"/>
    <s v="05:18:08"/>
    <n v="2"/>
    <n v="167.45000000000002"/>
    <n v="0.2"/>
    <n v="133.96"/>
    <n v="191.96"/>
    <x v="31"/>
    <s v="Intime"/>
    <x v="10"/>
    <n v="80.605999999999995"/>
  </r>
  <r>
    <x v="39"/>
    <s v="Hannah"/>
    <s v="Gutierrez"/>
    <n v="55"/>
    <x v="2"/>
    <x v="7"/>
    <s v="hannah.gutierrez@yahoo.com"/>
    <s v="2420 David Manors, Jessicaland, CT 41698"/>
    <x v="82"/>
    <n v="44982"/>
    <s v="04:59:13"/>
    <x v="6"/>
    <n v="87.09"/>
    <n v="2"/>
    <x v="4"/>
    <n v="3"/>
    <n v="62"/>
    <n v="44987"/>
    <s v="16:22:11"/>
    <n v="5"/>
    <n v="174.18"/>
    <n v="0.15"/>
    <n v="148.053"/>
    <n v="210.053"/>
    <x v="39"/>
    <s v="Late"/>
    <x v="3"/>
    <n v="52.817600000000006"/>
  </r>
  <r>
    <x v="59"/>
    <s v="Brandon"/>
    <s v="Cruz"/>
    <n v="32"/>
    <x v="1"/>
    <x v="4"/>
    <s v="brandon.cruz@gmail.com"/>
    <s v="9296 Villanueva Branch, East Kevin, CO 93912"/>
    <x v="83"/>
    <n v="45006"/>
    <s v="10:05:03"/>
    <x v="6"/>
    <n v="87.09"/>
    <n v="2"/>
    <x v="1"/>
    <n v="4"/>
    <n v="67"/>
    <n v="45010"/>
    <s v="10:06:44"/>
    <n v="4"/>
    <n v="174.18"/>
    <n v="0"/>
    <n v="174.18"/>
    <n v="174.18"/>
    <x v="59"/>
    <s v="Intime"/>
    <x v="5"/>
    <n v="12.484000000000002"/>
  </r>
  <r>
    <x v="26"/>
    <s v="John"/>
    <s v="Ramirez"/>
    <n v="28"/>
    <x v="1"/>
    <x v="3"/>
    <s v="john.ramirez@outlook.com"/>
    <s v="02797 Martin Landing, South Michelle, VT 98781"/>
    <x v="84"/>
    <n v="45365"/>
    <s v="15:34:34"/>
    <x v="3"/>
    <n v="44.5"/>
    <n v="4"/>
    <x v="2"/>
    <n v="2"/>
    <n v="40"/>
    <n v="45368"/>
    <s v="01:12:58"/>
    <n v="3"/>
    <n v="178"/>
    <n v="0.08"/>
    <n v="163.76"/>
    <n v="203.76"/>
    <x v="26"/>
    <s v="Late"/>
    <x v="11"/>
    <n v="66.022000000000006"/>
  </r>
  <r>
    <x v="60"/>
    <s v="Rachael"/>
    <s v="Robinson"/>
    <n v="24"/>
    <x v="1"/>
    <x v="1"/>
    <s v="rachael.robinson@rediffmail.com"/>
    <s v="0889 Brady Points, Port Meganhaven, NM 26553"/>
    <x v="85"/>
    <n v="45525"/>
    <s v="08:45:48"/>
    <x v="3"/>
    <n v="44.5"/>
    <n v="4"/>
    <x v="2"/>
    <n v="5"/>
    <n v="40"/>
    <n v="45531"/>
    <s v="10:48:42"/>
    <n v="6"/>
    <n v="178"/>
    <n v="0.08"/>
    <n v="163.76"/>
    <n v="203.76"/>
    <x v="60"/>
    <s v="Late"/>
    <x v="10"/>
    <n v="7.2675000000000001"/>
  </r>
  <r>
    <x v="61"/>
    <s v="Angela"/>
    <s v="Evans"/>
    <n v="52"/>
    <x v="1"/>
    <x v="0"/>
    <s v="angela.evans@outlook.com"/>
    <s v="16031 David Mountain Suite 431, Susanborough, PA 01910"/>
    <x v="86"/>
    <n v="45501"/>
    <s v="17:02:09"/>
    <x v="3"/>
    <n v="44.5"/>
    <n v="4"/>
    <x v="1"/>
    <n v="3"/>
    <n v="45"/>
    <n v="45504"/>
    <s v="05:55:32"/>
    <n v="3"/>
    <n v="178"/>
    <n v="0"/>
    <n v="178"/>
    <n v="178"/>
    <x v="61"/>
    <s v="Intime"/>
    <x v="11"/>
    <n v="0"/>
  </r>
  <r>
    <x v="18"/>
    <s v="Heather"/>
    <s v="Schneider"/>
    <n v="48"/>
    <x v="2"/>
    <x v="4"/>
    <s v="heather.schneider@outlook.com"/>
    <s v="57940 Susan Creek Apt. 541, Port Aliciamouth, OR 90221"/>
    <x v="87"/>
    <n v="45407"/>
    <s v="01:48:02"/>
    <x v="5"/>
    <n v="62.42"/>
    <n v="3"/>
    <x v="2"/>
    <n v="4"/>
    <n v="36"/>
    <n v="45414"/>
    <s v="09:55:32"/>
    <n v="7"/>
    <n v="187.26"/>
    <n v="0.08"/>
    <n v="172.2792"/>
    <n v="208.2792"/>
    <x v="18"/>
    <s v="Late"/>
    <x v="8"/>
    <n v="99.317999999999998"/>
  </r>
  <r>
    <x v="47"/>
    <s v="Valerie"/>
    <s v="Carr"/>
    <n v="26"/>
    <x v="1"/>
    <x v="2"/>
    <s v="valerie.carr@rediffmail.com"/>
    <s v="981 Emily Stream, South Brianna, CO 98063"/>
    <x v="88"/>
    <n v="45053"/>
    <s v="00:13:11"/>
    <x v="5"/>
    <n v="62.42"/>
    <n v="3"/>
    <x v="4"/>
    <n v="5"/>
    <n v="62"/>
    <n v="45058"/>
    <s v="18:31:17"/>
    <n v="5"/>
    <n v="187.26"/>
    <n v="0.15"/>
    <n v="159.17099999999999"/>
    <n v="221.17099999999999"/>
    <x v="47"/>
    <s v="Intime"/>
    <x v="8"/>
    <n v="9.6900000000000013"/>
  </r>
  <r>
    <x v="45"/>
    <s v="Mark"/>
    <s v="Summers"/>
    <n v="55"/>
    <x v="2"/>
    <x v="7"/>
    <s v="mark.summers@outlook.com"/>
    <s v="08413 Lynch Parkway, Calderonstad, NV 32697"/>
    <x v="89"/>
    <n v="45026"/>
    <s v="22:48:36"/>
    <x v="5"/>
    <n v="62.42"/>
    <n v="3"/>
    <x v="2"/>
    <n v="3"/>
    <n v="37"/>
    <n v="45031"/>
    <s v="11:30:05"/>
    <n v="5"/>
    <n v="187.26"/>
    <n v="0.08"/>
    <n v="172.2792"/>
    <n v="209.2792"/>
    <x v="45"/>
    <s v="Late"/>
    <x v="2"/>
    <n v="0"/>
  </r>
  <r>
    <x v="2"/>
    <s v="Mallory"/>
    <s v="Mitchell"/>
    <n v="42"/>
    <x v="2"/>
    <x v="2"/>
    <s v="mallory.mitchell@yahoo.com"/>
    <s v="710 Anthony Wall Suite 137, East Davidstad, NV 61494"/>
    <x v="90"/>
    <n v="45128"/>
    <s v="02:53:11"/>
    <x v="5"/>
    <n v="62.42"/>
    <n v="3"/>
    <x v="2"/>
    <n v="6"/>
    <n v="39"/>
    <n v="45129"/>
    <s v="03:53:13"/>
    <n v="1"/>
    <n v="187.26"/>
    <n v="0.08"/>
    <n v="172.2792"/>
    <n v="211.2792"/>
    <x v="2"/>
    <s v="BeforeTime"/>
    <x v="4"/>
    <n v="214.55249999999998"/>
  </r>
  <r>
    <x v="3"/>
    <s v="Kara"/>
    <s v="Brennan"/>
    <n v="25"/>
    <x v="1"/>
    <x v="3"/>
    <s v="kara.brennan@outlook.com"/>
    <s v="2174 Thomas Avenue, Maciasborough, NJ 41465"/>
    <x v="91"/>
    <n v="45267"/>
    <s v="14:52:54"/>
    <x v="18"/>
    <n v="190.1"/>
    <n v="1"/>
    <x v="1"/>
    <n v="1"/>
    <n v="70"/>
    <n v="45270"/>
    <s v="15:16:54"/>
    <n v="3"/>
    <n v="190.1"/>
    <n v="0"/>
    <n v="190.1"/>
    <n v="190.1"/>
    <x v="3"/>
    <s v="Late"/>
    <x v="9"/>
    <n v="20.1904"/>
  </r>
  <r>
    <x v="62"/>
    <s v="Thomas"/>
    <s v="Andersen"/>
    <n v="50"/>
    <x v="1"/>
    <x v="3"/>
    <s v="thomas.andersen@yahoo.com"/>
    <s v="480 Summers Lock Suite 819, Sarahborough, IA 59863"/>
    <x v="92"/>
    <n v="44987"/>
    <s v="18:49:59"/>
    <x v="18"/>
    <n v="190.1"/>
    <n v="1"/>
    <x v="3"/>
    <n v="4"/>
    <n v="63"/>
    <n v="44992"/>
    <s v="00:31:21"/>
    <n v="5"/>
    <n v="190.1"/>
    <n v="0.2"/>
    <n v="152.07999999999998"/>
    <n v="215.07999999999998"/>
    <x v="62"/>
    <s v="Late"/>
    <x v="5"/>
    <n v="334.35750000000002"/>
  </r>
  <r>
    <x v="63"/>
    <s v="Joshua"/>
    <s v="Campbell"/>
    <n v="24"/>
    <x v="0"/>
    <x v="7"/>
    <s v="joshua.campbell@gmail.com"/>
    <s v="70426 Lindsey Overpass Apt. 030, Jessicafurt, AR 46269"/>
    <x v="93"/>
    <n v="45206"/>
    <s v="18:29:39"/>
    <x v="18"/>
    <n v="190.1"/>
    <n v="1"/>
    <x v="3"/>
    <n v="3"/>
    <n v="63"/>
    <n v="45207"/>
    <s v="02:01:44"/>
    <n v="1"/>
    <n v="190.1"/>
    <n v="0.2"/>
    <n v="152.07999999999998"/>
    <n v="215.07999999999998"/>
    <x v="63"/>
    <s v="BeforeTime"/>
    <x v="11"/>
    <n v="295.22399999999999"/>
  </r>
  <r>
    <x v="2"/>
    <s v="Mallory"/>
    <s v="Mitchell"/>
    <n v="42"/>
    <x v="2"/>
    <x v="2"/>
    <s v="mallory.mitchell@yahoo.com"/>
    <s v="710 Anthony Wall Suite 137, East Davidstad, NV 61494"/>
    <x v="94"/>
    <n v="45665"/>
    <s v="11:48:17"/>
    <x v="4"/>
    <n v="48.45"/>
    <n v="4"/>
    <x v="0"/>
    <n v="1"/>
    <n v="70"/>
    <n v="45670"/>
    <s v="10:08:54"/>
    <n v="5"/>
    <n v="193.8"/>
    <n v="0.1"/>
    <n v="174.42000000000002"/>
    <n v="244.42000000000002"/>
    <x v="2"/>
    <s v="Late"/>
    <x v="9"/>
    <n v="173.44800000000001"/>
  </r>
  <r>
    <x v="64"/>
    <s v="Karl"/>
    <s v="Gallagher"/>
    <n v="60"/>
    <x v="1"/>
    <x v="6"/>
    <s v="karl.gallagher@rediffmail.com"/>
    <s v="5016 Snow Mountains Apt. 063, New Seanport, WY 41492"/>
    <x v="95"/>
    <n v="45342"/>
    <s v="07:31:36"/>
    <x v="19"/>
    <n v="202.54"/>
    <n v="1"/>
    <x v="4"/>
    <n v="3"/>
    <n v="47"/>
    <n v="45344"/>
    <s v="14:29:50"/>
    <n v="2"/>
    <n v="202.54"/>
    <n v="0.15"/>
    <n v="172.15899999999999"/>
    <n v="219.15899999999999"/>
    <x v="64"/>
    <s v="BeforeTime"/>
    <x v="9"/>
    <n v="188.50400000000002"/>
  </r>
  <r>
    <x v="65"/>
    <s v="Mitchell"/>
    <s v="Parker"/>
    <n v="39"/>
    <x v="1"/>
    <x v="0"/>
    <s v="mitchell.parker@yahoo.com"/>
    <s v="PSC 3316, Box 9303, APO AE 29513"/>
    <x v="96"/>
    <n v="45609"/>
    <s v="00:43:57"/>
    <x v="19"/>
    <n v="202.54"/>
    <n v="1"/>
    <x v="2"/>
    <n v="4"/>
    <n v="48"/>
    <n v="45611"/>
    <s v="04:56:51"/>
    <n v="2"/>
    <n v="202.54"/>
    <n v="0.08"/>
    <n v="186.33679999999998"/>
    <n v="234.33679999999998"/>
    <x v="65"/>
    <s v="BeforeTime"/>
    <x v="9"/>
    <n v="158.53"/>
  </r>
  <r>
    <x v="10"/>
    <s v="Gina"/>
    <s v="Moreno"/>
    <n v="36"/>
    <x v="1"/>
    <x v="3"/>
    <s v="gina.moreno@rediffmail.com"/>
    <s v="USS Murray, FPO AP 66559"/>
    <x v="97"/>
    <n v="45542"/>
    <s v="19:16:28"/>
    <x v="7"/>
    <n v="104.18"/>
    <n v="2"/>
    <x v="1"/>
    <n v="4"/>
    <n v="44"/>
    <n v="45545"/>
    <s v="03:46:23"/>
    <n v="3"/>
    <n v="208.36"/>
    <n v="0"/>
    <n v="208.36"/>
    <n v="208.36"/>
    <x v="10"/>
    <s v="BeforeTime"/>
    <x v="4"/>
    <n v="148.54949999999999"/>
  </r>
  <r>
    <x v="66"/>
    <s v="Lisa"/>
    <s v="Miller"/>
    <n v="70"/>
    <x v="2"/>
    <x v="4"/>
    <s v="lisa.miller@gmail.com"/>
    <s v="89748 Campbell Drive, South Tannerland, WI 13143"/>
    <x v="98"/>
    <n v="45005"/>
    <s v="09:44:25"/>
    <x v="7"/>
    <n v="104.18"/>
    <n v="2"/>
    <x v="2"/>
    <n v="2"/>
    <n v="40"/>
    <n v="45010"/>
    <s v="09:50:58"/>
    <n v="5"/>
    <n v="208.36"/>
    <n v="0.08"/>
    <n v="191.69120000000001"/>
    <n v="231.69120000000001"/>
    <x v="66"/>
    <s v="Late"/>
    <x v="5"/>
    <n v="88.108000000000004"/>
  </r>
  <r>
    <x v="67"/>
    <s v="Amy"/>
    <s v="Reid"/>
    <n v="44"/>
    <x v="2"/>
    <x v="4"/>
    <s v="amy.reid@rediffmail.com"/>
    <s v="6262 Simpson Village, North Danielle, RI 76074"/>
    <x v="99"/>
    <n v="45513"/>
    <s v="11:01:20"/>
    <x v="7"/>
    <n v="104.18"/>
    <n v="2"/>
    <x v="1"/>
    <n v="2"/>
    <n v="57"/>
    <n v="45515"/>
    <s v="12:21:09"/>
    <n v="2"/>
    <n v="208.36"/>
    <n v="0"/>
    <n v="208.36"/>
    <n v="208.36"/>
    <x v="67"/>
    <s v="Intime"/>
    <x v="5"/>
    <n v="123.94799999999998"/>
  </r>
  <r>
    <x v="38"/>
    <s v="Brendan"/>
    <s v="Kelly"/>
    <n v="50"/>
    <x v="1"/>
    <x v="2"/>
    <s v="brendan.kelly@rediffmail.com"/>
    <s v="688 Donald Oval Suite 089, Shepardport, CA 50844"/>
    <x v="100"/>
    <n v="45656"/>
    <s v="21:08:26"/>
    <x v="7"/>
    <n v="104.18"/>
    <n v="2"/>
    <x v="4"/>
    <n v="5"/>
    <n v="65"/>
    <n v="45657"/>
    <s v="09:20:03"/>
    <n v="1"/>
    <n v="208.36"/>
    <n v="0.15"/>
    <n v="177.10600000000002"/>
    <n v="242.10600000000002"/>
    <x v="38"/>
    <s v="BeforeTime"/>
    <x v="8"/>
    <n v="114.6048"/>
  </r>
  <r>
    <x v="39"/>
    <s v="Hannah"/>
    <s v="Gutierrez"/>
    <n v="55"/>
    <x v="2"/>
    <x v="7"/>
    <s v="hannah.gutierrez@yahoo.com"/>
    <s v="2420 David Manors, Jessicaland, CT 41698"/>
    <x v="101"/>
    <n v="45186"/>
    <s v="14:52:37"/>
    <x v="7"/>
    <n v="104.18"/>
    <n v="2"/>
    <x v="2"/>
    <n v="4"/>
    <n v="43"/>
    <n v="45190"/>
    <s v="09:59:33"/>
    <n v="4"/>
    <n v="208.36"/>
    <n v="0.08"/>
    <n v="191.69120000000001"/>
    <n v="234.69120000000001"/>
    <x v="39"/>
    <s v="Intime"/>
    <x v="7"/>
    <n v="0"/>
  </r>
  <r>
    <x v="12"/>
    <s v="Lindsey"/>
    <s v="Byrd"/>
    <n v="32"/>
    <x v="0"/>
    <x v="7"/>
    <s v="lindsey.byrd@rediffmail.com"/>
    <s v="USCGC Harper, FPO AA 38349"/>
    <x v="102"/>
    <n v="45588"/>
    <s v="11:50:19"/>
    <x v="8"/>
    <n v="107.47"/>
    <n v="2"/>
    <x v="4"/>
    <n v="5"/>
    <n v="55"/>
    <n v="45592"/>
    <s v="11:48:40"/>
    <n v="4"/>
    <n v="214.94"/>
    <n v="0.15"/>
    <n v="182.69900000000001"/>
    <n v="237.69900000000001"/>
    <x v="12"/>
    <s v="BeforeTime"/>
    <x v="10"/>
    <n v="118.08959999999999"/>
  </r>
  <r>
    <x v="31"/>
    <s v="Melissa"/>
    <s v="Levy"/>
    <n v="30"/>
    <x v="0"/>
    <x v="7"/>
    <s v="melissa.levy@rediffmail.com"/>
    <s v="3303 Kennedy Springs Suite 830, East Amybury, MI 95595"/>
    <x v="103"/>
    <n v="45406"/>
    <s v="20:32:03"/>
    <x v="20"/>
    <n v="110.95"/>
    <n v="2"/>
    <x v="2"/>
    <n v="4"/>
    <n v="68"/>
    <n v="45408"/>
    <s v="16:26:05"/>
    <n v="2"/>
    <n v="221.9"/>
    <n v="0.08"/>
    <n v="204.148"/>
    <n v="272.14800000000002"/>
    <x v="31"/>
    <s v="BeforeTime"/>
    <x v="9"/>
    <n v="27.260000000000005"/>
  </r>
  <r>
    <x v="7"/>
    <s v="Gregory"/>
    <s v="Lee"/>
    <n v="26"/>
    <x v="1"/>
    <x v="5"/>
    <s v="gregory.lee@rediffmail.com"/>
    <s v="619 Parker Turnpike Apt. 025, West Brucehaven, ID 48437"/>
    <x v="104"/>
    <n v="45389"/>
    <s v="21:47:08"/>
    <x v="20"/>
    <n v="110.95"/>
    <n v="2"/>
    <x v="3"/>
    <n v="3"/>
    <n v="36"/>
    <n v="45394"/>
    <s v="12:42:34"/>
    <n v="5"/>
    <n v="221.9"/>
    <n v="0.2"/>
    <n v="177.52"/>
    <n v="213.52"/>
    <x v="7"/>
    <s v="Late"/>
    <x v="9"/>
    <n v="176.21600000000001"/>
  </r>
  <r>
    <x v="68"/>
    <s v="Troy"/>
    <s v="Gomez"/>
    <n v="68"/>
    <x v="0"/>
    <x v="1"/>
    <s v="troy.gomez@outlook.com"/>
    <s v="7510 Jose Knolls, Candicechester, LA 62815"/>
    <x v="105"/>
    <n v="45007"/>
    <s v="14:35:45"/>
    <x v="3"/>
    <n v="44.5"/>
    <n v="5"/>
    <x v="0"/>
    <n v="4"/>
    <n v="55"/>
    <n v="45012"/>
    <s v="07:09:27"/>
    <n v="5"/>
    <n v="222.5"/>
    <n v="0.1"/>
    <n v="200.25"/>
    <n v="255.25"/>
    <x v="68"/>
    <s v="Late"/>
    <x v="10"/>
    <n v="100.215"/>
  </r>
  <r>
    <x v="69"/>
    <s v="Leslie"/>
    <s v="Montgomery"/>
    <n v="26"/>
    <x v="2"/>
    <x v="7"/>
    <s v="leslie.montgomery@gmail.com"/>
    <s v="135 Teresa Oval Apt. 825, East Katherineport, WY 13714"/>
    <x v="106"/>
    <n v="45226"/>
    <s v="20:10:38"/>
    <x v="21"/>
    <n v="235.63"/>
    <n v="1"/>
    <x v="3"/>
    <n v="2"/>
    <n v="66"/>
    <n v="45233"/>
    <s v="03:43:44"/>
    <n v="7"/>
    <n v="235.63"/>
    <n v="0.2"/>
    <n v="188.50399999999999"/>
    <n v="254.50399999999999"/>
    <x v="69"/>
    <s v="Late"/>
    <x v="2"/>
    <n v="123.55200000000001"/>
  </r>
  <r>
    <x v="27"/>
    <s v="Gary"/>
    <s v="Huff"/>
    <n v="18"/>
    <x v="0"/>
    <x v="5"/>
    <s v="gary.huff@gmail.com"/>
    <s v="58608 Alexander Terrace, South Bryan, SC 85541"/>
    <x v="107"/>
    <n v="45349"/>
    <s v="12:28:28"/>
    <x v="21"/>
    <n v="235.63"/>
    <n v="1"/>
    <x v="2"/>
    <n v="6"/>
    <n v="58"/>
    <n v="45354"/>
    <s v="12:21:43"/>
    <n v="5"/>
    <n v="235.63"/>
    <n v="0.08"/>
    <n v="216.77959999999999"/>
    <n v="274.77959999999996"/>
    <x v="27"/>
    <s v="BeforeTime"/>
    <x v="2"/>
    <n v="92.213999999999999"/>
  </r>
  <r>
    <x v="38"/>
    <s v="Brendan"/>
    <s v="Kelly"/>
    <n v="50"/>
    <x v="1"/>
    <x v="2"/>
    <s v="brendan.kelly@rediffmail.com"/>
    <s v="688 Donald Oval Suite 089, Shepardport, CA 50844"/>
    <x v="108"/>
    <n v="45684"/>
    <s v="20:53:04"/>
    <x v="21"/>
    <n v="235.63"/>
    <n v="1"/>
    <x v="3"/>
    <n v="7"/>
    <n v="46"/>
    <n v="45689"/>
    <s v="00:48:16"/>
    <n v="5"/>
    <n v="235.63"/>
    <n v="0.2"/>
    <n v="188.50399999999999"/>
    <n v="234.50399999999999"/>
    <x v="38"/>
    <s v="BeforeTime"/>
    <x v="3"/>
    <n v="496.59"/>
  </r>
  <r>
    <x v="70"/>
    <s v="Ashley"/>
    <s v="Rose"/>
    <n v="60"/>
    <x v="1"/>
    <x v="6"/>
    <s v="ashley.rose@gmail.com"/>
    <s v="424 Nichols Curve Suite 177, Lake Brianview, TX 17289"/>
    <x v="109"/>
    <n v="45498"/>
    <s v="08:45:23"/>
    <x v="21"/>
    <n v="235.63"/>
    <n v="1"/>
    <x v="0"/>
    <n v="1"/>
    <n v="38"/>
    <n v="45504"/>
    <s v="15:13:07"/>
    <n v="6"/>
    <n v="235.63"/>
    <n v="0.1"/>
    <n v="212.06700000000001"/>
    <n v="250.06700000000001"/>
    <x v="70"/>
    <s v="Late"/>
    <x v="0"/>
    <n v="16.668800000000001"/>
  </r>
  <r>
    <x v="71"/>
    <s v="Susan"/>
    <s v="Thompson"/>
    <n v="37"/>
    <x v="1"/>
    <x v="1"/>
    <s v="susan.thompson@outlook.com"/>
    <s v="47821 William Station, East Ashleymouth, FL 20562"/>
    <x v="110"/>
    <n v="45187"/>
    <s v="20:28:31"/>
    <x v="21"/>
    <n v="235.63"/>
    <n v="1"/>
    <x v="3"/>
    <n v="5"/>
    <n v="59"/>
    <n v="45192"/>
    <s v="22:26:18"/>
    <n v="5"/>
    <n v="235.63"/>
    <n v="0.2"/>
    <n v="188.50399999999999"/>
    <n v="247.50399999999999"/>
    <x v="71"/>
    <s v="Intime"/>
    <x v="3"/>
    <n v="17.752000000000002"/>
  </r>
  <r>
    <x v="61"/>
    <s v="Angela"/>
    <s v="Evans"/>
    <n v="52"/>
    <x v="1"/>
    <x v="0"/>
    <s v="angela.evans@outlook.com"/>
    <s v="16031 David Mountain Suite 431, Susanborough, PA 01910"/>
    <x v="111"/>
    <n v="45269"/>
    <s v="11:10:43"/>
    <x v="21"/>
    <n v="235.63"/>
    <n v="1"/>
    <x v="1"/>
    <n v="6"/>
    <n v="35"/>
    <n v="45272"/>
    <s v="14:43:30"/>
    <n v="3"/>
    <n v="235.63"/>
    <n v="0"/>
    <n v="235.63"/>
    <n v="235.63"/>
    <x v="61"/>
    <s v="BeforeTime"/>
    <x v="5"/>
    <n v="0"/>
  </r>
  <r>
    <x v="72"/>
    <s v="David"/>
    <s v="Delacruz"/>
    <n v="26"/>
    <x v="2"/>
    <x v="4"/>
    <s v="david.delacruz@rediffmail.com"/>
    <s v="USNS Ray, FPO AE 20238"/>
    <x v="112"/>
    <n v="45449"/>
    <s v="18:51:12"/>
    <x v="21"/>
    <n v="235.63"/>
    <n v="1"/>
    <x v="4"/>
    <n v="3"/>
    <n v="55"/>
    <n v="45455"/>
    <s v="01:58:20"/>
    <n v="6"/>
    <n v="235.63"/>
    <n v="0.15"/>
    <n v="200.28550000000001"/>
    <n v="255.28550000000001"/>
    <x v="72"/>
    <s v="Late"/>
    <x v="3"/>
    <n v="205.64800000000002"/>
  </r>
  <r>
    <x v="54"/>
    <s v="Ashley"/>
    <s v="Romero"/>
    <n v="35"/>
    <x v="0"/>
    <x v="6"/>
    <s v="ashley.romero@yahoo.com"/>
    <s v="547 Kerry Expressway, Lake Amanda, AR 20321"/>
    <x v="113"/>
    <n v="45581"/>
    <s v="06:49:56"/>
    <x v="4"/>
    <n v="48.45"/>
    <n v="5"/>
    <x v="0"/>
    <n v="7"/>
    <n v="53"/>
    <n v="45588"/>
    <s v="22:10:44"/>
    <n v="7"/>
    <n v="242.25"/>
    <n v="0.1"/>
    <n v="218.02500000000001"/>
    <n v="271.02499999999998"/>
    <x v="54"/>
    <s v="Intime"/>
    <x v="3"/>
    <n v="152.69200000000001"/>
  </r>
  <r>
    <x v="20"/>
    <s v="Christy"/>
    <s v="Chang"/>
    <n v="38"/>
    <x v="2"/>
    <x v="1"/>
    <s v="christy.chang@outlook.com"/>
    <s v="4647 Hannah Centers, Rhodesburgh, NH 89363"/>
    <x v="114"/>
    <n v="45318"/>
    <s v="18:18:32"/>
    <x v="5"/>
    <n v="62.42"/>
    <n v="4"/>
    <x v="3"/>
    <n v="4"/>
    <n v="37"/>
    <n v="45321"/>
    <s v="10:39:26"/>
    <n v="3"/>
    <n v="249.68"/>
    <n v="0.2"/>
    <n v="199.744"/>
    <n v="236.744"/>
    <x v="20"/>
    <s v="BeforeTime"/>
    <x v="7"/>
    <n v="323.58"/>
  </r>
  <r>
    <x v="67"/>
    <s v="Amy"/>
    <s v="Reid"/>
    <n v="44"/>
    <x v="2"/>
    <x v="4"/>
    <s v="amy.reid@rediffmail.com"/>
    <s v="6262 Simpson Village, North Danielle, RI 76074"/>
    <x v="115"/>
    <n v="45422"/>
    <s v="05:26:44"/>
    <x v="5"/>
    <n v="62.42"/>
    <n v="4"/>
    <x v="4"/>
    <n v="1"/>
    <n v="67"/>
    <n v="45426"/>
    <s v="06:17:48"/>
    <n v="4"/>
    <n v="249.68"/>
    <n v="0.15"/>
    <n v="212.22800000000001"/>
    <n v="279.22800000000001"/>
    <x v="67"/>
    <s v="Late"/>
    <x v="9"/>
    <n v="0"/>
  </r>
  <r>
    <x v="45"/>
    <s v="Mark"/>
    <s v="Summers"/>
    <n v="55"/>
    <x v="2"/>
    <x v="7"/>
    <s v="mark.summers@outlook.com"/>
    <s v="08413 Lynch Parkway, Calderonstad, NV 32697"/>
    <x v="116"/>
    <n v="45414"/>
    <s v="03:43:05"/>
    <x v="5"/>
    <n v="62.42"/>
    <n v="4"/>
    <x v="0"/>
    <n v="6"/>
    <n v="43"/>
    <n v="45420"/>
    <s v="17:57:56"/>
    <n v="6"/>
    <n v="249.68"/>
    <n v="0.1"/>
    <n v="224.71199999999999"/>
    <n v="267.71199999999999"/>
    <x v="45"/>
    <s v="Intime"/>
    <x v="10"/>
    <n v="81.015999999999991"/>
  </r>
  <r>
    <x v="73"/>
    <s v="Brittany"/>
    <s v="Stewart"/>
    <n v="68"/>
    <x v="1"/>
    <x v="1"/>
    <s v="brittany.stewart@gmail.com"/>
    <s v="6250 David Loaf Suite 561, North Pamelaberg, WV 63652"/>
    <x v="117"/>
    <n v="45590"/>
    <s v="20:38:05"/>
    <x v="5"/>
    <n v="62.42"/>
    <n v="4"/>
    <x v="1"/>
    <n v="4"/>
    <n v="37"/>
    <n v="45597"/>
    <s v="02:58:16"/>
    <n v="7"/>
    <n v="249.68"/>
    <n v="0"/>
    <n v="249.68"/>
    <n v="249.68"/>
    <x v="73"/>
    <s v="Late"/>
    <x v="3"/>
    <n v="102.82400000000001"/>
  </r>
  <r>
    <x v="61"/>
    <s v="Angela"/>
    <s v="Evans"/>
    <n v="52"/>
    <x v="1"/>
    <x v="0"/>
    <s v="angela.evans@outlook.com"/>
    <s v="16031 David Mountain Suite 431, Susanborough, PA 01910"/>
    <x v="118"/>
    <n v="45146"/>
    <s v="19:13:06"/>
    <x v="9"/>
    <n v="126.19"/>
    <n v="2"/>
    <x v="1"/>
    <n v="3"/>
    <n v="63"/>
    <n v="45150"/>
    <s v="04:38:19"/>
    <n v="4"/>
    <n v="252.38"/>
    <n v="0"/>
    <n v="252.38"/>
    <n v="252.38"/>
    <x v="61"/>
    <s v="Late"/>
    <x v="4"/>
    <n v="2"/>
  </r>
  <r>
    <x v="26"/>
    <s v="John"/>
    <s v="Ramirez"/>
    <n v="28"/>
    <x v="1"/>
    <x v="3"/>
    <s v="john.ramirez@outlook.com"/>
    <s v="02797 Martin Landing, South Michelle, VT 98781"/>
    <x v="119"/>
    <n v="45495"/>
    <s v="03:34:35"/>
    <x v="9"/>
    <n v="126.19"/>
    <n v="2"/>
    <x v="2"/>
    <n v="7"/>
    <n v="48"/>
    <n v="45496"/>
    <s v="00:26:45"/>
    <n v="1"/>
    <n v="252.38"/>
    <n v="0.08"/>
    <n v="232.18959999999998"/>
    <n v="280.18959999999998"/>
    <x v="26"/>
    <s v="BeforeTime"/>
    <x v="6"/>
    <n v="0"/>
  </r>
  <r>
    <x v="45"/>
    <s v="Mark"/>
    <s v="Summers"/>
    <n v="55"/>
    <x v="2"/>
    <x v="7"/>
    <s v="mark.summers@outlook.com"/>
    <s v="08413 Lynch Parkway, Calderonstad, NV 32697"/>
    <x v="120"/>
    <n v="45168"/>
    <s v="19:46:32"/>
    <x v="9"/>
    <n v="126.19"/>
    <n v="2"/>
    <x v="1"/>
    <n v="5"/>
    <n v="59"/>
    <n v="45174"/>
    <s v="23:22:12"/>
    <n v="6"/>
    <n v="252.38"/>
    <n v="0"/>
    <n v="252.38"/>
    <n v="252.38"/>
    <x v="45"/>
    <s v="Late"/>
    <x v="0"/>
    <n v="0"/>
  </r>
  <r>
    <x v="52"/>
    <s v="Beth"/>
    <s v="Mason"/>
    <n v="45"/>
    <x v="1"/>
    <x v="4"/>
    <s v="beth.mason@outlook.com"/>
    <s v="58998 Sherry Haven, East Richard, FL 90775"/>
    <x v="121"/>
    <n v="45190"/>
    <s v="01:16:23"/>
    <x v="9"/>
    <n v="126.19"/>
    <n v="2"/>
    <x v="3"/>
    <n v="4"/>
    <n v="67"/>
    <n v="45196"/>
    <s v="21:24:42"/>
    <n v="6"/>
    <n v="252.38"/>
    <n v="0.2"/>
    <n v="201.904"/>
    <n v="268.904"/>
    <x v="52"/>
    <s v="Late"/>
    <x v="9"/>
    <n v="38.5184"/>
  </r>
  <r>
    <x v="43"/>
    <s v="Anthony"/>
    <s v="Thomas"/>
    <n v="53"/>
    <x v="2"/>
    <x v="0"/>
    <s v="anthony.thomas@rediffmail.com"/>
    <s v="931 Christopher Ways Suite 833, North Michelle, IN 53484"/>
    <x v="122"/>
    <n v="45186"/>
    <s v="13:33:00"/>
    <x v="22"/>
    <n v="257.06"/>
    <n v="1"/>
    <x v="3"/>
    <n v="5"/>
    <n v="64"/>
    <n v="45188"/>
    <s v="16:40:47"/>
    <n v="2"/>
    <n v="257.06"/>
    <n v="0.2"/>
    <n v="205.648"/>
    <n v="269.64800000000002"/>
    <x v="43"/>
    <s v="BeforeTime"/>
    <x v="1"/>
    <n v="12.454400000000001"/>
  </r>
  <r>
    <x v="39"/>
    <s v="Hannah"/>
    <s v="Gutierrez"/>
    <n v="55"/>
    <x v="2"/>
    <x v="7"/>
    <s v="hannah.gutierrez@yahoo.com"/>
    <s v="2420 David Manors, Jessicaland, CT 41698"/>
    <x v="123"/>
    <n v="45421"/>
    <s v="05:46:53"/>
    <x v="22"/>
    <n v="257.06"/>
    <n v="1"/>
    <x v="3"/>
    <n v="4"/>
    <n v="42"/>
    <n v="45423"/>
    <s v="01:30:58"/>
    <n v="2"/>
    <n v="257.06"/>
    <n v="0.2"/>
    <n v="205.648"/>
    <n v="247.648"/>
    <x v="39"/>
    <s v="BeforeTime"/>
    <x v="4"/>
    <n v="27.260000000000005"/>
  </r>
  <r>
    <x v="33"/>
    <s v="Robert"/>
    <s v="Castillo"/>
    <n v="32"/>
    <x v="2"/>
    <x v="2"/>
    <s v="robert.castillo@gmail.com"/>
    <s v="7143 Brandon Skyway Suite 899, Tylerton, IA 21756"/>
    <x v="124"/>
    <n v="45257"/>
    <s v="17:54:41"/>
    <x v="22"/>
    <n v="257.06"/>
    <n v="1"/>
    <x v="2"/>
    <n v="3"/>
    <n v="47"/>
    <n v="45259"/>
    <s v="08:42:42"/>
    <n v="2"/>
    <n v="257.06"/>
    <n v="0.08"/>
    <n v="236.49520000000001"/>
    <n v="283.49520000000001"/>
    <x v="33"/>
    <s v="BeforeTime"/>
    <x v="8"/>
    <n v="101.9568"/>
  </r>
  <r>
    <x v="16"/>
    <s v="Donna"/>
    <s v="Oneill"/>
    <n v="70"/>
    <x v="0"/>
    <x v="2"/>
    <s v="donna.oneill@yahoo.com"/>
    <s v="464 Carolyn Crest Suite 738, Lake Isaiah, CA 66153"/>
    <x v="125"/>
    <n v="45224"/>
    <s v="07:52:23"/>
    <x v="11"/>
    <n v="129.75"/>
    <n v="2"/>
    <x v="3"/>
    <n v="5"/>
    <n v="42"/>
    <n v="45227"/>
    <s v="17:14:10"/>
    <n v="3"/>
    <n v="259.5"/>
    <n v="0.2"/>
    <n v="207.6"/>
    <n v="249.6"/>
    <x v="16"/>
    <s v="BeforeTime"/>
    <x v="5"/>
    <n v="27.260000000000005"/>
  </r>
  <r>
    <x v="74"/>
    <s v="Courtney"/>
    <s v="Parker"/>
    <n v="29"/>
    <x v="1"/>
    <x v="4"/>
    <s v="courtney.parker@yahoo.com"/>
    <s v="087 Jacqueline Rue Apt. 694, East Tasha, SC 04859"/>
    <x v="126"/>
    <n v="45616"/>
    <s v="14:57:23"/>
    <x v="11"/>
    <n v="129.75"/>
    <n v="2"/>
    <x v="1"/>
    <n v="4"/>
    <n v="53"/>
    <n v="45620"/>
    <s v="09:49:51"/>
    <n v="4"/>
    <n v="259.5"/>
    <n v="0"/>
    <n v="259.5"/>
    <n v="259.5"/>
    <x v="74"/>
    <s v="Intime"/>
    <x v="7"/>
    <n v="258.86399999999998"/>
  </r>
  <r>
    <x v="53"/>
    <s v="Jason"/>
    <s v="Lopez"/>
    <n v="40"/>
    <x v="1"/>
    <x v="2"/>
    <s v="jason.lopez@outlook.com"/>
    <s v="934 Levine View, Brentport, NE 38210"/>
    <x v="127"/>
    <n v="45285"/>
    <s v="14:59:43"/>
    <x v="11"/>
    <n v="129.75"/>
    <n v="2"/>
    <x v="4"/>
    <n v="1"/>
    <n v="62"/>
    <n v="45290"/>
    <s v="06:29:31"/>
    <n v="5"/>
    <n v="259.5"/>
    <n v="0.15"/>
    <n v="220.57499999999999"/>
    <n v="282.57499999999999"/>
    <x v="53"/>
    <s v="Late"/>
    <x v="6"/>
    <n v="132.97"/>
  </r>
  <r>
    <x v="75"/>
    <s v="Aaron"/>
    <s v="Thompson"/>
    <n v="47"/>
    <x v="2"/>
    <x v="4"/>
    <s v="aaron.thompson@gmail.com"/>
    <s v="PSC 0550, Box 2737, APO AE 75772"/>
    <x v="128"/>
    <n v="45529"/>
    <s v="21:05:38"/>
    <x v="11"/>
    <n v="129.75"/>
    <n v="2"/>
    <x v="3"/>
    <n v="5"/>
    <n v="47"/>
    <n v="45532"/>
    <s v="17:28:07"/>
    <n v="3"/>
    <n v="259.5"/>
    <n v="0.2"/>
    <n v="207.6"/>
    <n v="254.6"/>
    <x v="75"/>
    <s v="BeforeTime"/>
    <x v="11"/>
    <n v="0"/>
  </r>
  <r>
    <x v="76"/>
    <s v="Sarah"/>
    <s v="Benson"/>
    <n v="40"/>
    <x v="1"/>
    <x v="1"/>
    <s v="sarah.benson@outlook.com"/>
    <s v="5399 Hayes Well, West Pennystad, IL 93798"/>
    <x v="129"/>
    <n v="45573"/>
    <s v="03:11:02"/>
    <x v="12"/>
    <n v="132.97"/>
    <n v="2"/>
    <x v="0"/>
    <n v="6"/>
    <n v="69"/>
    <n v="45578"/>
    <s v="19:39:57"/>
    <n v="5"/>
    <n v="265.94"/>
    <n v="0.1"/>
    <n v="239.346"/>
    <n v="308.346"/>
    <x v="76"/>
    <s v="BeforeTime"/>
    <x v="8"/>
    <n v="81.016000000000005"/>
  </r>
  <r>
    <x v="63"/>
    <s v="Joshua"/>
    <s v="Campbell"/>
    <n v="24"/>
    <x v="0"/>
    <x v="7"/>
    <s v="joshua.campbell@gmail.com"/>
    <s v="70426 Lindsey Overpass Apt. 030, Jessicafurt, AR 46269"/>
    <x v="130"/>
    <n v="45485"/>
    <s v="00:24:43"/>
    <x v="12"/>
    <n v="132.97"/>
    <n v="2"/>
    <x v="4"/>
    <n v="4"/>
    <n v="40"/>
    <n v="45487"/>
    <s v="08:45:35"/>
    <n v="2"/>
    <n v="265.94"/>
    <n v="0.15"/>
    <n v="226.04900000000001"/>
    <n v="266.04899999999998"/>
    <x v="63"/>
    <s v="BeforeTime"/>
    <x v="1"/>
    <n v="27.260000000000005"/>
  </r>
  <r>
    <x v="37"/>
    <s v="Brian"/>
    <s v="Kennedy"/>
    <n v="69"/>
    <x v="0"/>
    <x v="6"/>
    <s v="brian.kennedy@outlook.com"/>
    <s v="25126 Nancy Fort Suite 568, Alexandrachester, AZ 44823"/>
    <x v="131"/>
    <n v="45650"/>
    <s v="23:34:28"/>
    <x v="13"/>
    <n v="133.62"/>
    <n v="2"/>
    <x v="0"/>
    <n v="4"/>
    <n v="50"/>
    <n v="45651"/>
    <s v="02:05:20"/>
    <n v="1"/>
    <n v="267.24"/>
    <n v="0.1"/>
    <n v="240.51600000000002"/>
    <n v="290.51600000000002"/>
    <x v="37"/>
    <s v="BeforeTime"/>
    <x v="6"/>
    <n v="0"/>
  </r>
  <r>
    <x v="56"/>
    <s v="Jason"/>
    <s v="Nguyen"/>
    <n v="51"/>
    <x v="1"/>
    <x v="3"/>
    <s v="jason.nguyen@yahoo.com"/>
    <s v="7112 Travis Glens Suite 790, Crystalland, WV 38373"/>
    <x v="132"/>
    <n v="45010"/>
    <s v="02:27:18"/>
    <x v="13"/>
    <n v="133.62"/>
    <n v="2"/>
    <x v="2"/>
    <n v="1"/>
    <n v="48"/>
    <n v="45015"/>
    <s v="04:48:38"/>
    <n v="5"/>
    <n v="267.24"/>
    <n v="0.08"/>
    <n v="245.86080000000001"/>
    <n v="293.86080000000004"/>
    <x v="56"/>
    <s v="Late"/>
    <x v="7"/>
    <n v="161.21199999999999"/>
  </r>
  <r>
    <x v="53"/>
    <s v="Jason"/>
    <s v="Lopez"/>
    <n v="40"/>
    <x v="1"/>
    <x v="2"/>
    <s v="jason.lopez@outlook.com"/>
    <s v="934 Levine View, Brentport, NE 38210"/>
    <x v="133"/>
    <n v="45058"/>
    <s v="17:53:01"/>
    <x v="13"/>
    <n v="133.62"/>
    <n v="2"/>
    <x v="0"/>
    <n v="4"/>
    <n v="36"/>
    <n v="45059"/>
    <s v="05:26:03"/>
    <n v="1"/>
    <n v="267.24"/>
    <n v="0.1"/>
    <n v="240.51600000000002"/>
    <n v="276.51600000000002"/>
    <x v="53"/>
    <s v="BeforeTime"/>
    <x v="1"/>
    <n v="190.10000000000002"/>
  </r>
  <r>
    <x v="77"/>
    <s v="Kelli"/>
    <s v="Smith"/>
    <n v="18"/>
    <x v="2"/>
    <x v="0"/>
    <s v="kelli.smith@rediffmail.com"/>
    <s v="788 Kristina Lane, Montoyaside, VA 90756"/>
    <x v="134"/>
    <n v="45178"/>
    <s v="16:35:28"/>
    <x v="13"/>
    <n v="133.62"/>
    <n v="2"/>
    <x v="2"/>
    <n v="2"/>
    <n v="48"/>
    <n v="45184"/>
    <s v="07:06:38"/>
    <n v="6"/>
    <n v="267.24"/>
    <n v="0.08"/>
    <n v="245.86080000000001"/>
    <n v="293.86080000000004"/>
    <x v="77"/>
    <s v="Late"/>
    <x v="5"/>
    <n v="0"/>
  </r>
  <r>
    <x v="49"/>
    <s v="John"/>
    <s v="Herrera"/>
    <n v="64"/>
    <x v="2"/>
    <x v="0"/>
    <s v="john.herrera@outlook.com"/>
    <s v="61263 Jacob Isle, Amandatown, TN 34321"/>
    <x v="135"/>
    <n v="45629"/>
    <s v="09:15:50"/>
    <x v="23"/>
    <n v="272.51"/>
    <n v="1"/>
    <x v="3"/>
    <n v="4"/>
    <n v="43"/>
    <n v="45630"/>
    <s v="09:05:06"/>
    <n v="1"/>
    <n v="272.51"/>
    <n v="0.2"/>
    <n v="218.00799999999998"/>
    <n v="261.00799999999998"/>
    <x v="49"/>
    <s v="BeforeTime"/>
    <x v="8"/>
    <n v="47.126000000000005"/>
  </r>
  <r>
    <x v="37"/>
    <s v="Brian"/>
    <s v="Kennedy"/>
    <n v="69"/>
    <x v="0"/>
    <x v="6"/>
    <s v="brian.kennedy@outlook.com"/>
    <s v="25126 Nancy Fort Suite 568, Alexandrachester, AZ 44823"/>
    <x v="136"/>
    <n v="45484"/>
    <s v="21:12:50"/>
    <x v="14"/>
    <n v="136.30000000000001"/>
    <n v="2"/>
    <x v="0"/>
    <n v="1"/>
    <n v="54"/>
    <n v="45485"/>
    <s v="09:07:45"/>
    <n v="1"/>
    <n v="272.60000000000002"/>
    <n v="0.1"/>
    <n v="245.34000000000003"/>
    <n v="299.34000000000003"/>
    <x v="37"/>
    <s v="Intime"/>
    <x v="11"/>
    <n v="346.89600000000002"/>
  </r>
  <r>
    <x v="24"/>
    <s v="Traci"/>
    <s v="Jones"/>
    <n v="34"/>
    <x v="0"/>
    <x v="4"/>
    <s v="traci.jones@yahoo.com"/>
    <s v="4016 Ryan Passage, Collinsside, PA 88777"/>
    <x v="137"/>
    <n v="45667"/>
    <s v="01:24:01"/>
    <x v="14"/>
    <n v="136.30000000000001"/>
    <n v="2"/>
    <x v="0"/>
    <n v="3"/>
    <n v="68"/>
    <n v="45674"/>
    <s v="16:29:02"/>
    <n v="7"/>
    <n v="272.60000000000002"/>
    <n v="0.1"/>
    <n v="245.34000000000003"/>
    <n v="313.34000000000003"/>
    <x v="24"/>
    <s v="Late"/>
    <x v="1"/>
    <n v="0"/>
  </r>
  <r>
    <x v="19"/>
    <s v="Marcus"/>
    <s v="Valenzuela"/>
    <n v="39"/>
    <x v="0"/>
    <x v="6"/>
    <s v="marcus.valenzuela@yahoo.com"/>
    <s v="694 Graham Prairie Apt. 887, Jimenezfurt, MI 33044"/>
    <x v="138"/>
    <n v="45689"/>
    <s v="10:44:36"/>
    <x v="14"/>
    <n v="136.30000000000001"/>
    <n v="2"/>
    <x v="0"/>
    <n v="2"/>
    <n v="51"/>
    <n v="45694"/>
    <s v="23:51:56"/>
    <n v="5"/>
    <n v="272.60000000000002"/>
    <n v="0.1"/>
    <n v="245.34000000000003"/>
    <n v="296.34000000000003"/>
    <x v="19"/>
    <s v="Late"/>
    <x v="9"/>
    <n v="0"/>
  </r>
  <r>
    <x v="10"/>
    <s v="Gina"/>
    <s v="Moreno"/>
    <n v="36"/>
    <x v="1"/>
    <x v="3"/>
    <s v="gina.moreno@rediffmail.com"/>
    <s v="USS Murray, FPO AP 66559"/>
    <x v="139"/>
    <n v="45549"/>
    <s v="03:29:39"/>
    <x v="14"/>
    <n v="136.30000000000001"/>
    <n v="2"/>
    <x v="3"/>
    <n v="7"/>
    <n v="51"/>
    <n v="45550"/>
    <s v="23:33:34"/>
    <n v="1"/>
    <n v="272.60000000000002"/>
    <n v="0.2"/>
    <n v="218.08"/>
    <n v="269.08000000000004"/>
    <x v="10"/>
    <s v="BeforeTime"/>
    <x v="7"/>
    <n v="61.694400000000009"/>
  </r>
  <r>
    <x v="29"/>
    <s v="Julie"/>
    <s v="Meyer"/>
    <n v="23"/>
    <x v="0"/>
    <x v="6"/>
    <s v="julie.meyer@yahoo.com"/>
    <s v="17381 Smith Ramp Suite 398, Courtneyville, AL 17756"/>
    <x v="140"/>
    <n v="45504"/>
    <s v="04:53:37"/>
    <x v="14"/>
    <n v="136.30000000000001"/>
    <n v="2"/>
    <x v="0"/>
    <n v="3"/>
    <n v="47"/>
    <n v="45511"/>
    <s v="07:56:46"/>
    <n v="7"/>
    <n v="272.60000000000002"/>
    <n v="0.1"/>
    <n v="245.34000000000003"/>
    <n v="292.34000000000003"/>
    <x v="29"/>
    <s v="Late"/>
    <x v="4"/>
    <n v="66.569999999999993"/>
  </r>
  <r>
    <x v="14"/>
    <s v="Angela"/>
    <s v="Casey"/>
    <n v="40"/>
    <x v="0"/>
    <x v="5"/>
    <s v="angela.casey@gmail.com"/>
    <s v="089 Farley Terrace, Thomashaven, MT 56607"/>
    <x v="141"/>
    <n v="45531"/>
    <s v="22:46:20"/>
    <x v="14"/>
    <n v="136.30000000000001"/>
    <n v="2"/>
    <x v="2"/>
    <n v="6"/>
    <n v="58"/>
    <n v="45533"/>
    <s v="15:31:26"/>
    <n v="2"/>
    <n v="272.60000000000002"/>
    <n v="0.08"/>
    <n v="250.79200000000003"/>
    <n v="308.79200000000003"/>
    <x v="14"/>
    <s v="BeforeTime"/>
    <x v="11"/>
    <n v="192.59200000000001"/>
  </r>
  <r>
    <x v="2"/>
    <s v="Mallory"/>
    <s v="Mitchell"/>
    <n v="42"/>
    <x v="2"/>
    <x v="2"/>
    <s v="mallory.mitchell@yahoo.com"/>
    <s v="710 Anthony Wall Suite 137, East Davidstad, NV 61494"/>
    <x v="142"/>
    <n v="45541"/>
    <s v="21:59:14"/>
    <x v="14"/>
    <n v="136.30000000000001"/>
    <n v="2"/>
    <x v="3"/>
    <n v="2"/>
    <n v="45"/>
    <n v="45546"/>
    <s v="00:34:58"/>
    <n v="5"/>
    <n v="272.60000000000002"/>
    <n v="0.2"/>
    <n v="218.08"/>
    <n v="263.08000000000004"/>
    <x v="2"/>
    <s v="Late"/>
    <x v="8"/>
    <n v="233.72"/>
  </r>
  <r>
    <x v="19"/>
    <s v="Marcus"/>
    <s v="Valenzuela"/>
    <n v="39"/>
    <x v="0"/>
    <x v="6"/>
    <s v="marcus.valenzuela@yahoo.com"/>
    <s v="694 Graham Prairie Apt. 887, Jimenezfurt, MI 33044"/>
    <x v="143"/>
    <n v="45040"/>
    <s v="12:07:00"/>
    <x v="24"/>
    <n v="275.44"/>
    <n v="1"/>
    <x v="2"/>
    <n v="7"/>
    <n v="63"/>
    <n v="45042"/>
    <s v="23:05:41"/>
    <n v="2"/>
    <n v="275.44"/>
    <n v="0.08"/>
    <n v="253.40479999999999"/>
    <n v="316.40480000000002"/>
    <x v="19"/>
    <s v="BeforeTime"/>
    <x v="4"/>
    <n v="15"/>
  </r>
  <r>
    <x v="60"/>
    <s v="Rachael"/>
    <s v="Robinson"/>
    <n v="24"/>
    <x v="1"/>
    <x v="1"/>
    <s v="rachael.robinson@rediffmail.com"/>
    <s v="0889 Brady Points, Port Meganhaven, NM 26553"/>
    <x v="144"/>
    <n v="45207"/>
    <s v="18:41:53"/>
    <x v="25"/>
    <n v="282.63"/>
    <n v="1"/>
    <x v="1"/>
    <n v="5"/>
    <n v="45"/>
    <n v="45214"/>
    <s v="19:58:13"/>
    <n v="7"/>
    <n v="282.63"/>
    <n v="0"/>
    <n v="282.63"/>
    <n v="282.63"/>
    <x v="60"/>
    <s v="Late"/>
    <x v="5"/>
    <n v="121.5"/>
  </r>
  <r>
    <x v="6"/>
    <s v="Lauren"/>
    <s v="Crane"/>
    <n v="62"/>
    <x v="2"/>
    <x v="0"/>
    <s v="lauren.crane@yahoo.com"/>
    <s v="30313 Reyes Parkways Suite 392, Port Bradley, SC 24078"/>
    <x v="145"/>
    <n v="45429"/>
    <s v="15:44:41"/>
    <x v="26"/>
    <n v="286.07"/>
    <n v="1"/>
    <x v="1"/>
    <n v="4"/>
    <n v="43"/>
    <n v="45434"/>
    <s v="03:08:53"/>
    <n v="5"/>
    <n v="286.07"/>
    <n v="0"/>
    <n v="286.07"/>
    <n v="286.07"/>
    <x v="6"/>
    <s v="Late"/>
    <x v="8"/>
    <n v="24.225000000000001"/>
  </r>
  <r>
    <x v="72"/>
    <s v="David"/>
    <s v="Delacruz"/>
    <n v="26"/>
    <x v="2"/>
    <x v="4"/>
    <s v="david.delacruz@rediffmail.com"/>
    <s v="USNS Ray, FPO AE 20238"/>
    <x v="146"/>
    <n v="45359"/>
    <s v="05:45:27"/>
    <x v="27"/>
    <n v="292.14999999999998"/>
    <n v="1"/>
    <x v="3"/>
    <n v="5"/>
    <n v="57"/>
    <n v="45365"/>
    <s v="16:20:46"/>
    <n v="6"/>
    <n v="292.14999999999998"/>
    <n v="0.2"/>
    <n v="233.71999999999997"/>
    <n v="290.71999999999997"/>
    <x v="72"/>
    <s v="Late"/>
    <x v="11"/>
    <n v="16.203199999999999"/>
  </r>
  <r>
    <x v="78"/>
    <s v="Anne"/>
    <s v="Oconnell"/>
    <n v="37"/>
    <x v="0"/>
    <x v="6"/>
    <s v="anne.oconnell@outlook.com"/>
    <s v="2850 Matthew Ford, North Yolandachester, FL 67488"/>
    <x v="147"/>
    <n v="45567"/>
    <s v="19:49:32"/>
    <x v="28"/>
    <n v="308.88"/>
    <n v="1"/>
    <x v="1"/>
    <n v="6"/>
    <n v="62"/>
    <n v="45569"/>
    <s v="22:41:33"/>
    <n v="2"/>
    <n v="308.88"/>
    <n v="0"/>
    <n v="308.88"/>
    <n v="308.88"/>
    <x v="78"/>
    <s v="BeforeTime"/>
    <x v="1"/>
    <n v="286.07"/>
  </r>
  <r>
    <x v="79"/>
    <s v="Mark"/>
    <s v="Henderson"/>
    <n v="33"/>
    <x v="1"/>
    <x v="1"/>
    <s v="mark.henderson@yahoo.com"/>
    <s v="90155 Hines Spring, North Theresafurt, ME 31920"/>
    <x v="148"/>
    <n v="45355"/>
    <s v="05:40:38"/>
    <x v="28"/>
    <n v="308.88"/>
    <n v="1"/>
    <x v="0"/>
    <n v="1"/>
    <n v="56"/>
    <n v="45360"/>
    <s v="05:38:59"/>
    <n v="5"/>
    <n v="308.88"/>
    <n v="0.1"/>
    <n v="277.99200000000002"/>
    <n v="333.99200000000002"/>
    <x v="79"/>
    <s v="Late"/>
    <x v="0"/>
    <n v="81.016000000000005"/>
  </r>
  <r>
    <x v="2"/>
    <s v="Mallory"/>
    <s v="Mitchell"/>
    <n v="42"/>
    <x v="2"/>
    <x v="2"/>
    <s v="mallory.mitchell@yahoo.com"/>
    <s v="710 Anthony Wall Suite 137, East Davidstad, NV 61494"/>
    <x v="149"/>
    <n v="45555"/>
    <s v="17:52:44"/>
    <x v="28"/>
    <n v="308.88"/>
    <n v="1"/>
    <x v="4"/>
    <n v="3"/>
    <n v="54"/>
    <n v="45556"/>
    <s v="14:18:48"/>
    <n v="1"/>
    <n v="308.88"/>
    <n v="0.15"/>
    <n v="262.548"/>
    <n v="316.548"/>
    <x v="2"/>
    <s v="BeforeTime"/>
    <x v="0"/>
    <n v="10.68"/>
  </r>
  <r>
    <x v="80"/>
    <s v="Sharon"/>
    <s v="Thompson"/>
    <n v="57"/>
    <x v="2"/>
    <x v="1"/>
    <s v="sharon.thompson@yahoo.com"/>
    <s v="598 Jasmine Harbor, Turnerberg, SD 02371"/>
    <x v="150"/>
    <n v="45479"/>
    <s v="09:27:52"/>
    <x v="15"/>
    <n v="77.84"/>
    <n v="4"/>
    <x v="3"/>
    <n v="2"/>
    <n v="59"/>
    <n v="45485"/>
    <s v="20:53:18"/>
    <n v="6"/>
    <n v="311.36"/>
    <n v="0.2"/>
    <n v="249.08800000000002"/>
    <n v="308.08800000000002"/>
    <x v="80"/>
    <s v="Late"/>
    <x v="11"/>
    <n v="0"/>
  </r>
  <r>
    <x v="18"/>
    <s v="Heather"/>
    <s v="Schneider"/>
    <n v="48"/>
    <x v="2"/>
    <x v="4"/>
    <s v="heather.schneider@outlook.com"/>
    <s v="57940 Susan Creek Apt. 541, Port Aliciamouth, OR 90221"/>
    <x v="151"/>
    <n v="45283"/>
    <s v="16:58:37"/>
    <x v="15"/>
    <n v="77.84"/>
    <n v="4"/>
    <x v="3"/>
    <n v="5"/>
    <n v="55"/>
    <n v="45286"/>
    <s v="01:05:53"/>
    <n v="3"/>
    <n v="311.36"/>
    <n v="0.2"/>
    <n v="249.08800000000002"/>
    <n v="304.08800000000002"/>
    <x v="18"/>
    <s v="BeforeTime"/>
    <x v="8"/>
    <n v="38.920000000000009"/>
  </r>
  <r>
    <x v="43"/>
    <s v="Anthony"/>
    <s v="Thomas"/>
    <n v="53"/>
    <x v="2"/>
    <x v="0"/>
    <s v="anthony.thomas@rediffmail.com"/>
    <s v="931 Christopher Ways Suite 833, North Michelle, IN 53484"/>
    <x v="152"/>
    <n v="45684"/>
    <s v="03:51:26"/>
    <x v="5"/>
    <n v="62.42"/>
    <n v="5"/>
    <x v="4"/>
    <n v="6"/>
    <n v="69"/>
    <n v="45690"/>
    <s v="12:59:30"/>
    <n v="6"/>
    <n v="312.10000000000002"/>
    <n v="0.15"/>
    <n v="265.28500000000003"/>
    <n v="334.28500000000003"/>
    <x v="43"/>
    <s v="Intime"/>
    <x v="1"/>
    <n v="99.317999999999998"/>
  </r>
  <r>
    <x v="6"/>
    <s v="Lauren"/>
    <s v="Crane"/>
    <n v="62"/>
    <x v="2"/>
    <x v="0"/>
    <s v="lauren.crane@yahoo.com"/>
    <s v="30313 Reyes Parkways Suite 392, Port Bradley, SC 24078"/>
    <x v="153"/>
    <n v="45451"/>
    <s v="13:00:52"/>
    <x v="5"/>
    <n v="62.42"/>
    <n v="5"/>
    <x v="1"/>
    <n v="2"/>
    <n v="47"/>
    <n v="45453"/>
    <s v="00:18:32"/>
    <n v="2"/>
    <n v="312.10000000000002"/>
    <n v="0"/>
    <n v="312.10000000000002"/>
    <n v="312.10000000000002"/>
    <x v="6"/>
    <s v="Intime"/>
    <x v="9"/>
    <n v="52.864800000000002"/>
  </r>
  <r>
    <x v="41"/>
    <s v="Jared"/>
    <s v="Horn"/>
    <n v="43"/>
    <x v="0"/>
    <x v="3"/>
    <s v="jared.horn@outlook.com"/>
    <s v="43325 Barbara Tunnel, Port James, LA 16246"/>
    <x v="154"/>
    <n v="45397"/>
    <s v="01:19:42"/>
    <x v="7"/>
    <n v="104.18"/>
    <n v="3"/>
    <x v="0"/>
    <n v="6"/>
    <n v="60"/>
    <n v="45398"/>
    <s v="01:52:14"/>
    <n v="1"/>
    <n v="312.54000000000002"/>
    <n v="0.1"/>
    <n v="281.286"/>
    <n v="341.286"/>
    <x v="41"/>
    <s v="BeforeTime"/>
    <x v="8"/>
    <n v="0"/>
  </r>
  <r>
    <x v="27"/>
    <s v="Gary"/>
    <s v="Huff"/>
    <n v="18"/>
    <x v="0"/>
    <x v="5"/>
    <s v="gary.huff@gmail.com"/>
    <s v="58608 Alexander Terrace, South Bryan, SC 85541"/>
    <x v="155"/>
    <n v="45392"/>
    <s v="22:41:22"/>
    <x v="16"/>
    <n v="157.63999999999999"/>
    <n v="2"/>
    <x v="4"/>
    <n v="5"/>
    <n v="64"/>
    <n v="45395"/>
    <s v="03:01:00"/>
    <n v="3"/>
    <n v="315.27999999999997"/>
    <n v="0.15"/>
    <n v="267.988"/>
    <n v="331.988"/>
    <x v="27"/>
    <s v="BeforeTime"/>
    <x v="7"/>
    <n v="20.445"/>
  </r>
  <r>
    <x v="48"/>
    <s v="Lauren"/>
    <s v="Long"/>
    <n v="44"/>
    <x v="0"/>
    <x v="1"/>
    <s v="lauren.long@gmail.com"/>
    <s v="258 Michael Brooks Suite 363, Arnoldview, PA 49438"/>
    <x v="156"/>
    <n v="45547"/>
    <s v="23:47:53"/>
    <x v="16"/>
    <n v="157.63999999999999"/>
    <n v="2"/>
    <x v="2"/>
    <n v="1"/>
    <n v="56"/>
    <n v="45552"/>
    <s v="00:49:45"/>
    <n v="5"/>
    <n v="315.27999999999997"/>
    <n v="0.08"/>
    <n v="290.05759999999998"/>
    <n v="346.05759999999998"/>
    <x v="48"/>
    <s v="Late"/>
    <x v="9"/>
    <n v="45.7712"/>
  </r>
  <r>
    <x v="81"/>
    <s v="Megan"/>
    <s v="Hunt"/>
    <n v="63"/>
    <x v="0"/>
    <x v="2"/>
    <s v="megan.hunt@rediffmail.com"/>
    <s v="03765 Velazquez Knoll Suite 478, Richardshire, UT 17200"/>
    <x v="157"/>
    <n v="45083"/>
    <s v="21:16:04"/>
    <x v="16"/>
    <n v="157.63999999999999"/>
    <n v="2"/>
    <x v="2"/>
    <n v="4"/>
    <n v="61"/>
    <n v="45090"/>
    <s v="10:41:25"/>
    <n v="7"/>
    <n v="315.27999999999997"/>
    <n v="0.08"/>
    <n v="290.05759999999998"/>
    <n v="351.05759999999998"/>
    <x v="81"/>
    <s v="Late"/>
    <x v="6"/>
    <n v="0"/>
  </r>
  <r>
    <x v="22"/>
    <s v="Lauren"/>
    <s v="Lane"/>
    <n v="30"/>
    <x v="0"/>
    <x v="1"/>
    <s v="lauren.lane@gmail.com"/>
    <s v="56985 Sergio Extensions, Port Albert, CO 02898"/>
    <x v="158"/>
    <n v="45400"/>
    <s v="05:27:44"/>
    <x v="16"/>
    <n v="157.63999999999999"/>
    <n v="2"/>
    <x v="3"/>
    <n v="1"/>
    <n v="57"/>
    <n v="45401"/>
    <s v="21:00:17"/>
    <n v="1"/>
    <n v="315.27999999999997"/>
    <n v="0.2"/>
    <n v="252.22399999999999"/>
    <n v="309.22399999999999"/>
    <x v="22"/>
    <s v="Intime"/>
    <x v="11"/>
    <n v="178.32400000000001"/>
  </r>
  <r>
    <x v="3"/>
    <s v="Kara"/>
    <s v="Brennan"/>
    <n v="25"/>
    <x v="1"/>
    <x v="3"/>
    <s v="kara.brennan@outlook.com"/>
    <s v="2174 Thomas Avenue, Maciasborough, NJ 41465"/>
    <x v="159"/>
    <n v="45271"/>
    <s v="16:46:34"/>
    <x v="16"/>
    <n v="157.63999999999999"/>
    <n v="2"/>
    <x v="1"/>
    <n v="5"/>
    <n v="57"/>
    <n v="45277"/>
    <s v="04:45:34"/>
    <n v="6"/>
    <n v="315.27999999999997"/>
    <n v="0"/>
    <n v="315.27999999999997"/>
    <n v="315.27999999999997"/>
    <x v="3"/>
    <s v="Late"/>
    <x v="3"/>
    <n v="110.95"/>
  </r>
  <r>
    <x v="16"/>
    <s v="Donna"/>
    <s v="Oneill"/>
    <n v="70"/>
    <x v="0"/>
    <x v="2"/>
    <s v="donna.oneill@yahoo.com"/>
    <s v="464 Carolyn Crest Suite 738, Lake Isaiah, CA 66153"/>
    <x v="160"/>
    <n v="45145"/>
    <s v="01:04:28"/>
    <x v="16"/>
    <n v="157.63999999999999"/>
    <n v="2"/>
    <x v="0"/>
    <n v="6"/>
    <n v="65"/>
    <n v="45148"/>
    <s v="16:40:55"/>
    <n v="3"/>
    <n v="315.27999999999997"/>
    <n v="0.1"/>
    <n v="283.75199999999995"/>
    <n v="348.75199999999995"/>
    <x v="16"/>
    <s v="BeforeTime"/>
    <x v="10"/>
    <n v="33.337600000000002"/>
  </r>
  <r>
    <x v="0"/>
    <s v="Kristina"/>
    <s v="Haynes"/>
    <n v="27"/>
    <x v="0"/>
    <x v="0"/>
    <s v="kristina.haynes@yahoo.com"/>
    <s v="18295 Thomas River, Kochville, NH 80868"/>
    <x v="161"/>
    <n v="45185"/>
    <s v="23:47:36"/>
    <x v="29"/>
    <n v="158.53"/>
    <n v="2"/>
    <x v="2"/>
    <n v="2"/>
    <n v="56"/>
    <n v="45187"/>
    <s v="04:39:51"/>
    <n v="2"/>
    <n v="317.06"/>
    <n v="0.08"/>
    <n v="291.6952"/>
    <n v="347.6952"/>
    <x v="0"/>
    <s v="Intime"/>
    <x v="10"/>
    <n v="397.27199999999999"/>
  </r>
  <r>
    <x v="82"/>
    <s v="Janice"/>
    <s v="Gordon"/>
    <n v="43"/>
    <x v="0"/>
    <x v="0"/>
    <s v="janice.gordon@yahoo.com"/>
    <s v="5812 Evelyn Mountains Suite 845, Ortiztown, MN 86166"/>
    <x v="162"/>
    <n v="45259"/>
    <s v="14:34:14"/>
    <x v="29"/>
    <n v="158.53"/>
    <n v="2"/>
    <x v="1"/>
    <n v="5"/>
    <n v="69"/>
    <n v="45261"/>
    <s v="17:45:57"/>
    <n v="2"/>
    <n v="317.06"/>
    <n v="0"/>
    <n v="317.06"/>
    <n v="317.06"/>
    <x v="82"/>
    <s v="BeforeTime"/>
    <x v="1"/>
    <n v="107.47000000000001"/>
  </r>
  <r>
    <x v="80"/>
    <s v="Sharon"/>
    <s v="Thompson"/>
    <n v="57"/>
    <x v="2"/>
    <x v="1"/>
    <s v="sharon.thompson@yahoo.com"/>
    <s v="598 Jasmine Harbor, Turnerberg, SD 02371"/>
    <x v="163"/>
    <n v="45453"/>
    <s v="19:09:08"/>
    <x v="8"/>
    <n v="107.47"/>
    <n v="3"/>
    <x v="0"/>
    <n v="4"/>
    <n v="59"/>
    <n v="45454"/>
    <s v="23:23:19"/>
    <n v="1"/>
    <n v="322.40999999999997"/>
    <n v="0.1"/>
    <n v="290.16899999999998"/>
    <n v="349.16899999999998"/>
    <x v="80"/>
    <s v="BeforeTime"/>
    <x v="8"/>
    <n v="0"/>
  </r>
  <r>
    <x v="83"/>
    <s v="Edward"/>
    <s v="Black"/>
    <n v="42"/>
    <x v="0"/>
    <x v="5"/>
    <s v="edward.black@gmail.com"/>
    <s v="5879 Susan Via Apt. 886, Sandovalbury, WV 61449"/>
    <x v="164"/>
    <n v="45474"/>
    <s v="05:54:36"/>
    <x v="8"/>
    <n v="107.47"/>
    <n v="3"/>
    <x v="1"/>
    <n v="4"/>
    <n v="63"/>
    <n v="45481"/>
    <s v="17:18:51"/>
    <n v="7"/>
    <n v="322.40999999999997"/>
    <n v="0"/>
    <n v="322.40999999999997"/>
    <n v="322.40999999999997"/>
    <x v="83"/>
    <s v="Late"/>
    <x v="4"/>
    <n v="73.805999999999997"/>
  </r>
  <r>
    <x v="77"/>
    <s v="Kelli"/>
    <s v="Smith"/>
    <n v="18"/>
    <x v="2"/>
    <x v="0"/>
    <s v="kelli.smith@rediffmail.com"/>
    <s v="788 Kristina Lane, Montoyaside, VA 90756"/>
    <x v="165"/>
    <n v="45625"/>
    <s v="15:22:10"/>
    <x v="30"/>
    <n v="330.11"/>
    <n v="1"/>
    <x v="3"/>
    <n v="4"/>
    <n v="67"/>
    <n v="45627"/>
    <s v="13:15:51"/>
    <n v="2"/>
    <n v="330.11"/>
    <n v="0.2"/>
    <n v="264.08800000000002"/>
    <n v="331.08800000000002"/>
    <x v="77"/>
    <s v="BeforeTime"/>
    <x v="10"/>
    <n v="0"/>
  </r>
  <r>
    <x v="50"/>
    <s v="Regina"/>
    <s v="Hawkins"/>
    <n v="47"/>
    <x v="2"/>
    <x v="6"/>
    <s v="regina.hawkins@rediffmail.com"/>
    <s v="096 Santos Neck Apt. 937, Benjaminmouth, FL 61454"/>
    <x v="166"/>
    <n v="45380"/>
    <s v="16:42:26"/>
    <x v="30"/>
    <n v="330.11"/>
    <n v="1"/>
    <x v="0"/>
    <n v="4"/>
    <n v="39"/>
    <n v="45384"/>
    <s v="08:22:44"/>
    <n v="4"/>
    <n v="330.11"/>
    <n v="0.1"/>
    <n v="297.09899999999999"/>
    <n v="336.09899999999999"/>
    <x v="50"/>
    <s v="Intime"/>
    <x v="4"/>
    <n v="88.108000000000004"/>
  </r>
  <r>
    <x v="84"/>
    <s v="Gary"/>
    <s v="Jacobs"/>
    <n v="64"/>
    <x v="2"/>
    <x v="5"/>
    <s v="gary.jacobs@gmail.com"/>
    <s v="USNV Williams, FPO AP 23197"/>
    <x v="167"/>
    <n v="45379"/>
    <s v="02:29:08"/>
    <x v="17"/>
    <n v="166.28"/>
    <n v="2"/>
    <x v="3"/>
    <n v="4"/>
    <n v="40"/>
    <n v="45384"/>
    <s v="01:57:29"/>
    <n v="5"/>
    <n v="332.56"/>
    <n v="0.2"/>
    <n v="266.048"/>
    <n v="306.048"/>
    <x v="84"/>
    <s v="Late"/>
    <x v="9"/>
    <n v="94.25200000000001"/>
  </r>
  <r>
    <x v="53"/>
    <s v="Jason"/>
    <s v="Lopez"/>
    <n v="40"/>
    <x v="1"/>
    <x v="2"/>
    <s v="jason.lopez@outlook.com"/>
    <s v="934 Levine View, Brentport, NE 38210"/>
    <x v="168"/>
    <n v="45074"/>
    <s v="14:37:23"/>
    <x v="20"/>
    <n v="110.95"/>
    <n v="3"/>
    <x v="0"/>
    <n v="6"/>
    <n v="65"/>
    <n v="45079"/>
    <s v="01:58:28"/>
    <n v="5"/>
    <n v="332.85"/>
    <n v="0.1"/>
    <n v="299.565"/>
    <n v="364.565"/>
    <x v="53"/>
    <s v="BeforeTime"/>
    <x v="4"/>
    <n v="133.024"/>
  </r>
  <r>
    <x v="47"/>
    <s v="Valerie"/>
    <s v="Carr"/>
    <n v="26"/>
    <x v="1"/>
    <x v="2"/>
    <s v="valerie.carr@rediffmail.com"/>
    <s v="981 Emily Stream, South Brianna, CO 98063"/>
    <x v="169"/>
    <n v="45393"/>
    <s v="05:25:01"/>
    <x v="20"/>
    <n v="110.95"/>
    <n v="3"/>
    <x v="1"/>
    <n v="5"/>
    <n v="47"/>
    <n v="45399"/>
    <s v="02:19:52"/>
    <n v="6"/>
    <n v="332.85"/>
    <n v="0"/>
    <n v="332.85"/>
    <n v="332.85"/>
    <x v="47"/>
    <s v="Late"/>
    <x v="9"/>
    <n v="202.5"/>
  </r>
  <r>
    <x v="57"/>
    <s v="Debra"/>
    <s v="Hayes"/>
    <n v="33"/>
    <x v="0"/>
    <x v="2"/>
    <s v="debra.hayes@yahoo.com"/>
    <s v="4601 Miller Lock, Williamsbury, IA 10943"/>
    <x v="170"/>
    <n v="45435"/>
    <s v="02:46:19"/>
    <x v="6"/>
    <n v="87.09"/>
    <n v="4"/>
    <x v="1"/>
    <n v="6"/>
    <n v="63"/>
    <n v="45439"/>
    <s v="20:00:32"/>
    <n v="4"/>
    <n v="348.36"/>
    <n v="0"/>
    <n v="348.36"/>
    <n v="348.36"/>
    <x v="57"/>
    <s v="BeforeTime"/>
    <x v="8"/>
    <n v="77.117999999999995"/>
  </r>
  <r>
    <x v="7"/>
    <s v="Gregory"/>
    <s v="Lee"/>
    <n v="26"/>
    <x v="1"/>
    <x v="5"/>
    <s v="gregory.lee@rediffmail.com"/>
    <s v="619 Parker Turnpike Apt. 025, West Brucehaven, ID 48437"/>
    <x v="171"/>
    <n v="45362"/>
    <s v="15:33:07"/>
    <x v="6"/>
    <n v="87.09"/>
    <n v="4"/>
    <x v="0"/>
    <n v="5"/>
    <n v="45"/>
    <n v="45368"/>
    <s v="15:51:15"/>
    <n v="6"/>
    <n v="348.36"/>
    <n v="0.1"/>
    <n v="313.524"/>
    <n v="358.524"/>
    <x v="7"/>
    <s v="Late"/>
    <x v="10"/>
    <n v="14.24"/>
  </r>
  <r>
    <x v="66"/>
    <s v="Lisa"/>
    <s v="Miller"/>
    <n v="70"/>
    <x v="2"/>
    <x v="4"/>
    <s v="lisa.miller@gmail.com"/>
    <s v="89748 Campbell Drive, South Tannerland, WI 13143"/>
    <x v="172"/>
    <n v="45386"/>
    <s v="22:30:30"/>
    <x v="31"/>
    <n v="175.93"/>
    <n v="2"/>
    <x v="0"/>
    <n v="7"/>
    <n v="61"/>
    <n v="45391"/>
    <s v="23:12:23"/>
    <n v="5"/>
    <n v="351.86"/>
    <n v="0.1"/>
    <n v="316.67400000000004"/>
    <n v="377.67400000000004"/>
    <x v="66"/>
    <s v="BeforeTime"/>
    <x v="4"/>
    <n v="13.35"/>
  </r>
  <r>
    <x v="69"/>
    <s v="Leslie"/>
    <s v="Montgomery"/>
    <n v="26"/>
    <x v="2"/>
    <x v="7"/>
    <s v="leslie.montgomery@gmail.com"/>
    <s v="135 Teresa Oval Apt. 825, East Katherineport, WY 13714"/>
    <x v="173"/>
    <n v="45104"/>
    <s v="05:56:42"/>
    <x v="31"/>
    <n v="175.93"/>
    <n v="2"/>
    <x v="2"/>
    <n v="5"/>
    <n v="49"/>
    <n v="45106"/>
    <s v="03:42:23"/>
    <n v="2"/>
    <n v="351.86"/>
    <n v="0.08"/>
    <n v="323.71120000000002"/>
    <n v="372.71120000000002"/>
    <x v="69"/>
    <s v="BeforeTime"/>
    <x v="2"/>
    <n v="0"/>
  </r>
  <r>
    <x v="45"/>
    <s v="Mark"/>
    <s v="Summers"/>
    <n v="55"/>
    <x v="2"/>
    <x v="7"/>
    <s v="mark.summers@outlook.com"/>
    <s v="08413 Lynch Parkway, Calderonstad, NV 32697"/>
    <x v="174"/>
    <n v="45324"/>
    <s v="19:33:36"/>
    <x v="31"/>
    <n v="175.93"/>
    <n v="2"/>
    <x v="1"/>
    <n v="6"/>
    <n v="50"/>
    <n v="45325"/>
    <s v="06:30:50"/>
    <n v="1"/>
    <n v="351.86"/>
    <n v="0"/>
    <n v="351.86"/>
    <n v="351.86"/>
    <x v="45"/>
    <s v="BeforeTime"/>
    <x v="5"/>
    <n v="49.936000000000007"/>
  </r>
  <r>
    <x v="26"/>
    <s v="John"/>
    <s v="Ramirez"/>
    <n v="28"/>
    <x v="1"/>
    <x v="3"/>
    <s v="john.ramirez@outlook.com"/>
    <s v="02797 Martin Landing, South Michelle, VT 98781"/>
    <x v="175"/>
    <n v="45599"/>
    <s v="04:32:42"/>
    <x v="32"/>
    <n v="363.64"/>
    <n v="1"/>
    <x v="0"/>
    <n v="3"/>
    <n v="70"/>
    <n v="45606"/>
    <s v="08:48:02"/>
    <n v="7"/>
    <n v="363.64"/>
    <n v="0.1"/>
    <n v="327.27600000000001"/>
    <n v="397.27600000000001"/>
    <x v="26"/>
    <s v="Late"/>
    <x v="10"/>
    <n v="134.94399999999999"/>
  </r>
  <r>
    <x v="85"/>
    <s v="Joseph"/>
    <s v="Stewart"/>
    <n v="30"/>
    <x v="2"/>
    <x v="0"/>
    <s v="joseph.stewart@yahoo.com"/>
    <s v="4082 Wang Terrace Suite 040, Victorialand, ME 41532"/>
    <x v="176"/>
    <n v="45185"/>
    <s v="05:35:11"/>
    <x v="33"/>
    <n v="369.03"/>
    <n v="1"/>
    <x v="3"/>
    <n v="1"/>
    <n v="48"/>
    <n v="45192"/>
    <s v="04:56:02"/>
    <n v="7"/>
    <n v="369.03"/>
    <n v="0.2"/>
    <n v="295.22399999999999"/>
    <n v="343.22399999999999"/>
    <x v="85"/>
    <s v="Late"/>
    <x v="8"/>
    <n v="0"/>
  </r>
  <r>
    <x v="5"/>
    <s v="Katherine"/>
    <s v="Weber"/>
    <n v="42"/>
    <x v="1"/>
    <x v="5"/>
    <s v="katherine.weber@outlook.com"/>
    <s v="04887 Kimberly Union Apt. 645, Port Laura, IL 97219"/>
    <x v="177"/>
    <n v="44968"/>
    <s v="20:50:23"/>
    <x v="33"/>
    <n v="369.03"/>
    <n v="1"/>
    <x v="3"/>
    <n v="6"/>
    <n v="38"/>
    <n v="44974"/>
    <s v="01:51:44"/>
    <n v="6"/>
    <n v="369.03"/>
    <n v="0.2"/>
    <n v="295.22399999999999"/>
    <n v="333.22399999999999"/>
    <x v="5"/>
    <s v="Intime"/>
    <x v="9"/>
    <n v="0"/>
  </r>
  <r>
    <x v="2"/>
    <s v="Mallory"/>
    <s v="Mitchell"/>
    <n v="42"/>
    <x v="2"/>
    <x v="2"/>
    <s v="mallory.mitchell@yahoo.com"/>
    <s v="710 Anthony Wall Suite 137, East Davidstad, NV 61494"/>
    <x v="178"/>
    <n v="45455"/>
    <s v="19:40:44"/>
    <x v="34"/>
    <n v="372.62"/>
    <n v="1"/>
    <x v="4"/>
    <n v="3"/>
    <n v="35"/>
    <n v="45458"/>
    <s v="16:30:13"/>
    <n v="3"/>
    <n v="372.62"/>
    <n v="0.15"/>
    <n v="316.72699999999998"/>
    <n v="351.72699999999998"/>
    <x v="2"/>
    <s v="Intime"/>
    <x v="0"/>
    <n v="21.379200000000001"/>
  </r>
  <r>
    <x v="47"/>
    <s v="Valerie"/>
    <s v="Carr"/>
    <n v="26"/>
    <x v="1"/>
    <x v="2"/>
    <s v="valerie.carr@rediffmail.com"/>
    <s v="981 Emily Stream, South Brianna, CO 98063"/>
    <x v="179"/>
    <n v="45537"/>
    <s v="05:28:12"/>
    <x v="34"/>
    <n v="372.62"/>
    <n v="1"/>
    <x v="0"/>
    <n v="4"/>
    <n v="36"/>
    <n v="45541"/>
    <s v="09:29:13"/>
    <n v="4"/>
    <n v="372.62"/>
    <n v="0.1"/>
    <n v="335.358"/>
    <n v="371.358"/>
    <x v="47"/>
    <s v="Intime"/>
    <x v="9"/>
    <n v="0"/>
  </r>
  <r>
    <x v="39"/>
    <s v="Hannah"/>
    <s v="Gutierrez"/>
    <n v="55"/>
    <x v="2"/>
    <x v="7"/>
    <s v="hannah.gutierrez@yahoo.com"/>
    <s v="2420 David Manors, Jessicaland, CT 41698"/>
    <x v="180"/>
    <n v="45157"/>
    <s v="17:40:16"/>
    <x v="34"/>
    <n v="372.62"/>
    <n v="1"/>
    <x v="0"/>
    <n v="5"/>
    <n v="45"/>
    <n v="45164"/>
    <s v="19:38:50"/>
    <n v="7"/>
    <n v="372.62"/>
    <n v="0.1"/>
    <n v="335.358"/>
    <n v="380.358"/>
    <x v="39"/>
    <s v="Late"/>
    <x v="6"/>
    <n v="15"/>
  </r>
  <r>
    <x v="43"/>
    <s v="Anthony"/>
    <s v="Thomas"/>
    <n v="53"/>
    <x v="2"/>
    <x v="0"/>
    <s v="anthony.thomas@rediffmail.com"/>
    <s v="931 Christopher Ways Suite 833, North Michelle, IN 53484"/>
    <x v="181"/>
    <n v="45469"/>
    <s v="15:58:53"/>
    <x v="34"/>
    <n v="372.62"/>
    <n v="1"/>
    <x v="0"/>
    <n v="1"/>
    <n v="66"/>
    <n v="45471"/>
    <s v="14:14:53"/>
    <n v="2"/>
    <n v="372.62"/>
    <n v="0.1"/>
    <n v="335.358"/>
    <n v="401.358"/>
    <x v="43"/>
    <s v="Late"/>
    <x v="1"/>
    <n v="70.689000000000007"/>
  </r>
  <r>
    <x v="79"/>
    <s v="Mark"/>
    <s v="Henderson"/>
    <n v="33"/>
    <x v="1"/>
    <x v="1"/>
    <s v="mark.henderson@yahoo.com"/>
    <s v="90155 Hines Spring, North Theresafurt, ME 31920"/>
    <x v="182"/>
    <n v="45657"/>
    <s v="10:33:07"/>
    <x v="34"/>
    <n v="372.62"/>
    <n v="1"/>
    <x v="4"/>
    <n v="5"/>
    <n v="50"/>
    <n v="45661"/>
    <s v="06:32:27"/>
    <n v="4"/>
    <n v="372.62"/>
    <n v="0.15"/>
    <n v="316.72699999999998"/>
    <n v="366.72699999999998"/>
    <x v="79"/>
    <s v="BeforeTime"/>
    <x v="6"/>
    <n v="0"/>
  </r>
  <r>
    <x v="54"/>
    <s v="Ashley"/>
    <s v="Romero"/>
    <n v="35"/>
    <x v="0"/>
    <x v="6"/>
    <s v="ashley.romero@yahoo.com"/>
    <s v="547 Kerry Expressway, Lake Amanda, AR 20321"/>
    <x v="183"/>
    <n v="45054"/>
    <s v="18:54:33"/>
    <x v="9"/>
    <n v="126.19"/>
    <n v="3"/>
    <x v="1"/>
    <n v="5"/>
    <n v="40"/>
    <n v="45058"/>
    <s v="16:14:09"/>
    <n v="4"/>
    <n v="378.57"/>
    <n v="0"/>
    <n v="378.57"/>
    <n v="378.57"/>
    <x v="54"/>
    <s v="BeforeTime"/>
    <x v="7"/>
    <n v="67.471999999999994"/>
  </r>
  <r>
    <x v="60"/>
    <s v="Rachael"/>
    <s v="Robinson"/>
    <n v="24"/>
    <x v="1"/>
    <x v="1"/>
    <s v="rachael.robinson@rediffmail.com"/>
    <s v="0889 Brady Points, Port Meganhaven, NM 26553"/>
    <x v="184"/>
    <n v="45668"/>
    <s v="16:49:20"/>
    <x v="35"/>
    <n v="381.73"/>
    <n v="1"/>
    <x v="2"/>
    <n v="3"/>
    <n v="36"/>
    <n v="45675"/>
    <s v="22:40:50"/>
    <n v="7"/>
    <n v="381.73"/>
    <n v="0.08"/>
    <n v="351.19159999999999"/>
    <n v="387.19159999999999"/>
    <x v="60"/>
    <s v="Late"/>
    <x v="6"/>
    <n v="55.893000000000001"/>
  </r>
  <r>
    <x v="86"/>
    <s v="Bobby"/>
    <s v="Forbes"/>
    <n v="20"/>
    <x v="0"/>
    <x v="4"/>
    <s v="bobby.forbes@gmail.com"/>
    <s v="3079 John Parkway Suite 961, Port Kristaview, MT 91019"/>
    <x v="185"/>
    <n v="45066"/>
    <s v="17:44:17"/>
    <x v="10"/>
    <n v="128.13999999999999"/>
    <n v="3"/>
    <x v="2"/>
    <n v="4"/>
    <n v="70"/>
    <n v="45069"/>
    <s v="09:53:18"/>
    <n v="3"/>
    <n v="384.41999999999996"/>
    <n v="0.08"/>
    <n v="353.66639999999995"/>
    <n v="423.66639999999995"/>
    <x v="86"/>
    <s v="BeforeTime"/>
    <x v="6"/>
    <n v="0"/>
  </r>
  <r>
    <x v="4"/>
    <s v="Amy"/>
    <s v="Ellis"/>
    <n v="44"/>
    <x v="1"/>
    <x v="4"/>
    <s v="amy.ellis@gmail.com"/>
    <s v="217 Scott Ville, Christophermouth, NH 83776"/>
    <x v="186"/>
    <n v="45264"/>
    <s v="09:19:46"/>
    <x v="10"/>
    <n v="128.13999999999999"/>
    <n v="3"/>
    <x v="3"/>
    <n v="2"/>
    <n v="49"/>
    <n v="45270"/>
    <s v="02:07:12"/>
    <n v="6"/>
    <n v="384.41999999999996"/>
    <n v="0.2"/>
    <n v="307.53599999999994"/>
    <n v="356.53599999999994"/>
    <x v="4"/>
    <s v="Late"/>
    <x v="4"/>
    <n v="264.08800000000002"/>
  </r>
  <r>
    <x v="73"/>
    <s v="Brittany"/>
    <s v="Stewart"/>
    <n v="68"/>
    <x v="1"/>
    <x v="1"/>
    <s v="brittany.stewart@gmail.com"/>
    <s v="6250 David Loaf Suite 561, North Pamelaberg, WV 63652"/>
    <x v="187"/>
    <n v="45072"/>
    <s v="16:28:38"/>
    <x v="10"/>
    <n v="128.13999999999999"/>
    <n v="3"/>
    <x v="3"/>
    <n v="2"/>
    <n v="59"/>
    <n v="45076"/>
    <s v="01:06:14"/>
    <n v="4"/>
    <n v="384.41999999999996"/>
    <n v="0.2"/>
    <n v="307.53599999999994"/>
    <n v="366.53599999999994"/>
    <x v="73"/>
    <s v="Late"/>
    <x v="6"/>
    <n v="10.747"/>
  </r>
  <r>
    <x v="21"/>
    <s v="Katie"/>
    <s v="Hicks"/>
    <n v="34"/>
    <x v="1"/>
    <x v="7"/>
    <s v="katie.hicks@rediffmail.com"/>
    <s v="848 William Port, New Marilyn, SD 58000"/>
    <x v="188"/>
    <n v="45490"/>
    <s v="01:15:18"/>
    <x v="10"/>
    <n v="128.13999999999999"/>
    <n v="3"/>
    <x v="2"/>
    <n v="5"/>
    <n v="49"/>
    <n v="45495"/>
    <s v="16:11:48"/>
    <n v="5"/>
    <n v="384.41999999999996"/>
    <n v="0.08"/>
    <n v="353.66639999999995"/>
    <n v="402.66639999999995"/>
    <x v="21"/>
    <s v="Intime"/>
    <x v="8"/>
    <n v="25.238"/>
  </r>
  <r>
    <x v="29"/>
    <s v="Julie"/>
    <s v="Meyer"/>
    <n v="23"/>
    <x v="0"/>
    <x v="6"/>
    <s v="julie.meyer@yahoo.com"/>
    <s v="17381 Smith Ramp Suite 398, Courtneyville, AL 17756"/>
    <x v="189"/>
    <n v="45574"/>
    <s v="04:03:43"/>
    <x v="15"/>
    <n v="77.84"/>
    <n v="5"/>
    <x v="1"/>
    <n v="4"/>
    <n v="47"/>
    <n v="45575"/>
    <s v="18:12:43"/>
    <n v="1"/>
    <n v="389.20000000000005"/>
    <n v="0"/>
    <n v="389.20000000000005"/>
    <n v="389.20000000000005"/>
    <x v="29"/>
    <s v="BeforeTime"/>
    <x v="2"/>
    <n v="0"/>
  </r>
  <r>
    <x v="87"/>
    <s v="Jodi"/>
    <s v="Whitney"/>
    <n v="33"/>
    <x v="1"/>
    <x v="2"/>
    <s v="jodi.whitney@yahoo.com"/>
    <s v="72876 Lara Key Suite 383, Gutierrezton, OR 71683"/>
    <x v="190"/>
    <n v="45200"/>
    <s v="04:33:43"/>
    <x v="15"/>
    <n v="77.84"/>
    <n v="5"/>
    <x v="0"/>
    <n v="1"/>
    <n v="41"/>
    <n v="45206"/>
    <s v="01:47:49"/>
    <n v="6"/>
    <n v="389.20000000000005"/>
    <n v="0.1"/>
    <n v="350.28000000000003"/>
    <n v="391.28000000000003"/>
    <x v="87"/>
    <s v="Late"/>
    <x v="2"/>
    <n v="146.07500000000002"/>
  </r>
  <r>
    <x v="82"/>
    <s v="Janice"/>
    <s v="Gordon"/>
    <n v="43"/>
    <x v="0"/>
    <x v="0"/>
    <s v="janice.gordon@yahoo.com"/>
    <s v="5812 Evelyn Mountains Suite 845, Ortiztown, MN 86166"/>
    <x v="191"/>
    <n v="45012"/>
    <s v="15:06:44"/>
    <x v="15"/>
    <n v="77.84"/>
    <n v="5"/>
    <x v="0"/>
    <n v="2"/>
    <n v="53"/>
    <n v="45017"/>
    <s v="14:31:29"/>
    <n v="5"/>
    <n v="389.20000000000005"/>
    <n v="0.1"/>
    <n v="350.28000000000003"/>
    <n v="403.28000000000003"/>
    <x v="82"/>
    <s v="Late"/>
    <x v="3"/>
    <n v="61.335000000000001"/>
  </r>
  <r>
    <x v="56"/>
    <s v="Jason"/>
    <s v="Nguyen"/>
    <n v="51"/>
    <x v="1"/>
    <x v="3"/>
    <s v="jason.nguyen@yahoo.com"/>
    <s v="7112 Travis Glens Suite 790, Crystalland, WV 38373"/>
    <x v="192"/>
    <n v="45339"/>
    <s v="21:17:39"/>
    <x v="11"/>
    <n v="129.75"/>
    <n v="3"/>
    <x v="4"/>
    <n v="5"/>
    <n v="37"/>
    <n v="45341"/>
    <s v="06:07:50"/>
    <n v="2"/>
    <n v="389.25"/>
    <n v="0.15"/>
    <n v="330.86250000000001"/>
    <n v="367.86250000000001"/>
    <x v="56"/>
    <s v="BeforeTime"/>
    <x v="8"/>
    <n v="181.36349999999999"/>
  </r>
  <r>
    <x v="32"/>
    <s v="Amy"/>
    <s v="Griffin"/>
    <n v="29"/>
    <x v="0"/>
    <x v="0"/>
    <s v="amy.griffin@rediffmail.com"/>
    <s v="07350 Aaron Meadow Suite 138, Kiaraberg, AL 79545"/>
    <x v="193"/>
    <n v="45108"/>
    <s v="06:35:14"/>
    <x v="12"/>
    <n v="132.97"/>
    <n v="3"/>
    <x v="4"/>
    <n v="3"/>
    <n v="36"/>
    <n v="45110"/>
    <s v="23:36:21"/>
    <n v="2"/>
    <n v="398.90999999999997"/>
    <n v="0.15"/>
    <n v="339.07349999999997"/>
    <n v="375.07349999999997"/>
    <x v="32"/>
    <s v="BeforeTime"/>
    <x v="11"/>
    <n v="0"/>
  </r>
  <r>
    <x v="23"/>
    <s v="Christian"/>
    <s v="Clayton"/>
    <n v="39"/>
    <x v="2"/>
    <x v="7"/>
    <s v="christian.clayton@yahoo.com"/>
    <s v="065 Madison Way, Smithstad, CT 68011"/>
    <x v="194"/>
    <n v="45525"/>
    <s v="02:08:49"/>
    <x v="36"/>
    <n v="403.03"/>
    <n v="1"/>
    <x v="3"/>
    <n v="3"/>
    <n v="52"/>
    <n v="45526"/>
    <s v="15:38:07"/>
    <n v="1"/>
    <n v="403.03"/>
    <n v="0.2"/>
    <n v="322.42399999999998"/>
    <n v="374.42399999999998"/>
    <x v="23"/>
    <s v="BeforeTime"/>
    <x v="2"/>
    <n v="129.75"/>
  </r>
  <r>
    <x v="74"/>
    <s v="Courtney"/>
    <s v="Parker"/>
    <n v="29"/>
    <x v="1"/>
    <x v="4"/>
    <s v="courtney.parker@yahoo.com"/>
    <s v="087 Jacqueline Rue Apt. 694, East Tasha, SC 04859"/>
    <x v="195"/>
    <n v="45656"/>
    <s v="04:09:40"/>
    <x v="37"/>
    <n v="405"/>
    <n v="1"/>
    <x v="1"/>
    <n v="7"/>
    <n v="36"/>
    <n v="45661"/>
    <s v="01:56:00"/>
    <n v="5"/>
    <n v="405"/>
    <n v="0"/>
    <n v="405"/>
    <n v="405"/>
    <x v="74"/>
    <s v="BeforeTime"/>
    <x v="7"/>
    <n v="15.070499999999999"/>
  </r>
  <r>
    <x v="58"/>
    <s v="Mary"/>
    <s v="Knight"/>
    <n v="28"/>
    <x v="1"/>
    <x v="5"/>
    <s v="mary.knight@yahoo.com"/>
    <s v="907 Kimberly Hill, Murrayfort, NH 88384"/>
    <x v="196"/>
    <n v="45229"/>
    <s v="14:13:38"/>
    <x v="37"/>
    <n v="405"/>
    <n v="1"/>
    <x v="1"/>
    <n v="5"/>
    <n v="44"/>
    <n v="45233"/>
    <s v="16:08:19"/>
    <n v="4"/>
    <n v="405"/>
    <n v="0"/>
    <n v="405"/>
    <n v="405"/>
    <x v="58"/>
    <s v="BeforeTime"/>
    <x v="1"/>
    <n v="264.08800000000002"/>
  </r>
  <r>
    <x v="43"/>
    <s v="Anthony"/>
    <s v="Thomas"/>
    <n v="53"/>
    <x v="2"/>
    <x v="0"/>
    <s v="anthony.thomas@rediffmail.com"/>
    <s v="931 Christopher Ways Suite 833, North Michelle, IN 53484"/>
    <x v="197"/>
    <n v="45589"/>
    <s v="08:18:11"/>
    <x v="19"/>
    <n v="202.54"/>
    <n v="2"/>
    <x v="3"/>
    <n v="6"/>
    <n v="70"/>
    <n v="45594"/>
    <s v="13:38:46"/>
    <n v="5"/>
    <n v="405.08"/>
    <n v="0.2"/>
    <n v="324.06399999999996"/>
    <n v="394.06399999999996"/>
    <x v="43"/>
    <s v="BeforeTime"/>
    <x v="3"/>
    <n v="151.90499999999997"/>
  </r>
  <r>
    <x v="65"/>
    <s v="Mitchell"/>
    <s v="Parker"/>
    <n v="39"/>
    <x v="1"/>
    <x v="0"/>
    <s v="mitchell.parker@yahoo.com"/>
    <s v="PSC 3316, Box 9303, APO AE 29513"/>
    <x v="198"/>
    <n v="45036"/>
    <s v="01:31:08"/>
    <x v="14"/>
    <n v="136.30000000000001"/>
    <n v="3"/>
    <x v="4"/>
    <n v="6"/>
    <n v="42"/>
    <n v="45043"/>
    <s v="14:39:46"/>
    <n v="7"/>
    <n v="408.90000000000003"/>
    <n v="0.15"/>
    <n v="347.56500000000005"/>
    <n v="389.56500000000005"/>
    <x v="65"/>
    <s v="Late"/>
    <x v="11"/>
    <n v="66.512"/>
  </r>
  <r>
    <x v="73"/>
    <s v="Brittany"/>
    <s v="Stewart"/>
    <n v="68"/>
    <x v="1"/>
    <x v="1"/>
    <s v="brittany.stewart@gmail.com"/>
    <s v="6250 David Loaf Suite 561, North Pamelaberg, WV 63652"/>
    <x v="199"/>
    <n v="45529"/>
    <s v="21:52:14"/>
    <x v="7"/>
    <n v="104.18"/>
    <n v="4"/>
    <x v="2"/>
    <n v="4"/>
    <n v="45"/>
    <n v="45536"/>
    <s v="10:43:13"/>
    <n v="7"/>
    <n v="416.72"/>
    <n v="0.08"/>
    <n v="383.38240000000002"/>
    <n v="428.38240000000002"/>
    <x v="73"/>
    <s v="Late"/>
    <x v="10"/>
    <n v="87.644999999999996"/>
  </r>
  <r>
    <x v="61"/>
    <s v="Angela"/>
    <s v="Evans"/>
    <n v="52"/>
    <x v="1"/>
    <x v="0"/>
    <s v="angela.evans@outlook.com"/>
    <s v="16031 David Mountain Suite 431, Susanborough, PA 01910"/>
    <x v="200"/>
    <n v="45303"/>
    <s v="16:29:18"/>
    <x v="7"/>
    <n v="104.18"/>
    <n v="4"/>
    <x v="1"/>
    <n v="3"/>
    <n v="40"/>
    <n v="45308"/>
    <s v="19:58:19"/>
    <n v="5"/>
    <n v="416.72"/>
    <n v="0"/>
    <n v="416.72"/>
    <n v="416.72"/>
    <x v="61"/>
    <s v="Late"/>
    <x v="9"/>
    <n v="0"/>
  </r>
  <r>
    <x v="65"/>
    <s v="Mitchell"/>
    <s v="Parker"/>
    <n v="39"/>
    <x v="1"/>
    <x v="0"/>
    <s v="mitchell.parker@yahoo.com"/>
    <s v="PSC 3316, Box 9303, APO AE 29513"/>
    <x v="201"/>
    <n v="45680"/>
    <s v="19:18:19"/>
    <x v="38"/>
    <n v="421.7"/>
    <n v="1"/>
    <x v="0"/>
    <n v="3"/>
    <n v="59"/>
    <n v="45684"/>
    <s v="02:44:55"/>
    <n v="4"/>
    <n v="421.7"/>
    <n v="0.1"/>
    <n v="379.53"/>
    <n v="438.53"/>
    <x v="65"/>
    <s v="Late"/>
    <x v="6"/>
    <n v="94.584000000000003"/>
  </r>
  <r>
    <x v="68"/>
    <s v="Troy"/>
    <s v="Gomez"/>
    <n v="68"/>
    <x v="0"/>
    <x v="1"/>
    <s v="troy.gomez@outlook.com"/>
    <s v="7510 Jose Knolls, Candicechester, LA 62815"/>
    <x v="202"/>
    <n v="45636"/>
    <s v="13:25:18"/>
    <x v="39"/>
    <n v="424.82"/>
    <n v="1"/>
    <x v="1"/>
    <n v="6"/>
    <n v="44"/>
    <n v="45638"/>
    <s v="14:51:25"/>
    <n v="2"/>
    <n v="424.82"/>
    <n v="0"/>
    <n v="424.82"/>
    <n v="424.82"/>
    <x v="68"/>
    <s v="BeforeTime"/>
    <x v="2"/>
    <n v="28.088999999999999"/>
  </r>
  <r>
    <x v="58"/>
    <s v="Mary"/>
    <s v="Knight"/>
    <n v="28"/>
    <x v="1"/>
    <x v="5"/>
    <s v="mary.knight@yahoo.com"/>
    <s v="907 Kimberly Hill, Murrayfort, NH 88384"/>
    <x v="203"/>
    <n v="45501"/>
    <s v="11:53:55"/>
    <x v="39"/>
    <n v="424.82"/>
    <n v="1"/>
    <x v="2"/>
    <n v="5"/>
    <n v="49"/>
    <n v="45508"/>
    <s v="00:56:01"/>
    <n v="7"/>
    <n v="424.82"/>
    <n v="0.08"/>
    <n v="390.83440000000002"/>
    <n v="439.83440000000002"/>
    <x v="58"/>
    <s v="Late"/>
    <x v="9"/>
    <n v="87.273600000000002"/>
  </r>
  <r>
    <x v="9"/>
    <s v="Rebecca"/>
    <s v="Figueroa"/>
    <n v="63"/>
    <x v="0"/>
    <x v="3"/>
    <s v="rebecca.figueroa@outlook.com"/>
    <s v="3959 Bell Dale, North Jacob, LA 07934"/>
    <x v="204"/>
    <n v="45457"/>
    <s v="16:59:25"/>
    <x v="40"/>
    <n v="425.59"/>
    <n v="1"/>
    <x v="3"/>
    <n v="7"/>
    <n v="40"/>
    <n v="45460"/>
    <s v="13:29:40"/>
    <n v="3"/>
    <n v="425.59"/>
    <n v="0.2"/>
    <n v="340.47199999999998"/>
    <n v="380.47199999999998"/>
    <x v="9"/>
    <s v="BeforeTime"/>
    <x v="9"/>
    <n v="382.01600000000002"/>
  </r>
  <r>
    <x v="33"/>
    <s v="Robert"/>
    <s v="Castillo"/>
    <n v="32"/>
    <x v="2"/>
    <x v="2"/>
    <s v="robert.castillo@gmail.com"/>
    <s v="7143 Brandon Skyway Suite 899, Tylerton, IA 21756"/>
    <x v="205"/>
    <n v="45515"/>
    <s v="16:34:44"/>
    <x v="40"/>
    <n v="425.59"/>
    <n v="1"/>
    <x v="2"/>
    <n v="1"/>
    <n v="62"/>
    <n v="45518"/>
    <s v="16:28:56"/>
    <n v="3"/>
    <n v="425.59"/>
    <n v="0.08"/>
    <n v="391.5428"/>
    <n v="453.5428"/>
    <x v="33"/>
    <s v="Late"/>
    <x v="10"/>
    <n v="0"/>
  </r>
  <r>
    <x v="73"/>
    <s v="Brittany"/>
    <s v="Stewart"/>
    <n v="68"/>
    <x v="1"/>
    <x v="1"/>
    <s v="brittany.stewart@gmail.com"/>
    <s v="6250 David Loaf Suite 561, North Pamelaberg, WV 63652"/>
    <x v="206"/>
    <n v="45112"/>
    <s v="18:27:23"/>
    <x v="8"/>
    <n v="107.47"/>
    <n v="4"/>
    <x v="3"/>
    <n v="5"/>
    <n v="51"/>
    <n v="45115"/>
    <s v="12:42:53"/>
    <n v="3"/>
    <n v="429.88"/>
    <n v="0.2"/>
    <n v="343.904"/>
    <n v="394.904"/>
    <x v="73"/>
    <s v="BeforeTime"/>
    <x v="5"/>
    <n v="8.7090000000000014"/>
  </r>
  <r>
    <x v="84"/>
    <s v="Gary"/>
    <s v="Jacobs"/>
    <n v="64"/>
    <x v="2"/>
    <x v="5"/>
    <s v="gary.jacobs@gmail.com"/>
    <s v="USNV Williams, FPO AP 23197"/>
    <x v="207"/>
    <n v="45633"/>
    <s v="07:19:13"/>
    <x v="8"/>
    <n v="107.47"/>
    <n v="4"/>
    <x v="3"/>
    <n v="5"/>
    <n v="42"/>
    <n v="45637"/>
    <s v="04:47:20"/>
    <n v="4"/>
    <n v="429.88"/>
    <n v="0.2"/>
    <n v="343.904"/>
    <n v="385.904"/>
    <x v="84"/>
    <s v="BeforeTime"/>
    <x v="2"/>
    <n v="33.285000000000004"/>
  </r>
  <r>
    <x v="88"/>
    <s v="Lori"/>
    <s v="Cook"/>
    <n v="18"/>
    <x v="2"/>
    <x v="0"/>
    <s v="lori.cook@rediffmail.com"/>
    <s v="86837 Bell Meadows, North Jasonshire, UT 51354"/>
    <x v="208"/>
    <n v="45380"/>
    <s v="05:02:45"/>
    <x v="8"/>
    <n v="107.47"/>
    <n v="4"/>
    <x v="0"/>
    <n v="3"/>
    <n v="65"/>
    <n v="45385"/>
    <s v="14:00:57"/>
    <n v="5"/>
    <n v="429.88"/>
    <n v="0.1"/>
    <n v="386.892"/>
    <n v="451.892"/>
    <x v="88"/>
    <s v="Late"/>
    <x v="7"/>
    <n v="2.6792000000000002"/>
  </r>
  <r>
    <x v="85"/>
    <s v="Joseph"/>
    <s v="Stewart"/>
    <n v="30"/>
    <x v="2"/>
    <x v="0"/>
    <s v="joseph.stewart@yahoo.com"/>
    <s v="4082 Wang Terrace Suite 040, Victorialand, ME 41532"/>
    <x v="209"/>
    <n v="45188"/>
    <s v="07:36:32"/>
    <x v="8"/>
    <n v="107.47"/>
    <n v="4"/>
    <x v="2"/>
    <n v="2"/>
    <n v="35"/>
    <n v="45191"/>
    <s v="09:34:23"/>
    <n v="3"/>
    <n v="429.88"/>
    <n v="0.08"/>
    <n v="395.4896"/>
    <n v="430.4896"/>
    <x v="85"/>
    <s v="Late"/>
    <x v="0"/>
    <n v="102.1416"/>
  </r>
  <r>
    <x v="89"/>
    <s v="Joseph"/>
    <s v="Gaines"/>
    <n v="47"/>
    <x v="1"/>
    <x v="5"/>
    <s v="joseph.gaines@outlook.com"/>
    <s v="37549 Pope Isle Apt. 202, Tylerborough, MO 60042"/>
    <x v="210"/>
    <n v="45076"/>
    <s v="12:17:34"/>
    <x v="41"/>
    <n v="431.44"/>
    <n v="1"/>
    <x v="1"/>
    <n v="7"/>
    <n v="35"/>
    <n v="45080"/>
    <s v="11:02:15"/>
    <n v="4"/>
    <n v="431.44"/>
    <n v="0"/>
    <n v="431.44"/>
    <n v="431.44"/>
    <x v="89"/>
    <s v="BeforeTime"/>
    <x v="3"/>
    <n v="330.77249999999992"/>
  </r>
  <r>
    <x v="55"/>
    <s v="Barbara"/>
    <s v="Fuller"/>
    <n v="43"/>
    <x v="1"/>
    <x v="7"/>
    <s v="barbara.fuller@rediffmail.com"/>
    <s v="134 Mcintosh Unions Suite 574, Lake Laura, DE 96577"/>
    <x v="211"/>
    <n v="44966"/>
    <s v="09:15:42"/>
    <x v="6"/>
    <n v="87.09"/>
    <n v="5"/>
    <x v="1"/>
    <n v="7"/>
    <n v="56"/>
    <n v="44971"/>
    <s v="09:33:25"/>
    <n v="5"/>
    <n v="435.45000000000005"/>
    <n v="0"/>
    <n v="435.45000000000005"/>
    <n v="435.45000000000005"/>
    <x v="55"/>
    <s v="BeforeTime"/>
    <x v="1"/>
    <n v="58.387499999999996"/>
  </r>
  <r>
    <x v="90"/>
    <s v="Diana"/>
    <s v="French"/>
    <n v="54"/>
    <x v="2"/>
    <x v="5"/>
    <s v="diana.french@outlook.com"/>
    <s v="163 Jeffrey Drive, South Mary, NH 23999"/>
    <x v="212"/>
    <n v="45587"/>
    <s v="04:44:04"/>
    <x v="6"/>
    <n v="87.09"/>
    <n v="5"/>
    <x v="4"/>
    <n v="7"/>
    <n v="40"/>
    <n v="45589"/>
    <s v="21:00:20"/>
    <n v="2"/>
    <n v="435.45000000000005"/>
    <n v="0.15"/>
    <n v="370.13250000000005"/>
    <n v="410.13250000000005"/>
    <x v="90"/>
    <s v="BeforeTime"/>
    <x v="1"/>
    <n v="18.8504"/>
  </r>
  <r>
    <x v="67"/>
    <s v="Amy"/>
    <s v="Reid"/>
    <n v="44"/>
    <x v="2"/>
    <x v="4"/>
    <s v="amy.reid@rediffmail.com"/>
    <s v="6262 Simpson Village, North Danielle, RI 76074"/>
    <x v="213"/>
    <n v="45377"/>
    <s v="01:19:56"/>
    <x v="42"/>
    <n v="220.27"/>
    <n v="2"/>
    <x v="1"/>
    <n v="3"/>
    <n v="39"/>
    <n v="45382"/>
    <s v="21:47:03"/>
    <n v="5"/>
    <n v="440.54"/>
    <n v="0"/>
    <n v="440.54"/>
    <n v="440.54"/>
    <x v="67"/>
    <s v="Late"/>
    <x v="4"/>
    <n v="54.52000000000001"/>
  </r>
  <r>
    <x v="52"/>
    <s v="Beth"/>
    <s v="Mason"/>
    <n v="45"/>
    <x v="1"/>
    <x v="4"/>
    <s v="beth.mason@outlook.com"/>
    <s v="58998 Sherry Haven, East Richard, FL 90775"/>
    <x v="214"/>
    <n v="45673"/>
    <s v="07:53:58"/>
    <x v="42"/>
    <n v="220.27"/>
    <n v="2"/>
    <x v="3"/>
    <n v="1"/>
    <n v="63"/>
    <n v="45675"/>
    <s v="10:10:26"/>
    <n v="2"/>
    <n v="440.54"/>
    <n v="0.2"/>
    <n v="352.43200000000002"/>
    <n v="415.43200000000002"/>
    <x v="52"/>
    <s v="Late"/>
    <x v="9"/>
    <n v="85.975999999999999"/>
  </r>
  <r>
    <x v="26"/>
    <s v="John"/>
    <s v="Ramirez"/>
    <n v="28"/>
    <x v="1"/>
    <x v="3"/>
    <s v="john.ramirez@outlook.com"/>
    <s v="02797 Martin Landing, South Michelle, VT 98781"/>
    <x v="215"/>
    <n v="45550"/>
    <s v="08:29:32"/>
    <x v="42"/>
    <n v="220.27"/>
    <n v="2"/>
    <x v="3"/>
    <n v="1"/>
    <n v="42"/>
    <n v="45552"/>
    <s v="12:32:31"/>
    <n v="2"/>
    <n v="440.54"/>
    <n v="0.2"/>
    <n v="352.43200000000002"/>
    <n v="394.43200000000002"/>
    <x v="26"/>
    <s v="Late"/>
    <x v="7"/>
    <n v="44.070399999999999"/>
  </r>
  <r>
    <x v="18"/>
    <s v="Heather"/>
    <s v="Schneider"/>
    <n v="48"/>
    <x v="2"/>
    <x v="4"/>
    <s v="heather.schneider@outlook.com"/>
    <s v="57940 Susan Creek Apt. 541, Port Aliciamouth, OR 90221"/>
    <x v="216"/>
    <n v="45310"/>
    <s v="04:43:46"/>
    <x v="42"/>
    <n v="220.27"/>
    <n v="2"/>
    <x v="4"/>
    <n v="7"/>
    <n v="42"/>
    <n v="45317"/>
    <s v="01:46:40"/>
    <n v="7"/>
    <n v="440.54"/>
    <n v="0.15"/>
    <n v="374.459"/>
    <n v="416.459"/>
    <x v="18"/>
    <s v="Intime"/>
    <x v="8"/>
    <n v="32.241"/>
  </r>
  <r>
    <x v="12"/>
    <s v="Lindsey"/>
    <s v="Byrd"/>
    <n v="32"/>
    <x v="0"/>
    <x v="7"/>
    <s v="lindsey.byrd@rediffmail.com"/>
    <s v="USCGC Harper, FPO AA 38349"/>
    <x v="217"/>
    <n v="45537"/>
    <s v="10:33:35"/>
    <x v="20"/>
    <n v="110.95"/>
    <n v="4"/>
    <x v="4"/>
    <n v="1"/>
    <n v="60"/>
    <n v="45541"/>
    <s v="05:24:44"/>
    <n v="4"/>
    <n v="443.8"/>
    <n v="0.15"/>
    <n v="377.23"/>
    <n v="437.23"/>
    <x v="12"/>
    <s v="Late"/>
    <x v="8"/>
    <n v="63.411999999999999"/>
  </r>
  <r>
    <x v="91"/>
    <s v="William"/>
    <s v="Mann"/>
    <n v="21"/>
    <x v="0"/>
    <x v="0"/>
    <s v="william.mann@yahoo.com"/>
    <s v="849 Tran Wells, New Lindsayville, WI 22669"/>
    <x v="218"/>
    <n v="45064"/>
    <s v="13:40:58"/>
    <x v="43"/>
    <n v="445.81"/>
    <n v="1"/>
    <x v="3"/>
    <n v="7"/>
    <n v="41"/>
    <n v="45071"/>
    <s v="02:14:28"/>
    <n v="7"/>
    <n v="445.81"/>
    <n v="0.2"/>
    <n v="356.64800000000002"/>
    <n v="397.64800000000002"/>
    <x v="91"/>
    <s v="Intime"/>
    <x v="4"/>
    <n v="145.45599999999999"/>
  </r>
  <r>
    <x v="14"/>
    <s v="Angela"/>
    <s v="Casey"/>
    <n v="40"/>
    <x v="0"/>
    <x v="5"/>
    <s v="angela.casey@gmail.com"/>
    <s v="089 Farley Terrace, Thomashaven, MT 56607"/>
    <x v="219"/>
    <n v="45195"/>
    <s v="08:43:40"/>
    <x v="43"/>
    <n v="445.81"/>
    <n v="1"/>
    <x v="1"/>
    <n v="1"/>
    <n v="51"/>
    <n v="45198"/>
    <s v="05:13:28"/>
    <n v="3"/>
    <n v="445.81"/>
    <n v="0"/>
    <n v="445.81"/>
    <n v="445.81"/>
    <x v="14"/>
    <s v="Late"/>
    <x v="9"/>
    <n v="27.260000000000005"/>
  </r>
  <r>
    <x v="79"/>
    <s v="Mark"/>
    <s v="Henderson"/>
    <n v="33"/>
    <x v="1"/>
    <x v="1"/>
    <s v="mark.henderson@yahoo.com"/>
    <s v="90155 Hines Spring, North Theresafurt, ME 31920"/>
    <x v="220"/>
    <n v="45125"/>
    <s v="20:47:13"/>
    <x v="44"/>
    <n v="461.07"/>
    <n v="1"/>
    <x v="2"/>
    <n v="1"/>
    <n v="56"/>
    <n v="45126"/>
    <s v="16:23:04"/>
    <n v="1"/>
    <n v="461.07"/>
    <n v="0.08"/>
    <n v="424.18439999999998"/>
    <n v="480.18439999999998"/>
    <x v="79"/>
    <s v="Intime"/>
    <x v="3"/>
    <n v="221.41800000000001"/>
  </r>
  <r>
    <x v="61"/>
    <s v="Angela"/>
    <s v="Evans"/>
    <n v="52"/>
    <x v="1"/>
    <x v="0"/>
    <s v="angela.evans@outlook.com"/>
    <s v="16031 David Mountain Suite 431, Susanborough, PA 01910"/>
    <x v="221"/>
    <n v="45427"/>
    <s v="00:17:47"/>
    <x v="44"/>
    <n v="461.07"/>
    <n v="1"/>
    <x v="3"/>
    <n v="7"/>
    <n v="57"/>
    <n v="45434"/>
    <s v="21:42:51"/>
    <n v="7"/>
    <n v="461.07"/>
    <n v="0.2"/>
    <n v="368.85599999999999"/>
    <n v="425.85599999999999"/>
    <x v="61"/>
    <s v="Intime"/>
    <x v="6"/>
    <n v="114.51900000000001"/>
  </r>
  <r>
    <x v="55"/>
    <s v="Barbara"/>
    <s v="Fuller"/>
    <n v="43"/>
    <x v="1"/>
    <x v="7"/>
    <s v="barbara.fuller@rediffmail.com"/>
    <s v="134 Mcintosh Unions Suite 574, Lake Laura, DE 96577"/>
    <x v="222"/>
    <n v="45432"/>
    <s v="21:41:18"/>
    <x v="44"/>
    <n v="461.07"/>
    <n v="1"/>
    <x v="2"/>
    <n v="1"/>
    <n v="42"/>
    <n v="45433"/>
    <s v="21:10:12"/>
    <n v="1"/>
    <n v="461.07"/>
    <n v="0.08"/>
    <n v="424.18439999999998"/>
    <n v="466.18439999999998"/>
    <x v="55"/>
    <s v="Intime"/>
    <x v="5"/>
    <n v="126.50999999999999"/>
  </r>
  <r>
    <x v="47"/>
    <s v="Valerie"/>
    <s v="Carr"/>
    <n v="26"/>
    <x v="1"/>
    <x v="2"/>
    <s v="valerie.carr@rediffmail.com"/>
    <s v="981 Emily Stream, South Brianna, CO 98063"/>
    <x v="223"/>
    <n v="45454"/>
    <s v="03:37:20"/>
    <x v="21"/>
    <n v="235.63"/>
    <n v="2"/>
    <x v="4"/>
    <n v="4"/>
    <n v="44"/>
    <n v="45458"/>
    <s v="08:01:11"/>
    <n v="4"/>
    <n v="471.26"/>
    <n v="0.15"/>
    <n v="400.57100000000003"/>
    <n v="444.57100000000003"/>
    <x v="47"/>
    <s v="Intime"/>
    <x v="4"/>
    <n v="79.226399999999998"/>
  </r>
  <r>
    <x v="40"/>
    <s v="Jenny"/>
    <s v="Estrada"/>
    <n v="45"/>
    <x v="0"/>
    <x v="0"/>
    <s v="jenny.estrada@yahoo.com"/>
    <s v="792 Carlos Islands, West David, CT 16522"/>
    <x v="224"/>
    <n v="45079"/>
    <s v="09:33:35"/>
    <x v="16"/>
    <n v="157.63999999999999"/>
    <n v="3"/>
    <x v="3"/>
    <n v="2"/>
    <n v="47"/>
    <n v="45085"/>
    <s v="13:06:14"/>
    <n v="6"/>
    <n v="472.91999999999996"/>
    <n v="0.2"/>
    <n v="378.33599999999996"/>
    <n v="425.33599999999996"/>
    <x v="40"/>
    <s v="Late"/>
    <x v="4"/>
    <n v="37.262"/>
  </r>
  <r>
    <x v="52"/>
    <s v="Beth"/>
    <s v="Mason"/>
    <n v="45"/>
    <x v="1"/>
    <x v="4"/>
    <s v="beth.mason@outlook.com"/>
    <s v="58998 Sherry Haven, East Richard, FL 90775"/>
    <x v="225"/>
    <n v="45404"/>
    <s v="21:14:38"/>
    <x v="16"/>
    <n v="157.63999999999999"/>
    <n v="3"/>
    <x v="2"/>
    <n v="4"/>
    <n v="66"/>
    <n v="45405"/>
    <s v="11:28:09"/>
    <n v="1"/>
    <n v="472.91999999999996"/>
    <n v="0.08"/>
    <n v="435.08639999999997"/>
    <n v="501.08639999999997"/>
    <x v="52"/>
    <s v="BeforeTime"/>
    <x v="8"/>
    <n v="144.44400000000002"/>
  </r>
  <r>
    <x v="71"/>
    <s v="Susan"/>
    <s v="Thompson"/>
    <n v="37"/>
    <x v="1"/>
    <x v="1"/>
    <s v="susan.thompson@outlook.com"/>
    <s v="47821 William Station, East Ashleymouth, FL 20562"/>
    <x v="226"/>
    <n v="45335"/>
    <s v="10:13:34"/>
    <x v="29"/>
    <n v="158.53"/>
    <n v="3"/>
    <x v="0"/>
    <n v="3"/>
    <n v="63"/>
    <n v="45336"/>
    <s v="00:06:39"/>
    <n v="1"/>
    <n v="475.59000000000003"/>
    <n v="0.1"/>
    <n v="428.03100000000001"/>
    <n v="491.03100000000001"/>
    <x v="71"/>
    <s v="BeforeTime"/>
    <x v="4"/>
    <n v="46.332000000000001"/>
  </r>
  <r>
    <x v="1"/>
    <s v="Thomas"/>
    <s v="Owens"/>
    <n v="34"/>
    <x v="1"/>
    <x v="1"/>
    <s v="thomas.owens@outlook.com"/>
    <s v="43920 Shaffer Valley Suite 531, South Jerry, MD 67120"/>
    <x v="227"/>
    <n v="45324"/>
    <s v="13:33:06"/>
    <x v="29"/>
    <n v="158.53"/>
    <n v="3"/>
    <x v="3"/>
    <n v="6"/>
    <n v="38"/>
    <n v="45331"/>
    <s v="04:01:49"/>
    <n v="7"/>
    <n v="475.59000000000003"/>
    <n v="0.2"/>
    <n v="380.47200000000004"/>
    <n v="418.47200000000004"/>
    <x v="1"/>
    <s v="Late"/>
    <x v="10"/>
    <n v="53.188000000000002"/>
  </r>
  <r>
    <x v="39"/>
    <s v="Hannah"/>
    <s v="Gutierrez"/>
    <n v="55"/>
    <x v="2"/>
    <x v="7"/>
    <s v="hannah.gutierrez@yahoo.com"/>
    <s v="2420 David Manors, Jessicaland, CT 41698"/>
    <x v="228"/>
    <n v="45388"/>
    <s v="17:27:56"/>
    <x v="45"/>
    <n v="477.52"/>
    <n v="1"/>
    <x v="1"/>
    <n v="7"/>
    <n v="48"/>
    <n v="45393"/>
    <s v="05:22:25"/>
    <n v="5"/>
    <n v="477.52"/>
    <n v="0"/>
    <n v="477.52"/>
    <n v="477.52"/>
    <x v="39"/>
    <s v="BeforeTime"/>
    <x v="9"/>
    <n v="119.2384"/>
  </r>
  <r>
    <x v="18"/>
    <s v="Heather"/>
    <s v="Schneider"/>
    <n v="48"/>
    <x v="2"/>
    <x v="4"/>
    <s v="heather.schneider@outlook.com"/>
    <s v="57940 Susan Creek Apt. 541, Port Aliciamouth, OR 90221"/>
    <x v="229"/>
    <n v="45499"/>
    <s v="07:11:09"/>
    <x v="46"/>
    <n v="481.48"/>
    <n v="1"/>
    <x v="2"/>
    <n v="1"/>
    <n v="69"/>
    <n v="45503"/>
    <s v="14:05:53"/>
    <n v="4"/>
    <n v="481.48"/>
    <n v="0.08"/>
    <n v="442.96160000000003"/>
    <n v="511.96160000000003"/>
    <x v="18"/>
    <s v="Late"/>
    <x v="7"/>
    <n v="63.095000000000006"/>
  </r>
  <r>
    <x v="33"/>
    <s v="Robert"/>
    <s v="Castillo"/>
    <n v="32"/>
    <x v="2"/>
    <x v="2"/>
    <s v="robert.castillo@gmail.com"/>
    <s v="7143 Brandon Skyway Suite 899, Tylerton, IA 21756"/>
    <x v="230"/>
    <n v="45143"/>
    <s v="20:14:30"/>
    <x v="46"/>
    <n v="481.48"/>
    <n v="1"/>
    <x v="4"/>
    <n v="4"/>
    <n v="67"/>
    <n v="45150"/>
    <s v="12:31:00"/>
    <n v="7"/>
    <n v="481.48"/>
    <n v="0.15"/>
    <n v="409.25800000000004"/>
    <n v="476.25800000000004"/>
    <x v="33"/>
    <s v="Late"/>
    <x v="9"/>
    <n v="120.90899999999999"/>
  </r>
  <r>
    <x v="24"/>
    <s v="Traci"/>
    <s v="Jones"/>
    <n v="34"/>
    <x v="0"/>
    <x v="4"/>
    <s v="traci.jones@yahoo.com"/>
    <s v="4016 Ryan Passage, Collinsside, PA 88777"/>
    <x v="231"/>
    <n v="45283"/>
    <s v="08:17:07"/>
    <x v="46"/>
    <n v="481.48"/>
    <n v="1"/>
    <x v="2"/>
    <n v="5"/>
    <n v="70"/>
    <n v="45287"/>
    <s v="07:01:18"/>
    <n v="4"/>
    <n v="481.48"/>
    <n v="0.08"/>
    <n v="442.96160000000003"/>
    <n v="512.96160000000009"/>
    <x v="24"/>
    <s v="BeforeTime"/>
    <x v="3"/>
    <n v="47.291999999999994"/>
  </r>
  <r>
    <x v="40"/>
    <s v="Jenny"/>
    <s v="Estrada"/>
    <n v="45"/>
    <x v="0"/>
    <x v="0"/>
    <s v="jenny.estrada@yahoo.com"/>
    <s v="792 Carlos Islands, West David, CT 16522"/>
    <x v="232"/>
    <n v="45271"/>
    <s v="18:42:20"/>
    <x v="17"/>
    <n v="166.28"/>
    <n v="3"/>
    <x v="0"/>
    <n v="6"/>
    <n v="59"/>
    <n v="45275"/>
    <s v="00:21:21"/>
    <n v="4"/>
    <n v="498.84000000000003"/>
    <n v="0.1"/>
    <n v="448.95600000000002"/>
    <n v="507.95600000000002"/>
    <x v="40"/>
    <s v="BeforeTime"/>
    <x v="11"/>
    <n v="12.814"/>
  </r>
  <r>
    <x v="22"/>
    <s v="Lauren"/>
    <s v="Lane"/>
    <n v="30"/>
    <x v="0"/>
    <x v="1"/>
    <s v="lauren.lane@gmail.com"/>
    <s v="56985 Sergio Extensions, Port Albert, CO 02898"/>
    <x v="233"/>
    <n v="45393"/>
    <s v="07:59:11"/>
    <x v="9"/>
    <n v="126.19"/>
    <n v="4"/>
    <x v="2"/>
    <n v="5"/>
    <n v="69"/>
    <n v="45396"/>
    <s v="05:33:08"/>
    <n v="3"/>
    <n v="504.76"/>
    <n v="0.08"/>
    <n v="464.37919999999997"/>
    <n v="533.37919999999997"/>
    <x v="22"/>
    <s v="BeforeTime"/>
    <x v="1"/>
    <n v="0"/>
  </r>
  <r>
    <x v="8"/>
    <s v="Erin"/>
    <s v="Miller"/>
    <n v="46"/>
    <x v="0"/>
    <x v="2"/>
    <s v="erin.miller@gmail.com"/>
    <s v="65972 Peterson Route, Port Andrewfurt, SD 32892"/>
    <x v="234"/>
    <n v="45591"/>
    <s v="04:35:15"/>
    <x v="22"/>
    <n v="257.06"/>
    <n v="2"/>
    <x v="4"/>
    <n v="7"/>
    <n v="59"/>
    <n v="45592"/>
    <s v="15:55:56"/>
    <n v="1"/>
    <n v="514.12"/>
    <n v="0.15"/>
    <n v="437.00200000000001"/>
    <n v="496.00200000000001"/>
    <x v="8"/>
    <s v="BeforeTime"/>
    <x v="11"/>
    <n v="54.502000000000002"/>
  </r>
  <r>
    <x v="23"/>
    <s v="Christian"/>
    <s v="Clayton"/>
    <n v="39"/>
    <x v="2"/>
    <x v="7"/>
    <s v="christian.clayton@yahoo.com"/>
    <s v="065 Madison Way, Smithstad, CT 68011"/>
    <x v="235"/>
    <n v="45352"/>
    <s v="10:38:12"/>
    <x v="7"/>
    <n v="104.18"/>
    <n v="5"/>
    <x v="2"/>
    <n v="5"/>
    <n v="58"/>
    <n v="45356"/>
    <s v="13:23:35"/>
    <n v="4"/>
    <n v="520.90000000000009"/>
    <n v="0.08"/>
    <n v="479.22800000000007"/>
    <n v="537.22800000000007"/>
    <x v="23"/>
    <s v="BeforeTime"/>
    <x v="3"/>
    <n v="163.63800000000001"/>
  </r>
  <r>
    <x v="80"/>
    <s v="Sharon"/>
    <s v="Thompson"/>
    <n v="57"/>
    <x v="2"/>
    <x v="1"/>
    <s v="sharon.thompson@yahoo.com"/>
    <s v="598 Jasmine Harbor, Turnerberg, SD 02371"/>
    <x v="236"/>
    <n v="45346"/>
    <s v="02:51:35"/>
    <x v="31"/>
    <n v="175.93"/>
    <n v="3"/>
    <x v="2"/>
    <n v="4"/>
    <n v="46"/>
    <n v="45351"/>
    <s v="05:56:26"/>
    <n v="5"/>
    <n v="527.79"/>
    <n v="0.08"/>
    <n v="485.56679999999994"/>
    <n v="531.56679999999994"/>
    <x v="80"/>
    <s v="Late"/>
    <x v="8"/>
    <n v="218.18400000000003"/>
  </r>
  <r>
    <x v="75"/>
    <s v="Aaron"/>
    <s v="Thompson"/>
    <n v="47"/>
    <x v="2"/>
    <x v="4"/>
    <s v="aaron.thompson@gmail.com"/>
    <s v="PSC 0550, Box 2737, APO AE 75772"/>
    <x v="237"/>
    <n v="45012"/>
    <s v="03:13:28"/>
    <x v="31"/>
    <n v="175.93"/>
    <n v="3"/>
    <x v="1"/>
    <n v="3"/>
    <n v="58"/>
    <n v="45017"/>
    <s v="07:58:28"/>
    <n v="5"/>
    <n v="527.79"/>
    <n v="0"/>
    <n v="527.79"/>
    <n v="527.79"/>
    <x v="75"/>
    <s v="Late"/>
    <x v="9"/>
    <n v="235.63000000000002"/>
  </r>
  <r>
    <x v="78"/>
    <s v="Anne"/>
    <s v="Oconnell"/>
    <n v="37"/>
    <x v="0"/>
    <x v="6"/>
    <s v="anne.oconnell@outlook.com"/>
    <s v="2850 Matthew Ford, North Yolandachester, FL 67488"/>
    <x v="238"/>
    <n v="45162"/>
    <s v="22:31:31"/>
    <x v="12"/>
    <n v="132.97"/>
    <n v="4"/>
    <x v="0"/>
    <n v="3"/>
    <n v="43"/>
    <n v="45163"/>
    <s v="17:01:58"/>
    <n v="1"/>
    <n v="531.88"/>
    <n v="0.1"/>
    <n v="478.69200000000001"/>
    <n v="521.69200000000001"/>
    <x v="78"/>
    <s v="BeforeTime"/>
    <x v="8"/>
    <n v="10.6896"/>
  </r>
  <r>
    <x v="57"/>
    <s v="Debra"/>
    <s v="Hayes"/>
    <n v="33"/>
    <x v="0"/>
    <x v="2"/>
    <s v="debra.hayes@yahoo.com"/>
    <s v="4601 Miller Lock, Williamsbury, IA 10943"/>
    <x v="239"/>
    <n v="45528"/>
    <s v="05:36:29"/>
    <x v="12"/>
    <n v="132.97"/>
    <n v="4"/>
    <x v="1"/>
    <n v="6"/>
    <n v="63"/>
    <n v="45535"/>
    <s v="07:21:52"/>
    <n v="7"/>
    <n v="531.88"/>
    <n v="0"/>
    <n v="531.88"/>
    <n v="531.88"/>
    <x v="57"/>
    <s v="Late"/>
    <x v="11"/>
    <n v="113.05200000000001"/>
  </r>
  <r>
    <x v="86"/>
    <s v="Bobby"/>
    <s v="Forbes"/>
    <n v="20"/>
    <x v="0"/>
    <x v="4"/>
    <s v="bobby.forbes@gmail.com"/>
    <s v="3079 John Parkway Suite 961, Port Kristaview, MT 91019"/>
    <x v="240"/>
    <n v="44981"/>
    <s v="20:48:48"/>
    <x v="8"/>
    <n v="107.47"/>
    <n v="5"/>
    <x v="3"/>
    <n v="6"/>
    <n v="48"/>
    <n v="44987"/>
    <s v="15:06:55"/>
    <n v="6"/>
    <n v="537.35"/>
    <n v="0.2"/>
    <n v="429.88"/>
    <n v="477.88"/>
    <x v="86"/>
    <s v="Intime"/>
    <x v="7"/>
    <n v="49.884000000000007"/>
  </r>
  <r>
    <x v="29"/>
    <s v="Julie"/>
    <s v="Meyer"/>
    <n v="23"/>
    <x v="0"/>
    <x v="6"/>
    <s v="julie.meyer@yahoo.com"/>
    <s v="17381 Smith Ramp Suite 398, Courtneyville, AL 17756"/>
    <x v="241"/>
    <n v="45622"/>
    <s v="04:19:31"/>
    <x v="8"/>
    <n v="107.47"/>
    <n v="5"/>
    <x v="2"/>
    <n v="4"/>
    <n v="37"/>
    <n v="45628"/>
    <s v="17:52:11"/>
    <n v="6"/>
    <n v="537.35"/>
    <n v="0.08"/>
    <n v="494.36200000000002"/>
    <n v="531.36200000000008"/>
    <x v="29"/>
    <s v="Late"/>
    <x v="9"/>
    <n v="170.23599999999999"/>
  </r>
  <r>
    <x v="31"/>
    <s v="Melissa"/>
    <s v="Levy"/>
    <n v="30"/>
    <x v="0"/>
    <x v="7"/>
    <s v="melissa.levy@rediffmail.com"/>
    <s v="3303 Kennedy Springs Suite 830, East Amybury, MI 95595"/>
    <x v="242"/>
    <n v="45417"/>
    <s v="17:14:37"/>
    <x v="8"/>
    <n v="107.47"/>
    <n v="5"/>
    <x v="0"/>
    <n v="4"/>
    <n v="47"/>
    <n v="45424"/>
    <s v="12:54:21"/>
    <n v="7"/>
    <n v="537.35"/>
    <n v="0.1"/>
    <n v="483.61500000000001"/>
    <n v="530.61500000000001"/>
    <x v="31"/>
    <s v="Late"/>
    <x v="2"/>
    <n v="181.82"/>
  </r>
  <r>
    <x v="34"/>
    <s v="Sarah"/>
    <s v="Butler"/>
    <n v="64"/>
    <x v="0"/>
    <x v="6"/>
    <s v="sarah.butler@rediffmail.com"/>
    <s v="14131 Edwin Shore Apt. 190, Deniseberg, MD 90905"/>
    <x v="243"/>
    <n v="45147"/>
    <s v="05:37:55"/>
    <x v="8"/>
    <n v="107.47"/>
    <n v="5"/>
    <x v="3"/>
    <n v="6"/>
    <n v="47"/>
    <n v="45149"/>
    <s v="12:11:43"/>
    <n v="2"/>
    <n v="537.35"/>
    <n v="0.2"/>
    <n v="429.88"/>
    <n v="476.88"/>
    <x v="34"/>
    <s v="BeforeTime"/>
    <x v="6"/>
    <n v="403.03"/>
  </r>
  <r>
    <x v="24"/>
    <s v="Traci"/>
    <s v="Jones"/>
    <n v="34"/>
    <x v="0"/>
    <x v="4"/>
    <s v="traci.jones@yahoo.com"/>
    <s v="4016 Ryan Passage, Collinsside, PA 88777"/>
    <x v="244"/>
    <n v="45504"/>
    <s v="01:12:34"/>
    <x v="8"/>
    <n v="107.47"/>
    <n v="5"/>
    <x v="0"/>
    <n v="5"/>
    <n v="48"/>
    <n v="45505"/>
    <s v="10:01:43"/>
    <n v="1"/>
    <n v="537.35"/>
    <n v="0.1"/>
    <n v="483.61500000000001"/>
    <n v="531.61500000000001"/>
    <x v="24"/>
    <s v="BeforeTime"/>
    <x v="1"/>
    <n v="73.805999999999997"/>
  </r>
  <r>
    <x v="87"/>
    <s v="Jodi"/>
    <s v="Whitney"/>
    <n v="33"/>
    <x v="1"/>
    <x v="2"/>
    <s v="jodi.whitney@yahoo.com"/>
    <s v="72876 Lara Key Suite 383, Gutierrezton, OR 71683"/>
    <x v="245"/>
    <n v="45257"/>
    <s v="09:01:24"/>
    <x v="23"/>
    <n v="272.51"/>
    <n v="2"/>
    <x v="0"/>
    <n v="4"/>
    <n v="48"/>
    <n v="45264"/>
    <s v="18:41:50"/>
    <n v="7"/>
    <n v="545.02"/>
    <n v="0.1"/>
    <n v="490.51799999999997"/>
    <n v="538.51800000000003"/>
    <x v="87"/>
    <s v="Late"/>
    <x v="6"/>
    <n v="210.85000000000002"/>
  </r>
  <r>
    <x v="41"/>
    <s v="Jared"/>
    <s v="Horn"/>
    <n v="43"/>
    <x v="0"/>
    <x v="3"/>
    <s v="jared.horn@outlook.com"/>
    <s v="43325 Barbara Tunnel, Port James, LA 16246"/>
    <x v="246"/>
    <n v="45637"/>
    <s v="12:50:48"/>
    <x v="23"/>
    <n v="272.51"/>
    <n v="2"/>
    <x v="3"/>
    <n v="5"/>
    <n v="37"/>
    <n v="45640"/>
    <s v="19:56:33"/>
    <n v="3"/>
    <n v="545.02"/>
    <n v="0.2"/>
    <n v="436.01599999999996"/>
    <n v="473.01599999999996"/>
    <x v="41"/>
    <s v="BeforeTime"/>
    <x v="11"/>
    <n v="122.15360000000001"/>
  </r>
  <r>
    <x v="92"/>
    <s v="James"/>
    <s v="Brown"/>
    <n v="60"/>
    <x v="0"/>
    <x v="3"/>
    <s v="james.brown@yahoo.com"/>
    <s v="221 Frey Crossing Suite 192, South Taylorland, HI 72875"/>
    <x v="247"/>
    <n v="45663"/>
    <s v="00:30:57"/>
    <x v="14"/>
    <n v="136.30000000000001"/>
    <n v="4"/>
    <x v="1"/>
    <n v="5"/>
    <n v="61"/>
    <n v="45668"/>
    <s v="15:41:07"/>
    <n v="5"/>
    <n v="545.20000000000005"/>
    <n v="0"/>
    <n v="545.20000000000005"/>
    <n v="545.20000000000005"/>
    <x v="92"/>
    <s v="Intime"/>
    <x v="3"/>
    <n v="35.186"/>
  </r>
  <r>
    <x v="29"/>
    <s v="Julie"/>
    <s v="Meyer"/>
    <n v="23"/>
    <x v="0"/>
    <x v="6"/>
    <s v="julie.meyer@yahoo.com"/>
    <s v="17381 Smith Ramp Suite 398, Courtneyville, AL 17756"/>
    <x v="248"/>
    <n v="45271"/>
    <s v="21:53:54"/>
    <x v="14"/>
    <n v="136.30000000000001"/>
    <n v="4"/>
    <x v="0"/>
    <n v="1"/>
    <n v="35"/>
    <n v="45275"/>
    <s v="23:00:06"/>
    <n v="4"/>
    <n v="545.20000000000005"/>
    <n v="0.1"/>
    <n v="490.68000000000006"/>
    <n v="525.68000000000006"/>
    <x v="29"/>
    <s v="Late"/>
    <x v="5"/>
    <n v="114.51900000000001"/>
  </r>
  <r>
    <x v="10"/>
    <s v="Gina"/>
    <s v="Moreno"/>
    <n v="36"/>
    <x v="1"/>
    <x v="3"/>
    <s v="gina.moreno@rediffmail.com"/>
    <s v="USS Murray, FPO AP 66559"/>
    <x v="249"/>
    <n v="45368"/>
    <s v="02:46:16"/>
    <x v="14"/>
    <n v="136.30000000000001"/>
    <n v="4"/>
    <x v="2"/>
    <n v="6"/>
    <n v="52"/>
    <n v="45371"/>
    <s v="09:28:52"/>
    <n v="3"/>
    <n v="545.20000000000005"/>
    <n v="0.08"/>
    <n v="501.58400000000006"/>
    <n v="553.58400000000006"/>
    <x v="10"/>
    <s v="BeforeTime"/>
    <x v="6"/>
    <n v="0"/>
  </r>
  <r>
    <x v="60"/>
    <s v="Rachael"/>
    <s v="Robinson"/>
    <n v="24"/>
    <x v="1"/>
    <x v="1"/>
    <s v="rachael.robinson@rediffmail.com"/>
    <s v="0889 Brady Points, Port Meganhaven, NM 26553"/>
    <x v="250"/>
    <n v="45271"/>
    <s v="14:41:09"/>
    <x v="24"/>
    <n v="275.44"/>
    <n v="2"/>
    <x v="2"/>
    <n v="2"/>
    <n v="36"/>
    <n v="45276"/>
    <s v="07:56:25"/>
    <n v="5"/>
    <n v="550.88"/>
    <n v="0.08"/>
    <n v="506.80959999999999"/>
    <n v="542.80960000000005"/>
    <x v="60"/>
    <s v="Late"/>
    <x v="10"/>
    <n v="21.808000000000003"/>
  </r>
  <r>
    <x v="92"/>
    <s v="James"/>
    <s v="Brown"/>
    <n v="60"/>
    <x v="0"/>
    <x v="3"/>
    <s v="james.brown@yahoo.com"/>
    <s v="221 Frey Crossing Suite 192, South Taylorland, HI 72875"/>
    <x v="251"/>
    <n v="45053"/>
    <s v="11:51:15"/>
    <x v="24"/>
    <n v="275.44"/>
    <n v="2"/>
    <x v="4"/>
    <n v="4"/>
    <n v="54"/>
    <n v="45059"/>
    <s v="10:20:47"/>
    <n v="6"/>
    <n v="550.88"/>
    <n v="0.15"/>
    <n v="468.24799999999999"/>
    <n v="522.24800000000005"/>
    <x v="92"/>
    <s v="Late"/>
    <x v="3"/>
    <n v="181.36349999999999"/>
  </r>
  <r>
    <x v="58"/>
    <s v="Mary"/>
    <s v="Knight"/>
    <n v="28"/>
    <x v="1"/>
    <x v="5"/>
    <s v="mary.knight@yahoo.com"/>
    <s v="907 Kimberly Hill, Murrayfort, NH 88384"/>
    <x v="252"/>
    <n v="45247"/>
    <s v="23:43:28"/>
    <x v="24"/>
    <n v="275.44"/>
    <n v="2"/>
    <x v="3"/>
    <n v="3"/>
    <n v="43"/>
    <n v="45251"/>
    <s v="12:35:16"/>
    <n v="4"/>
    <n v="550.88"/>
    <n v="0.2"/>
    <n v="440.70400000000001"/>
    <n v="483.70400000000001"/>
    <x v="58"/>
    <s v="Late"/>
    <x v="11"/>
    <n v="152.69200000000001"/>
  </r>
  <r>
    <x v="60"/>
    <s v="Rachael"/>
    <s v="Robinson"/>
    <n v="24"/>
    <x v="1"/>
    <x v="1"/>
    <s v="rachael.robinson@rediffmail.com"/>
    <s v="0889 Brady Points, Port Meganhaven, NM 26553"/>
    <x v="253"/>
    <n v="45045"/>
    <s v="02:22:40"/>
    <x v="20"/>
    <n v="110.95"/>
    <n v="5"/>
    <x v="3"/>
    <n v="5"/>
    <n v="62"/>
    <n v="45047"/>
    <s v="00:47:16"/>
    <n v="2"/>
    <n v="554.75"/>
    <n v="0.2"/>
    <n v="443.8"/>
    <n v="505.8"/>
    <x v="60"/>
    <s v="BeforeTime"/>
    <x v="5"/>
    <n v="30.538400000000003"/>
  </r>
  <r>
    <x v="14"/>
    <s v="Angela"/>
    <s v="Casey"/>
    <n v="40"/>
    <x v="0"/>
    <x v="5"/>
    <s v="angela.casey@gmail.com"/>
    <s v="089 Farley Terrace, Thomashaven, MT 56607"/>
    <x v="254"/>
    <n v="45193"/>
    <s v="15:18:11"/>
    <x v="25"/>
    <n v="282.63"/>
    <n v="2"/>
    <x v="4"/>
    <n v="6"/>
    <n v="62"/>
    <n v="45194"/>
    <s v="23:05:05"/>
    <n v="1"/>
    <n v="565.26"/>
    <n v="0.15"/>
    <n v="480.471"/>
    <n v="542.471"/>
    <x v="14"/>
    <s v="BeforeTime"/>
    <x v="6"/>
    <n v="85.117999999999995"/>
  </r>
  <r>
    <x v="15"/>
    <s v="Jessica"/>
    <s v="Ruiz"/>
    <n v="19"/>
    <x v="2"/>
    <x v="5"/>
    <s v="jessica.ruiz@rediffmail.com"/>
    <s v="02370 Laura Station Suite 309, Brandonville, DE 18875"/>
    <x v="255"/>
    <n v="44997"/>
    <s v="20:03:28"/>
    <x v="18"/>
    <n v="190.1"/>
    <n v="3"/>
    <x v="2"/>
    <n v="4"/>
    <n v="63"/>
    <n v="45002"/>
    <s v="11:16:12"/>
    <n v="5"/>
    <n v="570.29999999999995"/>
    <n v="0.08"/>
    <n v="524.67599999999993"/>
    <n v="587.67599999999993"/>
    <x v="15"/>
    <s v="Late"/>
    <x v="5"/>
    <n v="288.88799999999998"/>
  </r>
  <r>
    <x v="20"/>
    <s v="Christy"/>
    <s v="Chang"/>
    <n v="38"/>
    <x v="2"/>
    <x v="1"/>
    <s v="christy.chang@outlook.com"/>
    <s v="4647 Hannah Centers, Rhodesburgh, NH 89363"/>
    <x v="256"/>
    <n v="45312"/>
    <s v="20:10:30"/>
    <x v="18"/>
    <n v="190.1"/>
    <n v="3"/>
    <x v="0"/>
    <n v="3"/>
    <n v="41"/>
    <n v="45315"/>
    <s v="15:08:52"/>
    <n v="3"/>
    <n v="570.29999999999995"/>
    <n v="0.1"/>
    <n v="513.27"/>
    <n v="554.27"/>
    <x v="20"/>
    <s v="Intime"/>
    <x v="10"/>
    <n v="84.34"/>
  </r>
  <r>
    <x v="58"/>
    <s v="Mary"/>
    <s v="Knight"/>
    <n v="28"/>
    <x v="1"/>
    <x v="5"/>
    <s v="mary.knight@yahoo.com"/>
    <s v="907 Kimberly Hill, Murrayfort, NH 88384"/>
    <x v="257"/>
    <n v="45482"/>
    <s v="21:35:45"/>
    <x v="26"/>
    <n v="286.07"/>
    <n v="2"/>
    <x v="2"/>
    <n v="3"/>
    <n v="54"/>
    <n v="45485"/>
    <s v="09:34:31"/>
    <n v="3"/>
    <n v="572.14"/>
    <n v="0.08"/>
    <n v="526.36879999999996"/>
    <n v="580.36879999999996"/>
    <x v="58"/>
    <s v="Intime"/>
    <x v="3"/>
    <n v="0"/>
  </r>
  <r>
    <x v="58"/>
    <s v="Mary"/>
    <s v="Knight"/>
    <n v="28"/>
    <x v="1"/>
    <x v="5"/>
    <s v="mary.knight@yahoo.com"/>
    <s v="907 Kimberly Hill, Murrayfort, NH 88384"/>
    <x v="258"/>
    <n v="45523"/>
    <s v="22:46:23"/>
    <x v="27"/>
    <n v="292.14999999999998"/>
    <n v="2"/>
    <x v="4"/>
    <n v="4"/>
    <n v="58"/>
    <n v="45526"/>
    <s v="08:30:57"/>
    <n v="3"/>
    <n v="584.29999999999995"/>
    <n v="0.15"/>
    <n v="496.65499999999997"/>
    <n v="554.65499999999997"/>
    <x v="58"/>
    <s v="BeforeTime"/>
    <x v="4"/>
    <n v="113.05200000000001"/>
  </r>
  <r>
    <x v="93"/>
    <s v="Bruce"/>
    <s v="Allen"/>
    <n v="32"/>
    <x v="2"/>
    <x v="6"/>
    <s v="bruce.allen@rediffmail.com"/>
    <s v="2417 Brown Ford, West Timothyside, RI 45629"/>
    <x v="259"/>
    <n v="45343"/>
    <s v="02:52:20"/>
    <x v="27"/>
    <n v="292.14999999999998"/>
    <n v="2"/>
    <x v="4"/>
    <n v="6"/>
    <n v="60"/>
    <n v="45348"/>
    <s v="04:02:49"/>
    <n v="5"/>
    <n v="584.29999999999995"/>
    <n v="0.15"/>
    <n v="496.65499999999997"/>
    <n v="556.65499999999997"/>
    <x v="93"/>
    <s v="BeforeTime"/>
    <x v="1"/>
    <n v="47.559000000000005"/>
  </r>
  <r>
    <x v="7"/>
    <s v="Gregory"/>
    <s v="Lee"/>
    <n v="26"/>
    <x v="1"/>
    <x v="5"/>
    <s v="gregory.lee@rediffmail.com"/>
    <s v="619 Parker Turnpike Apt. 025, West Brucehaven, ID 48437"/>
    <x v="260"/>
    <n v="45432"/>
    <s v="18:15:56"/>
    <x v="28"/>
    <n v="308.88"/>
    <n v="2"/>
    <x v="3"/>
    <n v="4"/>
    <n v="61"/>
    <n v="45436"/>
    <s v="04:57:03"/>
    <n v="4"/>
    <n v="617.76"/>
    <n v="0.2"/>
    <n v="494.20799999999997"/>
    <n v="555.20799999999997"/>
    <x v="7"/>
    <s v="Intime"/>
    <x v="3"/>
    <n v="14.9808"/>
  </r>
  <r>
    <x v="84"/>
    <s v="Gary"/>
    <s v="Jacobs"/>
    <n v="64"/>
    <x v="2"/>
    <x v="5"/>
    <s v="gary.jacobs@gmail.com"/>
    <s v="USNV Williams, FPO AP 23197"/>
    <x v="261"/>
    <n v="45539"/>
    <s v="11:30:19"/>
    <x v="28"/>
    <n v="308.88"/>
    <n v="2"/>
    <x v="3"/>
    <n v="2"/>
    <n v="55"/>
    <n v="45541"/>
    <s v="02:44:11"/>
    <n v="2"/>
    <n v="617.76"/>
    <n v="0.2"/>
    <n v="494.20799999999997"/>
    <n v="549.20799999999997"/>
    <x v="84"/>
    <s v="Intime"/>
    <x v="6"/>
    <n v="70.688999999999993"/>
  </r>
  <r>
    <x v="51"/>
    <s v="Teresa"/>
    <s v="Harvey"/>
    <n v="64"/>
    <x v="1"/>
    <x v="6"/>
    <s v="teresa.harvey@gmail.com"/>
    <s v="02669 Kirk Squares, Davisville, VA 51272"/>
    <x v="262"/>
    <n v="45039"/>
    <s v="10:35:41"/>
    <x v="16"/>
    <n v="157.63999999999999"/>
    <n v="4"/>
    <x v="3"/>
    <n v="7"/>
    <n v="59"/>
    <n v="45046"/>
    <s v="09:28:47"/>
    <n v="7"/>
    <n v="630.55999999999995"/>
    <n v="0.2"/>
    <n v="504.44799999999998"/>
    <n v="563.44799999999998"/>
    <x v="51"/>
    <s v="Intime"/>
    <x v="4"/>
    <n v="25.222399999999997"/>
  </r>
  <r>
    <x v="75"/>
    <s v="Aaron"/>
    <s v="Thompson"/>
    <n v="47"/>
    <x v="2"/>
    <x v="4"/>
    <s v="aaron.thompson@gmail.com"/>
    <s v="PSC 0550, Box 2737, APO AE 75772"/>
    <x v="263"/>
    <n v="45054"/>
    <s v="19:20:51"/>
    <x v="16"/>
    <n v="157.63999999999999"/>
    <n v="4"/>
    <x v="2"/>
    <n v="4"/>
    <n v="44"/>
    <n v="45061"/>
    <s v="07:23:46"/>
    <n v="7"/>
    <n v="630.55999999999995"/>
    <n v="0.08"/>
    <n v="580.11519999999996"/>
    <n v="624.11519999999996"/>
    <x v="75"/>
    <s v="Late"/>
    <x v="0"/>
    <n v="223.572"/>
  </r>
  <r>
    <x v="17"/>
    <s v="Debra"/>
    <s v="Rodriguez"/>
    <n v="48"/>
    <x v="1"/>
    <x v="0"/>
    <s v="debra.rodriguez@rediffmail.com"/>
    <s v="Unit 5964 Box 0721, DPO AP 01840"/>
    <x v="264"/>
    <n v="45661"/>
    <s v="21:06:59"/>
    <x v="16"/>
    <n v="157.63999999999999"/>
    <n v="4"/>
    <x v="1"/>
    <n v="7"/>
    <n v="42"/>
    <n v="45663"/>
    <s v="07:58:32"/>
    <n v="2"/>
    <n v="630.55999999999995"/>
    <n v="0"/>
    <n v="630.55999999999995"/>
    <n v="630.55999999999995"/>
    <x v="17"/>
    <s v="BeforeTime"/>
    <x v="5"/>
    <n v="161.21199999999999"/>
  </r>
  <r>
    <x v="88"/>
    <s v="Lori"/>
    <s v="Cook"/>
    <n v="18"/>
    <x v="2"/>
    <x v="0"/>
    <s v="lori.cook@rediffmail.com"/>
    <s v="86837 Bell Meadows, North Jasonshire, UT 51354"/>
    <x v="265"/>
    <n v="45273"/>
    <s v="09:55:21"/>
    <x v="9"/>
    <n v="126.19"/>
    <n v="5"/>
    <x v="0"/>
    <n v="4"/>
    <n v="47"/>
    <n v="45280"/>
    <s v="22:38:31"/>
    <n v="7"/>
    <n v="630.95000000000005"/>
    <n v="0.1"/>
    <n v="567.85500000000002"/>
    <n v="614.85500000000002"/>
    <x v="88"/>
    <s v="Late"/>
    <x v="0"/>
    <n v="0"/>
  </r>
  <r>
    <x v="13"/>
    <s v="Amanda"/>
    <s v="Howard"/>
    <n v="52"/>
    <x v="1"/>
    <x v="1"/>
    <s v="amanda.howard@outlook.com"/>
    <s v="56908 Sydney Park Suite 632, West Anthonyport, NC 15954"/>
    <x v="266"/>
    <n v="45145"/>
    <s v="01:45:28"/>
    <x v="10"/>
    <n v="128.13999999999999"/>
    <n v="5"/>
    <x v="4"/>
    <n v="2"/>
    <n v="57"/>
    <n v="45147"/>
    <s v="07:09:53"/>
    <n v="2"/>
    <n v="640.69999999999993"/>
    <n v="0.15"/>
    <n v="544.59499999999991"/>
    <n v="601.59499999999991"/>
    <x v="13"/>
    <s v="Intime"/>
    <x v="4"/>
    <n v="54.52000000000001"/>
  </r>
  <r>
    <x v="6"/>
    <s v="Lauren"/>
    <s v="Crane"/>
    <n v="62"/>
    <x v="2"/>
    <x v="0"/>
    <s v="lauren.crane@yahoo.com"/>
    <s v="30313 Reyes Parkways Suite 392, Port Bradley, SC 24078"/>
    <x v="267"/>
    <n v="45678"/>
    <s v="07:24:54"/>
    <x v="10"/>
    <n v="128.13999999999999"/>
    <n v="5"/>
    <x v="3"/>
    <n v="7"/>
    <n v="68"/>
    <n v="45685"/>
    <s v="03:15:28"/>
    <n v="7"/>
    <n v="640.69999999999993"/>
    <n v="0.2"/>
    <n v="512.55999999999995"/>
    <n v="580.55999999999995"/>
    <x v="6"/>
    <s v="Intime"/>
    <x v="3"/>
    <n v="44.38"/>
  </r>
  <r>
    <x v="89"/>
    <s v="Joseph"/>
    <s v="Gaines"/>
    <n v="47"/>
    <x v="1"/>
    <x v="5"/>
    <s v="joseph.gaines@outlook.com"/>
    <s v="37549 Pope Isle Apt. 202, Tylerborough, MO 60042"/>
    <x v="268"/>
    <n v="45051"/>
    <s v="19:48:44"/>
    <x v="11"/>
    <n v="129.75"/>
    <n v="5"/>
    <x v="1"/>
    <n v="3"/>
    <n v="43"/>
    <n v="45057"/>
    <s v="16:27:41"/>
    <n v="6"/>
    <n v="648.75"/>
    <n v="0"/>
    <n v="648.75"/>
    <n v="648.75"/>
    <x v="89"/>
    <s v="Late"/>
    <x v="1"/>
    <n v="0"/>
  </r>
  <r>
    <x v="94"/>
    <s v="Christine"/>
    <s v="Aguilar"/>
    <n v="46"/>
    <x v="0"/>
    <x v="6"/>
    <s v="christine.aguilar@gmail.com"/>
    <s v="3284 Martin Neck, Lopezville, NY 69154"/>
    <x v="269"/>
    <n v="45051"/>
    <s v="08:20:59"/>
    <x v="11"/>
    <n v="129.75"/>
    <n v="5"/>
    <x v="3"/>
    <n v="6"/>
    <n v="38"/>
    <n v="45057"/>
    <s v="17:38:42"/>
    <n v="6"/>
    <n v="648.75"/>
    <n v="0.2"/>
    <n v="519"/>
    <n v="557"/>
    <x v="94"/>
    <s v="Intime"/>
    <x v="6"/>
    <n v="25.222399999999997"/>
  </r>
  <r>
    <x v="91"/>
    <s v="William"/>
    <s v="Mann"/>
    <n v="21"/>
    <x v="0"/>
    <x v="0"/>
    <s v="william.mann@yahoo.com"/>
    <s v="849 Tran Wells, New Lindsayville, WI 22669"/>
    <x v="270"/>
    <n v="45041"/>
    <s v="01:05:15"/>
    <x v="30"/>
    <n v="330.11"/>
    <n v="2"/>
    <x v="2"/>
    <n v="3"/>
    <n v="64"/>
    <n v="45046"/>
    <s v="13:48:26"/>
    <n v="5"/>
    <n v="660.22"/>
    <n v="0.08"/>
    <n v="607.40240000000006"/>
    <n v="671.40240000000006"/>
    <x v="91"/>
    <s v="Late"/>
    <x v="0"/>
    <n v="45.623999999999995"/>
  </r>
  <r>
    <x v="13"/>
    <s v="Amanda"/>
    <s v="Howard"/>
    <n v="52"/>
    <x v="1"/>
    <x v="1"/>
    <s v="amanda.howard@outlook.com"/>
    <s v="56908 Sydney Park Suite 632, West Anthonyport, NC 15954"/>
    <x v="271"/>
    <n v="44975"/>
    <s v="08:26:50"/>
    <x v="30"/>
    <n v="330.11"/>
    <n v="2"/>
    <x v="1"/>
    <n v="3"/>
    <n v="55"/>
    <n v="44976"/>
    <s v="19:28:55"/>
    <n v="1"/>
    <n v="660.22"/>
    <n v="0"/>
    <n v="660.22"/>
    <n v="660.22"/>
    <x v="13"/>
    <s v="BeforeTime"/>
    <x v="2"/>
    <n v="8.5975999999999999"/>
  </r>
  <r>
    <x v="51"/>
    <s v="Teresa"/>
    <s v="Harvey"/>
    <n v="64"/>
    <x v="1"/>
    <x v="6"/>
    <s v="teresa.harvey@gmail.com"/>
    <s v="02669 Kirk Squares, Davisville, VA 51272"/>
    <x v="272"/>
    <n v="45129"/>
    <s v="18:37:45"/>
    <x v="42"/>
    <n v="220.27"/>
    <n v="3"/>
    <x v="2"/>
    <n v="6"/>
    <n v="48"/>
    <n v="45132"/>
    <s v="02:32:24"/>
    <n v="3"/>
    <n v="660.81000000000006"/>
    <n v="0.08"/>
    <n v="607.94520000000011"/>
    <n v="655.94520000000011"/>
    <x v="51"/>
    <s v="BeforeTime"/>
    <x v="0"/>
    <n v="0"/>
  </r>
  <r>
    <x v="3"/>
    <s v="Kara"/>
    <s v="Brennan"/>
    <n v="25"/>
    <x v="1"/>
    <x v="3"/>
    <s v="kara.brennan@outlook.com"/>
    <s v="2174 Thomas Avenue, Maciasborough, NJ 41465"/>
    <x v="273"/>
    <n v="45107"/>
    <s v="10:24:01"/>
    <x v="42"/>
    <n v="220.27"/>
    <n v="3"/>
    <x v="1"/>
    <n v="4"/>
    <n v="50"/>
    <n v="45108"/>
    <s v="06:25:35"/>
    <n v="1"/>
    <n v="660.81000000000006"/>
    <n v="0"/>
    <n v="660.81000000000006"/>
    <n v="660.81000000000006"/>
    <x v="3"/>
    <s v="BeforeTime"/>
    <x v="9"/>
    <n v="0"/>
  </r>
  <r>
    <x v="7"/>
    <s v="Gregory"/>
    <s v="Lee"/>
    <n v="26"/>
    <x v="1"/>
    <x v="5"/>
    <s v="gregory.lee@rediffmail.com"/>
    <s v="619 Parker Turnpike Apt. 025, West Brucehaven, ID 48437"/>
    <x v="274"/>
    <n v="45450"/>
    <s v="02:04:13"/>
    <x v="12"/>
    <n v="132.97"/>
    <n v="5"/>
    <x v="3"/>
    <n v="3"/>
    <n v="45"/>
    <n v="45452"/>
    <s v="19:20:55"/>
    <n v="2"/>
    <n v="664.85"/>
    <n v="0.2"/>
    <n v="531.88"/>
    <n v="576.88"/>
    <x v="7"/>
    <s v="BeforeTime"/>
    <x v="1"/>
    <n v="0"/>
  </r>
  <r>
    <x v="43"/>
    <s v="Anthony"/>
    <s v="Thomas"/>
    <n v="53"/>
    <x v="2"/>
    <x v="0"/>
    <s v="anthony.thomas@rediffmail.com"/>
    <s v="931 Christopher Ways Suite 833, North Michelle, IN 53484"/>
    <x v="275"/>
    <n v="45378"/>
    <s v="01:46:33"/>
    <x v="17"/>
    <n v="166.28"/>
    <n v="4"/>
    <x v="2"/>
    <n v="7"/>
    <n v="66"/>
    <n v="45381"/>
    <s v="18:46:26"/>
    <n v="3"/>
    <n v="665.12"/>
    <n v="0.08"/>
    <n v="611.91039999999998"/>
    <n v="677.91039999999998"/>
    <x v="43"/>
    <s v="BeforeTime"/>
    <x v="11"/>
    <n v="8.3344000000000005"/>
  </r>
  <r>
    <x v="53"/>
    <s v="Jason"/>
    <s v="Lopez"/>
    <n v="40"/>
    <x v="1"/>
    <x v="2"/>
    <s v="jason.lopez@outlook.com"/>
    <s v="934 Levine View, Brentport, NE 38210"/>
    <x v="276"/>
    <n v="45620"/>
    <s v="00:57:17"/>
    <x v="17"/>
    <n v="166.28"/>
    <n v="4"/>
    <x v="1"/>
    <n v="3"/>
    <n v="41"/>
    <n v="45626"/>
    <s v="09:51:58"/>
    <n v="6"/>
    <n v="665.12"/>
    <n v="0"/>
    <n v="665.12"/>
    <n v="665.12"/>
    <x v="53"/>
    <s v="Late"/>
    <x v="2"/>
    <n v="68.094399999999993"/>
  </r>
  <r>
    <x v="4"/>
    <s v="Amy"/>
    <s v="Ellis"/>
    <n v="44"/>
    <x v="1"/>
    <x v="4"/>
    <s v="amy.ellis@gmail.com"/>
    <s v="217 Scott Ville, Christophermouth, NH 83776"/>
    <x v="277"/>
    <n v="45186"/>
    <s v="11:18:01"/>
    <x v="17"/>
    <n v="166.28"/>
    <n v="4"/>
    <x v="3"/>
    <n v="6"/>
    <n v="36"/>
    <n v="45193"/>
    <s v="06:56:11"/>
    <n v="7"/>
    <n v="665.12"/>
    <n v="0.2"/>
    <n v="532.096"/>
    <n v="568.096"/>
    <x v="4"/>
    <s v="Late"/>
    <x v="3"/>
    <n v="0"/>
  </r>
  <r>
    <x v="54"/>
    <s v="Ashley"/>
    <s v="Romero"/>
    <n v="35"/>
    <x v="0"/>
    <x v="6"/>
    <s v="ashley.romero@yahoo.com"/>
    <s v="547 Kerry Expressway, Lake Amanda, AR 20321"/>
    <x v="278"/>
    <n v="45253"/>
    <s v="00:02:50"/>
    <x v="17"/>
    <n v="166.28"/>
    <n v="4"/>
    <x v="0"/>
    <n v="4"/>
    <n v="44"/>
    <n v="45257"/>
    <s v="20:49:10"/>
    <n v="4"/>
    <n v="665.12"/>
    <n v="0.1"/>
    <n v="598.60799999999995"/>
    <n v="642.60799999999995"/>
    <x v="54"/>
    <s v="Intime"/>
    <x v="2"/>
    <n v="37.451999999999998"/>
  </r>
  <r>
    <x v="91"/>
    <s v="William"/>
    <s v="Mann"/>
    <n v="21"/>
    <x v="0"/>
    <x v="0"/>
    <s v="william.mann@yahoo.com"/>
    <s v="849 Tran Wells, New Lindsayville, WI 22669"/>
    <x v="279"/>
    <n v="45530"/>
    <s v="15:04:45"/>
    <x v="13"/>
    <n v="133.62"/>
    <n v="5"/>
    <x v="4"/>
    <n v="6"/>
    <n v="64"/>
    <n v="45532"/>
    <s v="19:43:27"/>
    <n v="2"/>
    <n v="668.1"/>
    <n v="0.15"/>
    <n v="567.88499999999999"/>
    <n v="631.88499999999999"/>
    <x v="91"/>
    <s v="BeforeTime"/>
    <x v="4"/>
    <n v="51.412000000000006"/>
  </r>
  <r>
    <x v="78"/>
    <s v="Anne"/>
    <s v="Oconnell"/>
    <n v="37"/>
    <x v="0"/>
    <x v="6"/>
    <s v="anne.oconnell@outlook.com"/>
    <s v="2850 Matthew Ford, North Yolandachester, FL 67488"/>
    <x v="280"/>
    <n v="45095"/>
    <s v="21:06:59"/>
    <x v="13"/>
    <n v="133.62"/>
    <n v="5"/>
    <x v="1"/>
    <n v="7"/>
    <n v="58"/>
    <n v="45098"/>
    <s v="00:33:10"/>
    <n v="3"/>
    <n v="668.1"/>
    <n v="0"/>
    <n v="668.1"/>
    <n v="668.1"/>
    <x v="78"/>
    <s v="BeforeTime"/>
    <x v="5"/>
    <n v="218.00800000000001"/>
  </r>
  <r>
    <x v="34"/>
    <s v="Sarah"/>
    <s v="Butler"/>
    <n v="64"/>
    <x v="0"/>
    <x v="6"/>
    <s v="sarah.butler@rediffmail.com"/>
    <s v="14131 Edwin Shore Apt. 190, Deniseberg, MD 90905"/>
    <x v="281"/>
    <n v="45503"/>
    <s v="20:59:40"/>
    <x v="14"/>
    <n v="136.30000000000001"/>
    <n v="5"/>
    <x v="4"/>
    <n v="6"/>
    <n v="39"/>
    <n v="45510"/>
    <s v="23:33:51"/>
    <n v="7"/>
    <n v="681.5"/>
    <n v="0.15"/>
    <n v="579.27499999999998"/>
    <n v="618.27499999999998"/>
    <x v="34"/>
    <s v="Late"/>
    <x v="11"/>
    <n v="64.484799999999993"/>
  </r>
  <r>
    <x v="85"/>
    <s v="Joseph"/>
    <s v="Stewart"/>
    <n v="30"/>
    <x v="2"/>
    <x v="0"/>
    <s v="joseph.stewart@yahoo.com"/>
    <s v="4082 Wang Terrace Suite 040, Victorialand, ME 41532"/>
    <x v="282"/>
    <n v="44997"/>
    <s v="22:42:51"/>
    <x v="31"/>
    <n v="175.93"/>
    <n v="4"/>
    <x v="2"/>
    <n v="3"/>
    <n v="65"/>
    <n v="44999"/>
    <s v="13:19:45"/>
    <n v="2"/>
    <n v="703.72"/>
    <n v="0.08"/>
    <n v="647.42240000000004"/>
    <n v="712.42240000000004"/>
    <x v="85"/>
    <s v="BeforeTime"/>
    <x v="8"/>
    <n v="138.321"/>
  </r>
  <r>
    <x v="3"/>
    <s v="Kara"/>
    <s v="Brennan"/>
    <n v="25"/>
    <x v="1"/>
    <x v="3"/>
    <s v="kara.brennan@outlook.com"/>
    <s v="2174 Thomas Avenue, Maciasborough, NJ 41465"/>
    <x v="283"/>
    <n v="45090"/>
    <s v="12:34:36"/>
    <x v="31"/>
    <n v="175.93"/>
    <n v="4"/>
    <x v="3"/>
    <n v="6"/>
    <n v="45"/>
    <n v="45097"/>
    <s v="10:14:17"/>
    <n v="7"/>
    <n v="703.72"/>
    <n v="0.2"/>
    <n v="562.976"/>
    <n v="607.976"/>
    <x v="3"/>
    <s v="Late"/>
    <x v="10"/>
    <n v="264.61799999999999"/>
  </r>
  <r>
    <x v="7"/>
    <s v="Gregory"/>
    <s v="Lee"/>
    <n v="26"/>
    <x v="1"/>
    <x v="5"/>
    <s v="gregory.lee@rediffmail.com"/>
    <s v="619 Parker Turnpike Apt. 025, West Brucehaven, ID 48437"/>
    <x v="284"/>
    <n v="45238"/>
    <s v="10:41:43"/>
    <x v="31"/>
    <n v="175.93"/>
    <n v="4"/>
    <x v="3"/>
    <n v="6"/>
    <n v="54"/>
    <n v="45240"/>
    <s v="19:20:26"/>
    <n v="2"/>
    <n v="703.72"/>
    <n v="0.2"/>
    <n v="562.976"/>
    <n v="616.976"/>
    <x v="7"/>
    <s v="BeforeTime"/>
    <x v="6"/>
    <n v="140.744"/>
  </r>
  <r>
    <x v="93"/>
    <s v="Bruce"/>
    <s v="Allen"/>
    <n v="32"/>
    <x v="2"/>
    <x v="6"/>
    <s v="bruce.allen@rediffmail.com"/>
    <s v="2417 Brown Ford, West Timothyside, RI 45629"/>
    <x v="285"/>
    <n v="45343"/>
    <s v="03:08:05"/>
    <x v="21"/>
    <n v="235.63"/>
    <n v="3"/>
    <x v="0"/>
    <n v="5"/>
    <n v="44"/>
    <n v="45347"/>
    <s v="04:04:13"/>
    <n v="4"/>
    <n v="706.89"/>
    <n v="0.1"/>
    <n v="636.20100000000002"/>
    <n v="680.20100000000002"/>
    <x v="93"/>
    <s v="BeforeTime"/>
    <x v="2"/>
    <n v="88.5672"/>
  </r>
  <r>
    <x v="6"/>
    <s v="Lauren"/>
    <s v="Crane"/>
    <n v="62"/>
    <x v="2"/>
    <x v="0"/>
    <s v="lauren.crane@yahoo.com"/>
    <s v="30313 Reyes Parkways Suite 392, Port Bradley, SC 24078"/>
    <x v="286"/>
    <n v="45393"/>
    <s v="12:14:10"/>
    <x v="21"/>
    <n v="235.63"/>
    <n v="3"/>
    <x v="1"/>
    <n v="6"/>
    <n v="41"/>
    <n v="45398"/>
    <s v="03:34:04"/>
    <n v="5"/>
    <n v="706.89"/>
    <n v="0"/>
    <n v="706.89"/>
    <n v="706.89"/>
    <x v="6"/>
    <s v="BeforeTime"/>
    <x v="5"/>
    <n v="192.59200000000001"/>
  </r>
  <r>
    <x v="70"/>
    <s v="Ashley"/>
    <s v="Rose"/>
    <n v="60"/>
    <x v="1"/>
    <x v="6"/>
    <s v="ashley.rose@gmail.com"/>
    <s v="424 Nichols Curve Suite 177, Lake Brianview, TX 17289"/>
    <x v="287"/>
    <n v="44987"/>
    <s v="12:22:52"/>
    <x v="32"/>
    <n v="363.64"/>
    <n v="2"/>
    <x v="4"/>
    <n v="1"/>
    <n v="43"/>
    <n v="44988"/>
    <s v="08:01:21"/>
    <n v="1"/>
    <n v="727.28"/>
    <n v="0.15"/>
    <n v="618.18799999999999"/>
    <n v="661.18799999999999"/>
    <x v="70"/>
    <s v="Intime"/>
    <x v="6"/>
    <n v="102.1416"/>
  </r>
  <r>
    <x v="34"/>
    <s v="Sarah"/>
    <s v="Butler"/>
    <n v="64"/>
    <x v="0"/>
    <x v="6"/>
    <s v="sarah.butler@rediffmail.com"/>
    <s v="14131 Edwin Shore Apt. 190, Deniseberg, MD 90905"/>
    <x v="288"/>
    <n v="45089"/>
    <s v="16:54:11"/>
    <x v="32"/>
    <n v="363.64"/>
    <n v="2"/>
    <x v="1"/>
    <n v="4"/>
    <n v="40"/>
    <n v="45091"/>
    <s v="18:09:14"/>
    <n v="2"/>
    <n v="727.28"/>
    <n v="0"/>
    <n v="727.28"/>
    <n v="727.28"/>
    <x v="34"/>
    <s v="BeforeTime"/>
    <x v="5"/>
    <n v="5.3584000000000005"/>
  </r>
  <r>
    <x v="23"/>
    <s v="Christian"/>
    <s v="Clayton"/>
    <n v="39"/>
    <x v="2"/>
    <x v="7"/>
    <s v="christian.clayton@yahoo.com"/>
    <s v="065 Madison Way, Smithstad, CT 68011"/>
    <x v="289"/>
    <n v="45541"/>
    <s v="23:35:16"/>
    <x v="32"/>
    <n v="363.64"/>
    <n v="2"/>
    <x v="3"/>
    <n v="6"/>
    <n v="37"/>
    <n v="45544"/>
    <s v="01:46:46"/>
    <n v="3"/>
    <n v="727.28"/>
    <n v="0.2"/>
    <n v="581.82399999999996"/>
    <n v="618.82399999999996"/>
    <x v="23"/>
    <s v="BeforeTime"/>
    <x v="3"/>
    <n v="162"/>
  </r>
  <r>
    <x v="47"/>
    <s v="Valerie"/>
    <s v="Carr"/>
    <n v="26"/>
    <x v="1"/>
    <x v="2"/>
    <s v="valerie.carr@rediffmail.com"/>
    <s v="981 Emily Stream, South Brianna, CO 98063"/>
    <x v="290"/>
    <n v="45312"/>
    <s v="12:30:02"/>
    <x v="33"/>
    <n v="369.03"/>
    <n v="2"/>
    <x v="0"/>
    <n v="4"/>
    <n v="46"/>
    <n v="45318"/>
    <s v="07:53:31"/>
    <n v="6"/>
    <n v="738.06"/>
    <n v="0.1"/>
    <n v="664.25399999999991"/>
    <n v="710.25399999999991"/>
    <x v="47"/>
    <s v="Late"/>
    <x v="6"/>
    <n v="288.88800000000003"/>
  </r>
  <r>
    <x v="55"/>
    <s v="Barbara"/>
    <s v="Fuller"/>
    <n v="43"/>
    <x v="1"/>
    <x v="7"/>
    <s v="barbara.fuller@rediffmail.com"/>
    <s v="134 Mcintosh Unions Suite 574, Lake Laura, DE 96577"/>
    <x v="291"/>
    <n v="44978"/>
    <s v="06:00:55"/>
    <x v="33"/>
    <n v="369.03"/>
    <n v="2"/>
    <x v="0"/>
    <n v="6"/>
    <n v="55"/>
    <n v="44981"/>
    <s v="22:23:18"/>
    <n v="3"/>
    <n v="738.06"/>
    <n v="0.1"/>
    <n v="664.25399999999991"/>
    <n v="719.25399999999991"/>
    <x v="55"/>
    <s v="BeforeTime"/>
    <x v="2"/>
    <n v="26.724000000000004"/>
  </r>
  <r>
    <x v="76"/>
    <s v="Sarah"/>
    <s v="Benson"/>
    <n v="40"/>
    <x v="1"/>
    <x v="1"/>
    <s v="sarah.benson@outlook.com"/>
    <s v="5399 Hayes Well, West Pennystad, IL 93798"/>
    <x v="292"/>
    <n v="45040"/>
    <s v="11:38:36"/>
    <x v="34"/>
    <n v="372.62"/>
    <n v="2"/>
    <x v="3"/>
    <n v="2"/>
    <n v="47"/>
    <n v="45041"/>
    <s v="21:12:03"/>
    <n v="1"/>
    <n v="745.24"/>
    <n v="0.2"/>
    <n v="596.19200000000001"/>
    <n v="643.19200000000001"/>
    <x v="76"/>
    <s v="BeforeTime"/>
    <x v="2"/>
    <n v="24.968000000000004"/>
  </r>
  <r>
    <x v="66"/>
    <s v="Lisa"/>
    <s v="Miller"/>
    <n v="70"/>
    <x v="2"/>
    <x v="4"/>
    <s v="lisa.miller@gmail.com"/>
    <s v="89748 Campbell Drive, South Tannerland, WI 13143"/>
    <x v="293"/>
    <n v="45379"/>
    <s v="13:25:17"/>
    <x v="34"/>
    <n v="372.62"/>
    <n v="2"/>
    <x v="0"/>
    <n v="4"/>
    <n v="57"/>
    <n v="45382"/>
    <s v="13:52:42"/>
    <n v="3"/>
    <n v="745.24"/>
    <n v="0.1"/>
    <n v="670.71600000000001"/>
    <n v="727.71600000000001"/>
    <x v="66"/>
    <s v="BeforeTime"/>
    <x v="10"/>
    <n v="79.454399999999993"/>
  </r>
  <r>
    <x v="63"/>
    <s v="Joshua"/>
    <s v="Campbell"/>
    <n v="24"/>
    <x v="0"/>
    <x v="7"/>
    <s v="joshua.campbell@gmail.com"/>
    <s v="70426 Lindsey Overpass Apt. 030, Jessicafurt, AR 46269"/>
    <x v="294"/>
    <n v="45003"/>
    <s v="14:00:52"/>
    <x v="35"/>
    <n v="381.73"/>
    <n v="2"/>
    <x v="1"/>
    <n v="6"/>
    <n v="41"/>
    <n v="45008"/>
    <s v="04:39:06"/>
    <n v="5"/>
    <n v="763.46"/>
    <n v="0"/>
    <n v="763.46"/>
    <n v="763.46"/>
    <x v="63"/>
    <s v="BeforeTime"/>
    <x v="11"/>
    <n v="0"/>
  </r>
  <r>
    <x v="52"/>
    <s v="Beth"/>
    <s v="Mason"/>
    <n v="45"/>
    <x v="1"/>
    <x v="4"/>
    <s v="beth.mason@outlook.com"/>
    <s v="58998 Sherry Haven, East Richard, FL 90775"/>
    <x v="295"/>
    <n v="45060"/>
    <s v="12:51:15"/>
    <x v="35"/>
    <n v="381.73"/>
    <n v="2"/>
    <x v="1"/>
    <n v="5"/>
    <n v="38"/>
    <n v="45066"/>
    <s v="23:34:55"/>
    <n v="6"/>
    <n v="763.46"/>
    <n v="0"/>
    <n v="763.46"/>
    <n v="763.46"/>
    <x v="52"/>
    <s v="Late"/>
    <x v="10"/>
    <n v="0"/>
  </r>
  <r>
    <x v="25"/>
    <s v="Taylor"/>
    <s v="Davis"/>
    <n v="54"/>
    <x v="2"/>
    <x v="6"/>
    <s v="taylor.davis@yahoo.com"/>
    <s v="USCGC Simmons, FPO AA 60167"/>
    <x v="296"/>
    <n v="45105"/>
    <s v="18:03:08"/>
    <x v="35"/>
    <n v="381.73"/>
    <n v="2"/>
    <x v="4"/>
    <n v="3"/>
    <n v="70"/>
    <n v="45112"/>
    <s v="10:45:58"/>
    <n v="7"/>
    <n v="763.46"/>
    <n v="0.15"/>
    <n v="648.94100000000003"/>
    <n v="718.94100000000003"/>
    <x v="25"/>
    <s v="Late"/>
    <x v="8"/>
    <n v="101.208"/>
  </r>
  <r>
    <x v="26"/>
    <s v="John"/>
    <s v="Ramirez"/>
    <n v="28"/>
    <x v="1"/>
    <x v="3"/>
    <s v="john.ramirez@outlook.com"/>
    <s v="02797 Martin Landing, South Michelle, VT 98781"/>
    <x v="297"/>
    <n v="45322"/>
    <s v="06:13:30"/>
    <x v="35"/>
    <n v="381.73"/>
    <n v="2"/>
    <x v="4"/>
    <n v="2"/>
    <n v="68"/>
    <n v="45329"/>
    <s v="00:33:32"/>
    <n v="7"/>
    <n v="763.46"/>
    <n v="0.15"/>
    <n v="648.94100000000003"/>
    <n v="716.94100000000003"/>
    <x v="26"/>
    <s v="Late"/>
    <x v="10"/>
    <n v="37.262"/>
  </r>
  <r>
    <x v="86"/>
    <s v="Bobby"/>
    <s v="Forbes"/>
    <n v="20"/>
    <x v="0"/>
    <x v="4"/>
    <s v="bobby.forbes@gmail.com"/>
    <s v="3079 John Parkway Suite 961, Port Kristaview, MT 91019"/>
    <x v="298"/>
    <n v="45498"/>
    <s v="15:09:49"/>
    <x v="22"/>
    <n v="257.06"/>
    <n v="3"/>
    <x v="1"/>
    <n v="7"/>
    <n v="62"/>
    <n v="45499"/>
    <s v="22:54:40"/>
    <n v="1"/>
    <n v="771.18000000000006"/>
    <n v="0"/>
    <n v="771.18000000000006"/>
    <n v="771.18000000000006"/>
    <x v="86"/>
    <s v="BeforeTime"/>
    <x v="4"/>
    <n v="8.3344000000000005"/>
  </r>
  <r>
    <x v="2"/>
    <s v="Mallory"/>
    <s v="Mitchell"/>
    <n v="42"/>
    <x v="2"/>
    <x v="2"/>
    <s v="mallory.mitchell@yahoo.com"/>
    <s v="710 Anthony Wall Suite 137, East Davidstad, NV 61494"/>
    <x v="299"/>
    <n v="45283"/>
    <s v="10:48:56"/>
    <x v="22"/>
    <n v="257.06"/>
    <n v="3"/>
    <x v="2"/>
    <n v="6"/>
    <n v="65"/>
    <n v="45289"/>
    <s v="05:48:39"/>
    <n v="6"/>
    <n v="771.18000000000006"/>
    <n v="0.08"/>
    <n v="709.48560000000009"/>
    <n v="774.48560000000009"/>
    <x v="2"/>
    <s v="Intime"/>
    <x v="6"/>
    <n v="28.148800000000001"/>
  </r>
  <r>
    <x v="48"/>
    <s v="Lauren"/>
    <s v="Long"/>
    <n v="44"/>
    <x v="0"/>
    <x v="1"/>
    <s v="lauren.long@gmail.com"/>
    <s v="258 Michael Brooks Suite 363, Arnoldview, PA 49438"/>
    <x v="300"/>
    <n v="45348"/>
    <s v="06:30:57"/>
    <x v="22"/>
    <n v="257.06"/>
    <n v="3"/>
    <x v="1"/>
    <n v="5"/>
    <n v="63"/>
    <n v="45354"/>
    <s v="08:01:14"/>
    <n v="6"/>
    <n v="771.18000000000006"/>
    <n v="0"/>
    <n v="771.18000000000006"/>
    <n v="771.18000000000006"/>
    <x v="48"/>
    <s v="Late"/>
    <x v="4"/>
    <n v="4.9935999999999998"/>
  </r>
  <r>
    <x v="61"/>
    <s v="Angela"/>
    <s v="Evans"/>
    <n v="52"/>
    <x v="1"/>
    <x v="0"/>
    <s v="angela.evans@outlook.com"/>
    <s v="16031 David Mountain Suite 431, Susanborough, PA 01910"/>
    <x v="301"/>
    <n v="45244"/>
    <s v="05:01:37"/>
    <x v="16"/>
    <n v="157.63999999999999"/>
    <n v="5"/>
    <x v="2"/>
    <n v="4"/>
    <n v="53"/>
    <n v="45246"/>
    <s v="14:14:46"/>
    <n v="2"/>
    <n v="788.19999999999993"/>
    <n v="0.08"/>
    <n v="725.14399999999989"/>
    <n v="778.14399999999989"/>
    <x v="61"/>
    <s v="BeforeTime"/>
    <x v="7"/>
    <n v="3.3119999999999998"/>
  </r>
  <r>
    <x v="55"/>
    <s v="Barbara"/>
    <s v="Fuller"/>
    <n v="43"/>
    <x v="1"/>
    <x v="7"/>
    <s v="barbara.fuller@rediffmail.com"/>
    <s v="134 Mcintosh Unions Suite 574, Lake Laura, DE 96577"/>
    <x v="302"/>
    <n v="45331"/>
    <s v="10:20:44"/>
    <x v="16"/>
    <n v="157.63999999999999"/>
    <n v="5"/>
    <x v="1"/>
    <n v="7"/>
    <n v="36"/>
    <n v="45332"/>
    <s v="23:29:03"/>
    <n v="1"/>
    <n v="788.19999999999993"/>
    <n v="0"/>
    <n v="788.19999999999993"/>
    <n v="788.19999999999993"/>
    <x v="55"/>
    <s v="BeforeTime"/>
    <x v="8"/>
    <n v="38.020000000000003"/>
  </r>
  <r>
    <x v="74"/>
    <s v="Courtney"/>
    <s v="Parker"/>
    <n v="29"/>
    <x v="1"/>
    <x v="4"/>
    <s v="courtney.parker@yahoo.com"/>
    <s v="087 Jacqueline Rue Apt. 694, East Tasha, SC 04859"/>
    <x v="303"/>
    <n v="45295"/>
    <s v="00:31:47"/>
    <x v="16"/>
    <n v="157.63999999999999"/>
    <n v="5"/>
    <x v="2"/>
    <n v="2"/>
    <n v="46"/>
    <n v="45301"/>
    <s v="11:06:01"/>
    <n v="6"/>
    <n v="788.19999999999993"/>
    <n v="0.08"/>
    <n v="725.14399999999989"/>
    <n v="771.14399999999989"/>
    <x v="74"/>
    <s v="Late"/>
    <x v="1"/>
    <n v="95.118000000000009"/>
  </r>
  <r>
    <x v="48"/>
    <s v="Lauren"/>
    <s v="Long"/>
    <n v="44"/>
    <x v="0"/>
    <x v="1"/>
    <s v="lauren.long@gmail.com"/>
    <s v="258 Michael Brooks Suite 363, Arnoldview, PA 49438"/>
    <x v="304"/>
    <n v="45548"/>
    <s v="13:50:14"/>
    <x v="29"/>
    <n v="158.53"/>
    <n v="5"/>
    <x v="3"/>
    <n v="3"/>
    <n v="42"/>
    <n v="45553"/>
    <s v="08:49:03"/>
    <n v="5"/>
    <n v="792.65"/>
    <n v="0.2"/>
    <n v="634.12"/>
    <n v="676.12"/>
    <x v="48"/>
    <s v="Late"/>
    <x v="7"/>
    <n v="4.45"/>
  </r>
  <r>
    <x v="49"/>
    <s v="John"/>
    <s v="Herrera"/>
    <n v="64"/>
    <x v="2"/>
    <x v="0"/>
    <s v="john.herrera@outlook.com"/>
    <s v="61263 Jacob Isle, Amandatown, TN 34321"/>
    <x v="305"/>
    <n v="45118"/>
    <s v="07:51:16"/>
    <x v="29"/>
    <n v="158.53"/>
    <n v="5"/>
    <x v="3"/>
    <n v="1"/>
    <n v="57"/>
    <n v="45125"/>
    <s v="06:23:31"/>
    <n v="7"/>
    <n v="792.65"/>
    <n v="0.2"/>
    <n v="634.12"/>
    <n v="691.12"/>
    <x v="49"/>
    <s v="Late"/>
    <x v="11"/>
    <n v="0"/>
  </r>
  <r>
    <x v="72"/>
    <s v="David"/>
    <s v="Delacruz"/>
    <n v="26"/>
    <x v="2"/>
    <x v="4"/>
    <s v="david.delacruz@rediffmail.com"/>
    <s v="USNS Ray, FPO AE 20238"/>
    <x v="306"/>
    <n v="45108"/>
    <s v="14:09:23"/>
    <x v="29"/>
    <n v="158.53"/>
    <n v="5"/>
    <x v="1"/>
    <n v="4"/>
    <n v="66"/>
    <n v="45111"/>
    <s v="10:17:52"/>
    <n v="3"/>
    <n v="792.65"/>
    <n v="0"/>
    <n v="792.65"/>
    <n v="792.65"/>
    <x v="72"/>
    <s v="BeforeTime"/>
    <x v="1"/>
    <n v="0"/>
  </r>
  <r>
    <x v="36"/>
    <s v="Angela"/>
    <s v="Horne"/>
    <n v="49"/>
    <x v="1"/>
    <x v="6"/>
    <s v="angela.horne@outlook.com"/>
    <s v="USNV Mueller, FPO AP 54648"/>
    <x v="307"/>
    <n v="45578"/>
    <s v="10:24:24"/>
    <x v="29"/>
    <n v="158.53"/>
    <n v="5"/>
    <x v="2"/>
    <n v="2"/>
    <n v="64"/>
    <n v="45582"/>
    <s v="20:08:57"/>
    <n v="4"/>
    <n v="792.65"/>
    <n v="0.08"/>
    <n v="729.23799999999994"/>
    <n v="793.23799999999994"/>
    <x v="36"/>
    <s v="Late"/>
    <x v="5"/>
    <n v="316.27499999999998"/>
  </r>
  <r>
    <x v="95"/>
    <s v="William"/>
    <s v="Richmond"/>
    <n v="57"/>
    <x v="1"/>
    <x v="3"/>
    <s v="william.richmond@outlook.com"/>
    <s v="4021 Brown Orchard Apt. 026, Christinahaven, OK 18499"/>
    <x v="308"/>
    <n v="45147"/>
    <s v="23:19:47"/>
    <x v="29"/>
    <n v="158.53"/>
    <n v="5"/>
    <x v="3"/>
    <n v="1"/>
    <n v="46"/>
    <n v="45151"/>
    <s v="16:06:37"/>
    <n v="4"/>
    <n v="792.65"/>
    <n v="0.2"/>
    <n v="634.12"/>
    <n v="680.12"/>
    <x v="95"/>
    <s v="Late"/>
    <x v="2"/>
    <n v="89.162000000000006"/>
  </r>
  <r>
    <x v="27"/>
    <s v="Gary"/>
    <s v="Huff"/>
    <n v="18"/>
    <x v="0"/>
    <x v="5"/>
    <s v="gary.huff@gmail.com"/>
    <s v="58608 Alexander Terrace, South Bryan, SC 85541"/>
    <x v="309"/>
    <n v="45117"/>
    <s v="06:47:14"/>
    <x v="36"/>
    <n v="403.03"/>
    <n v="2"/>
    <x v="4"/>
    <n v="7"/>
    <n v="45"/>
    <n v="45118"/>
    <s v="05:46:18"/>
    <n v="1"/>
    <n v="806.06"/>
    <n v="0.15"/>
    <n v="685.15099999999995"/>
    <n v="730.15099999999995"/>
    <x v="27"/>
    <s v="BeforeTime"/>
    <x v="1"/>
    <n v="0"/>
  </r>
  <r>
    <x v="38"/>
    <s v="Brendan"/>
    <s v="Kelly"/>
    <n v="50"/>
    <x v="1"/>
    <x v="2"/>
    <s v="brendan.kelly@rediffmail.com"/>
    <s v="688 Donald Oval Suite 089, Shepardport, CA 50844"/>
    <x v="310"/>
    <n v="45672"/>
    <s v="21:10:06"/>
    <x v="36"/>
    <n v="403.03"/>
    <n v="2"/>
    <x v="3"/>
    <n v="3"/>
    <n v="61"/>
    <n v="45677"/>
    <s v="08:42:57"/>
    <n v="5"/>
    <n v="806.06"/>
    <n v="0.2"/>
    <n v="644.84799999999996"/>
    <n v="705.84799999999996"/>
    <x v="38"/>
    <s v="Late"/>
    <x v="10"/>
    <n v="34.047199999999997"/>
  </r>
  <r>
    <x v="61"/>
    <s v="Angela"/>
    <s v="Evans"/>
    <n v="52"/>
    <x v="1"/>
    <x v="0"/>
    <s v="angela.evans@outlook.com"/>
    <s v="16031 David Mountain Suite 431, Susanborough, PA 01910"/>
    <x v="311"/>
    <n v="45242"/>
    <s v="07:28:15"/>
    <x v="36"/>
    <n v="403.03"/>
    <n v="2"/>
    <x v="2"/>
    <n v="4"/>
    <n v="70"/>
    <n v="45246"/>
    <s v="12:59:43"/>
    <n v="4"/>
    <n v="806.06"/>
    <n v="0.08"/>
    <n v="741.5752"/>
    <n v="811.5752"/>
    <x v="61"/>
    <s v="Intime"/>
    <x v="1"/>
    <n v="12.814"/>
  </r>
  <r>
    <x v="4"/>
    <s v="Amy"/>
    <s v="Ellis"/>
    <n v="44"/>
    <x v="1"/>
    <x v="4"/>
    <s v="amy.ellis@gmail.com"/>
    <s v="217 Scott Ville, Christophermouth, NH 83776"/>
    <x v="312"/>
    <n v="45410"/>
    <s v="20:13:44"/>
    <x v="36"/>
    <n v="403.03"/>
    <n v="2"/>
    <x v="4"/>
    <n v="7"/>
    <n v="39"/>
    <n v="45417"/>
    <s v="09:06:18"/>
    <n v="7"/>
    <n v="806.06"/>
    <n v="0.15"/>
    <n v="685.15099999999995"/>
    <n v="724.15099999999995"/>
    <x v="4"/>
    <s v="Intime"/>
    <x v="5"/>
    <n v="47.126000000000005"/>
  </r>
  <r>
    <x v="80"/>
    <s v="Sharon"/>
    <s v="Thompson"/>
    <n v="57"/>
    <x v="2"/>
    <x v="1"/>
    <s v="sharon.thompson@yahoo.com"/>
    <s v="598 Jasmine Harbor, Turnerberg, SD 02371"/>
    <x v="313"/>
    <n v="45252"/>
    <s v="01:09:33"/>
    <x v="37"/>
    <n v="405"/>
    <n v="2"/>
    <x v="1"/>
    <n v="4"/>
    <n v="70"/>
    <n v="45257"/>
    <s v="21:18:20"/>
    <n v="5"/>
    <n v="810"/>
    <n v="0"/>
    <n v="810"/>
    <n v="810"/>
    <x v="80"/>
    <s v="Late"/>
    <x v="3"/>
    <n v="63.055999999999997"/>
  </r>
  <r>
    <x v="33"/>
    <s v="Robert"/>
    <s v="Castillo"/>
    <n v="32"/>
    <x v="2"/>
    <x v="2"/>
    <s v="robert.castillo@gmail.com"/>
    <s v="7143 Brandon Skyway Suite 899, Tylerton, IA 21756"/>
    <x v="314"/>
    <n v="45677"/>
    <s v="09:43:17"/>
    <x v="37"/>
    <n v="405"/>
    <n v="2"/>
    <x v="4"/>
    <n v="7"/>
    <n v="55"/>
    <n v="45680"/>
    <s v="16:27:25"/>
    <n v="3"/>
    <n v="810"/>
    <n v="0.15"/>
    <n v="688.5"/>
    <n v="743.5"/>
    <x v="33"/>
    <s v="BeforeTime"/>
    <x v="9"/>
    <n v="59.836499999999994"/>
  </r>
  <r>
    <x v="88"/>
    <s v="Lori"/>
    <s v="Cook"/>
    <n v="18"/>
    <x v="2"/>
    <x v="0"/>
    <s v="lori.cook@rediffmail.com"/>
    <s v="86837 Bell Meadows, North Jasonshire, UT 51354"/>
    <x v="315"/>
    <n v="45378"/>
    <s v="03:06:30"/>
    <x v="19"/>
    <n v="202.54"/>
    <n v="4"/>
    <x v="0"/>
    <n v="1"/>
    <n v="36"/>
    <n v="45380"/>
    <s v="06:57:51"/>
    <n v="2"/>
    <n v="810.16"/>
    <n v="0.1"/>
    <n v="729.14400000000001"/>
    <n v="765.14400000000001"/>
    <x v="88"/>
    <s v="Late"/>
    <x v="10"/>
    <n v="72.221999999999994"/>
  </r>
  <r>
    <x v="8"/>
    <s v="Erin"/>
    <s v="Miller"/>
    <n v="46"/>
    <x v="0"/>
    <x v="2"/>
    <s v="erin.miller@gmail.com"/>
    <s v="65972 Peterson Route, Port Andrewfurt, SD 32892"/>
    <x v="316"/>
    <n v="45473"/>
    <s v="11:00:03"/>
    <x v="23"/>
    <n v="272.51"/>
    <n v="3"/>
    <x v="2"/>
    <n v="5"/>
    <n v="66"/>
    <n v="45479"/>
    <s v="15:17:48"/>
    <n v="6"/>
    <n v="817.53"/>
    <n v="0.08"/>
    <n v="752.12760000000003"/>
    <n v="818.12760000000003"/>
    <x v="8"/>
    <s v="Late"/>
    <x v="8"/>
    <n v="96.296000000000006"/>
  </r>
  <r>
    <x v="58"/>
    <s v="Mary"/>
    <s v="Knight"/>
    <n v="28"/>
    <x v="1"/>
    <x v="5"/>
    <s v="mary.knight@yahoo.com"/>
    <s v="907 Kimberly Hill, Murrayfort, NH 88384"/>
    <x v="317"/>
    <n v="45307"/>
    <s v="12:27:25"/>
    <x v="23"/>
    <n v="272.51"/>
    <n v="3"/>
    <x v="2"/>
    <n v="6"/>
    <n v="44"/>
    <n v="45310"/>
    <s v="23:59:41"/>
    <n v="3"/>
    <n v="817.53"/>
    <n v="0.08"/>
    <n v="752.12760000000003"/>
    <n v="796.12760000000003"/>
    <x v="58"/>
    <s v="BeforeTime"/>
    <x v="10"/>
    <n v="158.53"/>
  </r>
  <r>
    <x v="91"/>
    <s v="William"/>
    <s v="Mann"/>
    <n v="21"/>
    <x v="0"/>
    <x v="0"/>
    <s v="william.mann@yahoo.com"/>
    <s v="849 Tran Wells, New Lindsayville, WI 22669"/>
    <x v="318"/>
    <n v="45321"/>
    <s v="01:16:21"/>
    <x v="24"/>
    <n v="275.44"/>
    <n v="3"/>
    <x v="4"/>
    <n v="7"/>
    <n v="47"/>
    <n v="45322"/>
    <s v="17:07:06"/>
    <n v="1"/>
    <n v="826.31999999999994"/>
    <n v="0.15"/>
    <n v="702.37199999999996"/>
    <n v="749.37199999999996"/>
    <x v="91"/>
    <s v="BeforeTime"/>
    <x v="7"/>
    <n v="109.004"/>
  </r>
  <r>
    <x v="65"/>
    <s v="Mitchell"/>
    <s v="Parker"/>
    <n v="39"/>
    <x v="1"/>
    <x v="0"/>
    <s v="mitchell.parker@yahoo.com"/>
    <s v="PSC 3316, Box 9303, APO AE 29513"/>
    <x v="319"/>
    <n v="45651"/>
    <s v="14:49:31"/>
    <x v="38"/>
    <n v="421.7"/>
    <n v="2"/>
    <x v="2"/>
    <n v="5"/>
    <n v="45"/>
    <n v="45653"/>
    <s v="04:10:37"/>
    <n v="2"/>
    <n v="843.4"/>
    <n v="0.08"/>
    <n v="775.928"/>
    <n v="820.928"/>
    <x v="65"/>
    <s v="BeforeTime"/>
    <x v="7"/>
    <n v="31.254000000000001"/>
  </r>
  <r>
    <x v="63"/>
    <s v="Joshua"/>
    <s v="Campbell"/>
    <n v="24"/>
    <x v="0"/>
    <x v="7"/>
    <s v="joshua.campbell@gmail.com"/>
    <s v="70426 Lindsey Overpass Apt. 030, Jessicafurt, AR 46269"/>
    <x v="320"/>
    <n v="45512"/>
    <s v="17:29:54"/>
    <x v="38"/>
    <n v="421.7"/>
    <n v="2"/>
    <x v="0"/>
    <n v="2"/>
    <n v="54"/>
    <n v="45514"/>
    <s v="07:27:00"/>
    <n v="2"/>
    <n v="843.4"/>
    <n v="0.1"/>
    <n v="759.06"/>
    <n v="813.06"/>
    <x v="63"/>
    <s v="Intime"/>
    <x v="9"/>
    <n v="4"/>
  </r>
  <r>
    <x v="61"/>
    <s v="Angela"/>
    <s v="Evans"/>
    <n v="52"/>
    <x v="1"/>
    <x v="0"/>
    <s v="angela.evans@outlook.com"/>
    <s v="16031 David Mountain Suite 431, Susanborough, PA 01910"/>
    <x v="321"/>
    <n v="45138"/>
    <s v="06:04:50"/>
    <x v="25"/>
    <n v="282.63"/>
    <n v="3"/>
    <x v="1"/>
    <n v="2"/>
    <n v="40"/>
    <n v="45142"/>
    <s v="20:36:00"/>
    <n v="4"/>
    <n v="847.89"/>
    <n v="0"/>
    <n v="847.89"/>
    <n v="847.89"/>
    <x v="61"/>
    <s v="Late"/>
    <x v="9"/>
    <n v="33.985599999999998"/>
  </r>
  <r>
    <x v="87"/>
    <s v="Jodi"/>
    <s v="Whitney"/>
    <n v="33"/>
    <x v="1"/>
    <x v="2"/>
    <s v="jodi.whitney@yahoo.com"/>
    <s v="72876 Lara Key Suite 383, Gutierrezton, OR 71683"/>
    <x v="322"/>
    <n v="45302"/>
    <s v="07:05:11"/>
    <x v="25"/>
    <n v="282.63"/>
    <n v="3"/>
    <x v="1"/>
    <n v="4"/>
    <n v="66"/>
    <n v="45307"/>
    <s v="14:16:13"/>
    <n v="5"/>
    <n v="847.89"/>
    <n v="0"/>
    <n v="847.89"/>
    <n v="847.89"/>
    <x v="87"/>
    <s v="Late"/>
    <x v="6"/>
    <n v="220.27000000000004"/>
  </r>
  <r>
    <x v="13"/>
    <s v="Amanda"/>
    <s v="Howard"/>
    <n v="52"/>
    <x v="1"/>
    <x v="1"/>
    <s v="amanda.howard@outlook.com"/>
    <s v="56908 Sydney Park Suite 632, West Anthonyport, NC 15954"/>
    <x v="323"/>
    <n v="45471"/>
    <s v="00:07:15"/>
    <x v="25"/>
    <n v="282.63"/>
    <n v="3"/>
    <x v="2"/>
    <n v="3"/>
    <n v="36"/>
    <n v="45478"/>
    <s v="06:30:27"/>
    <n v="7"/>
    <n v="847.89"/>
    <n v="0.08"/>
    <n v="780.05880000000002"/>
    <n v="816.05880000000002"/>
    <x v="13"/>
    <s v="Late"/>
    <x v="10"/>
    <n v="0"/>
  </r>
  <r>
    <x v="75"/>
    <s v="Aaron"/>
    <s v="Thompson"/>
    <n v="47"/>
    <x v="2"/>
    <x v="4"/>
    <s v="aaron.thompson@gmail.com"/>
    <s v="PSC 0550, Box 2737, APO AE 75772"/>
    <x v="324"/>
    <n v="45513"/>
    <s v="10:04:49"/>
    <x v="39"/>
    <n v="424.82"/>
    <n v="2"/>
    <x v="1"/>
    <n v="2"/>
    <n v="57"/>
    <n v="45520"/>
    <s v="22:07:13"/>
    <n v="7"/>
    <n v="849.64"/>
    <n v="0"/>
    <n v="849.64"/>
    <n v="849.64"/>
    <x v="75"/>
    <s v="Late"/>
    <x v="2"/>
    <n v="14.535000000000004"/>
  </r>
  <r>
    <x v="13"/>
    <s v="Amanda"/>
    <s v="Howard"/>
    <n v="52"/>
    <x v="1"/>
    <x v="1"/>
    <s v="amanda.howard@outlook.com"/>
    <s v="56908 Sydney Park Suite 632, West Anthonyport, NC 15954"/>
    <x v="325"/>
    <n v="45472"/>
    <s v="08:30:03"/>
    <x v="39"/>
    <n v="424.82"/>
    <n v="2"/>
    <x v="1"/>
    <n v="6"/>
    <n v="63"/>
    <n v="45477"/>
    <s v="17:07:47"/>
    <n v="5"/>
    <n v="849.64"/>
    <n v="0"/>
    <n v="849.64"/>
    <n v="849.64"/>
    <x v="13"/>
    <s v="BeforeTime"/>
    <x v="4"/>
    <n v="16.668800000000001"/>
  </r>
  <r>
    <x v="76"/>
    <s v="Sarah"/>
    <s v="Benson"/>
    <n v="40"/>
    <x v="1"/>
    <x v="1"/>
    <s v="sarah.benson@outlook.com"/>
    <s v="5399 Hayes Well, West Pennystad, IL 93798"/>
    <x v="326"/>
    <n v="45422"/>
    <s v="20:27:13"/>
    <x v="40"/>
    <n v="425.59"/>
    <n v="2"/>
    <x v="2"/>
    <n v="3"/>
    <n v="47"/>
    <n v="45423"/>
    <s v="22:27:12"/>
    <n v="1"/>
    <n v="851.18"/>
    <n v="0.08"/>
    <n v="783.0856"/>
    <n v="830.0856"/>
    <x v="76"/>
    <s v="BeforeTime"/>
    <x v="4"/>
    <n v="0"/>
  </r>
  <r>
    <x v="68"/>
    <s v="Troy"/>
    <s v="Gomez"/>
    <n v="68"/>
    <x v="0"/>
    <x v="1"/>
    <s v="troy.gomez@outlook.com"/>
    <s v="7510 Jose Knolls, Candicechester, LA 62815"/>
    <x v="327"/>
    <n v="44973"/>
    <s v="04:49:20"/>
    <x v="40"/>
    <n v="425.59"/>
    <n v="2"/>
    <x v="1"/>
    <n v="2"/>
    <n v="67"/>
    <n v="44977"/>
    <s v="16:13:35"/>
    <n v="4"/>
    <n v="851.18"/>
    <n v="0"/>
    <n v="851.18"/>
    <n v="851.18"/>
    <x v="68"/>
    <s v="Late"/>
    <x v="8"/>
    <n v="26.594000000000001"/>
  </r>
  <r>
    <x v="87"/>
    <s v="Jodi"/>
    <s v="Whitney"/>
    <n v="33"/>
    <x v="1"/>
    <x v="2"/>
    <s v="jodi.whitney@yahoo.com"/>
    <s v="72876 Lara Key Suite 383, Gutierrezton, OR 71683"/>
    <x v="328"/>
    <n v="45351"/>
    <s v="18:12:36"/>
    <x v="40"/>
    <n v="425.59"/>
    <n v="2"/>
    <x v="0"/>
    <n v="4"/>
    <n v="64"/>
    <n v="45358"/>
    <s v="04:54:21"/>
    <n v="7"/>
    <n v="851.18"/>
    <n v="0.1"/>
    <n v="766.0619999999999"/>
    <n v="830.0619999999999"/>
    <x v="87"/>
    <s v="Late"/>
    <x v="3"/>
    <n v="134.94399999999999"/>
  </r>
  <r>
    <x v="46"/>
    <s v="Timothy"/>
    <s v="Hicks"/>
    <n v="31"/>
    <x v="1"/>
    <x v="3"/>
    <s v="timothy.hicks@gmail.com"/>
    <s v="140 Tracy Fields, Lake Cynthiaton, TX 57190"/>
    <x v="329"/>
    <n v="45398"/>
    <s v="12:40:06"/>
    <x v="40"/>
    <n v="425.59"/>
    <n v="2"/>
    <x v="4"/>
    <n v="1"/>
    <n v="44"/>
    <n v="45403"/>
    <s v="03:46:12"/>
    <n v="5"/>
    <n v="851.18"/>
    <n v="0.15"/>
    <n v="723.50299999999993"/>
    <n v="767.50299999999993"/>
    <x v="46"/>
    <s v="Late"/>
    <x v="3"/>
    <n v="0"/>
  </r>
  <r>
    <x v="88"/>
    <s v="Lori"/>
    <s v="Cook"/>
    <n v="18"/>
    <x v="2"/>
    <x v="0"/>
    <s v="lori.cook@rediffmail.com"/>
    <s v="86837 Bell Meadows, North Jasonshire, UT 51354"/>
    <x v="330"/>
    <n v="44972"/>
    <s v="02:34:25"/>
    <x v="26"/>
    <n v="286.07"/>
    <n v="3"/>
    <x v="3"/>
    <n v="2"/>
    <n v="54"/>
    <n v="44977"/>
    <s v="13:09:47"/>
    <n v="5"/>
    <n v="858.21"/>
    <n v="0.2"/>
    <n v="686.56799999999998"/>
    <n v="740.56799999999998"/>
    <x v="88"/>
    <s v="Late"/>
    <x v="11"/>
    <n v="0"/>
  </r>
  <r>
    <x v="52"/>
    <s v="Beth"/>
    <s v="Mason"/>
    <n v="45"/>
    <x v="1"/>
    <x v="4"/>
    <s v="beth.mason@outlook.com"/>
    <s v="58998 Sherry Haven, East Richard, FL 90775"/>
    <x v="331"/>
    <n v="45504"/>
    <s v="04:48:30"/>
    <x v="47"/>
    <n v="433.62"/>
    <n v="2"/>
    <x v="3"/>
    <n v="1"/>
    <n v="41"/>
    <n v="45510"/>
    <s v="10:01:40"/>
    <n v="6"/>
    <n v="867.24"/>
    <n v="0.2"/>
    <n v="693.79200000000003"/>
    <n v="734.79200000000003"/>
    <x v="52"/>
    <s v="Late"/>
    <x v="9"/>
    <n v="23.563000000000002"/>
  </r>
  <r>
    <x v="38"/>
    <s v="Brendan"/>
    <s v="Kelly"/>
    <n v="50"/>
    <x v="1"/>
    <x v="2"/>
    <s v="brendan.kelly@rediffmail.com"/>
    <s v="688 Donald Oval Suite 089, Shepardport, CA 50844"/>
    <x v="332"/>
    <n v="45183"/>
    <s v="23:27:24"/>
    <x v="47"/>
    <n v="433.62"/>
    <n v="2"/>
    <x v="1"/>
    <n v="1"/>
    <n v="46"/>
    <n v="45186"/>
    <s v="06:00:22"/>
    <n v="3"/>
    <n v="867.24"/>
    <n v="0"/>
    <n v="867.24"/>
    <n v="867.24"/>
    <x v="38"/>
    <s v="Late"/>
    <x v="7"/>
    <n v="20.094000000000001"/>
  </r>
  <r>
    <x v="91"/>
    <s v="William"/>
    <s v="Mann"/>
    <n v="21"/>
    <x v="0"/>
    <x v="0"/>
    <s v="william.mann@yahoo.com"/>
    <s v="849 Tran Wells, New Lindsayville, WI 22669"/>
    <x v="333"/>
    <n v="45638"/>
    <s v="04:40:06"/>
    <x v="47"/>
    <n v="433.62"/>
    <n v="2"/>
    <x v="0"/>
    <n v="7"/>
    <n v="39"/>
    <n v="45644"/>
    <s v="02:03:57"/>
    <n v="6"/>
    <n v="867.24"/>
    <n v="0.1"/>
    <n v="780.51599999999996"/>
    <n v="819.51599999999996"/>
    <x v="91"/>
    <s v="BeforeTime"/>
    <x v="7"/>
    <n v="54.52000000000001"/>
  </r>
  <r>
    <x v="79"/>
    <s v="Mark"/>
    <s v="Henderson"/>
    <n v="33"/>
    <x v="1"/>
    <x v="1"/>
    <s v="mark.henderson@yahoo.com"/>
    <s v="90155 Hines Spring, North Theresafurt, ME 31920"/>
    <x v="334"/>
    <n v="45032"/>
    <s v="12:19:38"/>
    <x v="47"/>
    <n v="433.62"/>
    <n v="2"/>
    <x v="2"/>
    <n v="7"/>
    <n v="56"/>
    <n v="45039"/>
    <s v="00:24:54"/>
    <n v="7"/>
    <n v="867.24"/>
    <n v="0.08"/>
    <n v="797.86080000000004"/>
    <n v="853.86080000000004"/>
    <x v="79"/>
    <s v="Intime"/>
    <x v="9"/>
    <n v="113.05200000000001"/>
  </r>
  <r>
    <x v="96"/>
    <s v="Deborah"/>
    <s v="Bates"/>
    <n v="23"/>
    <x v="0"/>
    <x v="4"/>
    <s v="deborah.bates@yahoo.com"/>
    <s v="278 Kathy Estate, Saraville, OH 77292"/>
    <x v="335"/>
    <n v="45225"/>
    <s v="08:34:53"/>
    <x v="27"/>
    <n v="292.14999999999998"/>
    <n v="3"/>
    <x v="1"/>
    <n v="3"/>
    <n v="51"/>
    <n v="45227"/>
    <s v="13:26:32"/>
    <n v="2"/>
    <n v="876.44999999999993"/>
    <n v="0"/>
    <n v="876.44999999999993"/>
    <n v="876.44999999999993"/>
    <x v="96"/>
    <s v="BeforeTime"/>
    <x v="7"/>
    <n v="136.255"/>
  </r>
  <r>
    <x v="59"/>
    <s v="Brandon"/>
    <s v="Cruz"/>
    <n v="32"/>
    <x v="1"/>
    <x v="4"/>
    <s v="brandon.cruz@gmail.com"/>
    <s v="9296 Villanueva Branch, East Kevin, CO 93912"/>
    <x v="336"/>
    <n v="45131"/>
    <s v="06:22:42"/>
    <x v="31"/>
    <n v="175.93"/>
    <n v="5"/>
    <x v="1"/>
    <n v="5"/>
    <n v="63"/>
    <n v="45138"/>
    <s v="11:58:32"/>
    <n v="7"/>
    <n v="879.65000000000009"/>
    <n v="0"/>
    <n v="879.65000000000009"/>
    <n v="879.65000000000009"/>
    <x v="59"/>
    <s v="Late"/>
    <x v="2"/>
    <n v="82.631999999999991"/>
  </r>
  <r>
    <x v="26"/>
    <s v="John"/>
    <s v="Ramirez"/>
    <n v="28"/>
    <x v="1"/>
    <x v="3"/>
    <s v="john.ramirez@outlook.com"/>
    <s v="02797 Martin Landing, South Michelle, VT 98781"/>
    <x v="337"/>
    <n v="45113"/>
    <s v="17:19:09"/>
    <x v="42"/>
    <n v="220.27"/>
    <n v="4"/>
    <x v="3"/>
    <n v="4"/>
    <n v="65"/>
    <n v="45117"/>
    <s v="09:03:23"/>
    <n v="4"/>
    <n v="881.08"/>
    <n v="0.2"/>
    <n v="704.86400000000003"/>
    <n v="769.86400000000003"/>
    <x v="26"/>
    <s v="Intime"/>
    <x v="10"/>
    <n v="70.564799999999991"/>
  </r>
  <r>
    <x v="70"/>
    <s v="Ashley"/>
    <s v="Rose"/>
    <n v="60"/>
    <x v="1"/>
    <x v="6"/>
    <s v="ashley.rose@gmail.com"/>
    <s v="424 Nichols Curve Suite 177, Lake Brianview, TX 17289"/>
    <x v="338"/>
    <n v="45451"/>
    <s v="17:00:22"/>
    <x v="48"/>
    <n v="441.03"/>
    <n v="2"/>
    <x v="0"/>
    <n v="3"/>
    <n v="49"/>
    <n v="45458"/>
    <s v="12:18:47"/>
    <n v="7"/>
    <n v="882.06"/>
    <n v="0.1"/>
    <n v="793.85399999999993"/>
    <n v="842.85399999999993"/>
    <x v="70"/>
    <s v="Late"/>
    <x v="7"/>
    <n v="38.924999999999997"/>
  </r>
  <r>
    <x v="46"/>
    <s v="Timothy"/>
    <s v="Hicks"/>
    <n v="31"/>
    <x v="1"/>
    <x v="3"/>
    <s v="timothy.hicks@gmail.com"/>
    <s v="140 Tracy Fields, Lake Cynthiaton, TX 57190"/>
    <x v="339"/>
    <n v="45148"/>
    <s v="12:37:13"/>
    <x v="48"/>
    <n v="441.03"/>
    <n v="2"/>
    <x v="2"/>
    <n v="3"/>
    <n v="62"/>
    <n v="45151"/>
    <s v="14:41:40"/>
    <n v="3"/>
    <n v="882.06"/>
    <n v="0.08"/>
    <n v="811.49519999999995"/>
    <n v="873.49519999999995"/>
    <x v="46"/>
    <s v="Intime"/>
    <x v="5"/>
    <n v="286.512"/>
  </r>
  <r>
    <x v="22"/>
    <s v="Lauren"/>
    <s v="Lane"/>
    <n v="30"/>
    <x v="0"/>
    <x v="1"/>
    <s v="lauren.lane@gmail.com"/>
    <s v="56985 Sergio Extensions, Port Albert, CO 02898"/>
    <x v="340"/>
    <n v="45423"/>
    <s v="09:05:02"/>
    <x v="48"/>
    <n v="441.03"/>
    <n v="2"/>
    <x v="1"/>
    <n v="4"/>
    <n v="55"/>
    <n v="45429"/>
    <s v="05:31:50"/>
    <n v="6"/>
    <n v="882.06"/>
    <n v="0"/>
    <n v="882.06"/>
    <n v="882.06"/>
    <x v="22"/>
    <s v="Late"/>
    <x v="6"/>
    <n v="32.241"/>
  </r>
  <r>
    <x v="42"/>
    <s v="Marcus"/>
    <s v="Rogers"/>
    <n v="36"/>
    <x v="2"/>
    <x v="6"/>
    <s v="marcus.rogers@outlook.com"/>
    <s v="06912 Brown Pine Apt. 763, Teresamouth, HI 24377"/>
    <x v="341"/>
    <n v="45028"/>
    <s v="00:41:18"/>
    <x v="48"/>
    <n v="441.03"/>
    <n v="2"/>
    <x v="0"/>
    <n v="4"/>
    <n v="60"/>
    <n v="45033"/>
    <s v="09:19:40"/>
    <n v="5"/>
    <n v="882.06"/>
    <n v="0.1"/>
    <n v="793.85399999999993"/>
    <n v="853.85399999999993"/>
    <x v="42"/>
    <s v="Late"/>
    <x v="4"/>
    <n v="25.364800000000002"/>
  </r>
  <r>
    <x v="58"/>
    <s v="Mary"/>
    <s v="Knight"/>
    <n v="28"/>
    <x v="1"/>
    <x v="5"/>
    <s v="mary.knight@yahoo.com"/>
    <s v="907 Kimberly Hill, Murrayfort, NH 88384"/>
    <x v="342"/>
    <n v="45241"/>
    <s v="06:54:02"/>
    <x v="43"/>
    <n v="445.81"/>
    <n v="2"/>
    <x v="1"/>
    <n v="7"/>
    <n v="67"/>
    <n v="45242"/>
    <s v="12:39:46"/>
    <n v="1"/>
    <n v="891.62"/>
    <n v="0"/>
    <n v="891.62"/>
    <n v="891.62"/>
    <x v="58"/>
    <s v="BeforeTime"/>
    <x v="2"/>
    <n v="0"/>
  </r>
  <r>
    <x v="82"/>
    <s v="Janice"/>
    <s v="Gordon"/>
    <n v="43"/>
    <x v="0"/>
    <x v="0"/>
    <s v="janice.gordon@yahoo.com"/>
    <s v="5812 Evelyn Mountains Suite 845, Ortiztown, MN 86166"/>
    <x v="343"/>
    <n v="45571"/>
    <s v="02:55:29"/>
    <x v="43"/>
    <n v="445.81"/>
    <n v="2"/>
    <x v="4"/>
    <n v="4"/>
    <n v="59"/>
    <n v="45576"/>
    <s v="04:21:49"/>
    <n v="5"/>
    <n v="891.62"/>
    <n v="0.15"/>
    <n v="757.87699999999995"/>
    <n v="816.87699999999995"/>
    <x v="82"/>
    <s v="Late"/>
    <x v="1"/>
    <n v="0"/>
  </r>
  <r>
    <x v="96"/>
    <s v="Deborah"/>
    <s v="Bates"/>
    <n v="23"/>
    <x v="0"/>
    <x v="4"/>
    <s v="deborah.bates@yahoo.com"/>
    <s v="278 Kathy Estate, Saraville, OH 77292"/>
    <x v="344"/>
    <n v="45520"/>
    <s v="04:06:55"/>
    <x v="28"/>
    <n v="308.88"/>
    <n v="3"/>
    <x v="0"/>
    <n v="7"/>
    <n v="43"/>
    <n v="45521"/>
    <s v="13:39:21"/>
    <n v="1"/>
    <n v="926.64"/>
    <n v="0.1"/>
    <n v="833.976"/>
    <n v="876.976"/>
    <x v="96"/>
    <s v="BeforeTime"/>
    <x v="5"/>
    <n v="0"/>
  </r>
  <r>
    <x v="57"/>
    <s v="Debra"/>
    <s v="Hayes"/>
    <n v="33"/>
    <x v="0"/>
    <x v="2"/>
    <s v="debra.hayes@yahoo.com"/>
    <s v="4601 Miller Lock, Williamsbury, IA 10943"/>
    <x v="345"/>
    <n v="45675"/>
    <s v="19:40:45"/>
    <x v="28"/>
    <n v="308.88"/>
    <n v="3"/>
    <x v="4"/>
    <n v="4"/>
    <n v="48"/>
    <n v="45678"/>
    <s v="20:24:13"/>
    <n v="3"/>
    <n v="926.64"/>
    <n v="0.15"/>
    <n v="787.64400000000001"/>
    <n v="835.64400000000001"/>
    <x v="57"/>
    <s v="BeforeTime"/>
    <x v="5"/>
    <n v="6.6980000000000004"/>
  </r>
  <r>
    <x v="74"/>
    <s v="Courtney"/>
    <s v="Parker"/>
    <n v="29"/>
    <x v="1"/>
    <x v="4"/>
    <s v="courtney.parker@yahoo.com"/>
    <s v="087 Jacqueline Rue Apt. 694, East Tasha, SC 04859"/>
    <x v="346"/>
    <n v="45633"/>
    <s v="01:02:33"/>
    <x v="28"/>
    <n v="308.88"/>
    <n v="3"/>
    <x v="3"/>
    <n v="5"/>
    <n v="68"/>
    <n v="45636"/>
    <s v="03:31:58"/>
    <n v="3"/>
    <n v="926.64"/>
    <n v="0.2"/>
    <n v="741.31200000000001"/>
    <n v="809.31200000000001"/>
    <x v="74"/>
    <s v="BeforeTime"/>
    <x v="3"/>
    <n v="0"/>
  </r>
  <r>
    <x v="34"/>
    <s v="Sarah"/>
    <s v="Butler"/>
    <n v="64"/>
    <x v="0"/>
    <x v="6"/>
    <s v="sarah.butler@rediffmail.com"/>
    <s v="14131 Edwin Shore Apt. 190, Deniseberg, MD 90905"/>
    <x v="347"/>
    <n v="45488"/>
    <s v="17:09:49"/>
    <x v="21"/>
    <n v="235.63"/>
    <n v="4"/>
    <x v="3"/>
    <n v="2"/>
    <n v="60"/>
    <n v="45495"/>
    <s v="22:15:50"/>
    <n v="7"/>
    <n v="942.52"/>
    <n v="0.2"/>
    <n v="754.01599999999996"/>
    <n v="814.01599999999996"/>
    <x v="34"/>
    <s v="Late"/>
    <x v="6"/>
    <n v="0"/>
  </r>
  <r>
    <x v="46"/>
    <s v="Timothy"/>
    <s v="Hicks"/>
    <n v="31"/>
    <x v="1"/>
    <x v="3"/>
    <s v="timothy.hicks@gmail.com"/>
    <s v="140 Tracy Fields, Lake Cynthiaton, TX 57190"/>
    <x v="348"/>
    <n v="45336"/>
    <s v="21:46:52"/>
    <x v="18"/>
    <n v="190.1"/>
    <n v="5"/>
    <x v="2"/>
    <n v="5"/>
    <n v="35"/>
    <n v="45341"/>
    <s v="16:09:29"/>
    <n v="5"/>
    <n v="950.5"/>
    <n v="0.08"/>
    <n v="874.46"/>
    <n v="909.46"/>
    <x v="46"/>
    <s v="Intime"/>
    <x v="3"/>
    <n v="88.206000000000003"/>
  </r>
  <r>
    <x v="83"/>
    <s v="Edward"/>
    <s v="Black"/>
    <n v="42"/>
    <x v="0"/>
    <x v="5"/>
    <s v="edward.black@gmail.com"/>
    <s v="5879 Susan Via Apt. 886, Sandovalbury, WV 61449"/>
    <x v="349"/>
    <n v="44979"/>
    <s v="07:27:27"/>
    <x v="18"/>
    <n v="190.1"/>
    <n v="5"/>
    <x v="3"/>
    <n v="4"/>
    <n v="37"/>
    <n v="44984"/>
    <s v="14:08:36"/>
    <n v="5"/>
    <n v="950.5"/>
    <n v="0.2"/>
    <n v="760.4"/>
    <n v="797.4"/>
    <x v="83"/>
    <s v="Late"/>
    <x v="4"/>
    <n v="0"/>
  </r>
  <r>
    <x v="75"/>
    <s v="Aaron"/>
    <s v="Thompson"/>
    <n v="47"/>
    <x v="2"/>
    <x v="4"/>
    <s v="aaron.thompson@gmail.com"/>
    <s v="PSC 0550, Box 2737, APO AE 75772"/>
    <x v="350"/>
    <n v="45683"/>
    <s v="23:24:39"/>
    <x v="45"/>
    <n v="477.52"/>
    <n v="2"/>
    <x v="2"/>
    <n v="6"/>
    <n v="55"/>
    <n v="45685"/>
    <s v="01:07:36"/>
    <n v="2"/>
    <n v="955.04"/>
    <n v="0.08"/>
    <n v="878.63679999999999"/>
    <n v="933.63679999999999"/>
    <x v="75"/>
    <s v="BeforeTime"/>
    <x v="3"/>
    <n v="212.41"/>
  </r>
  <r>
    <x v="40"/>
    <s v="Jenny"/>
    <s v="Estrada"/>
    <n v="45"/>
    <x v="0"/>
    <x v="0"/>
    <s v="jenny.estrada@yahoo.com"/>
    <s v="792 Carlos Islands, West David, CT 16522"/>
    <x v="351"/>
    <n v="45193"/>
    <s v="23:34:14"/>
    <x v="46"/>
    <n v="481.48"/>
    <n v="2"/>
    <x v="4"/>
    <n v="3"/>
    <n v="50"/>
    <n v="45196"/>
    <s v="16:46:20"/>
    <n v="3"/>
    <n v="962.96"/>
    <n v="0.15"/>
    <n v="818.51600000000008"/>
    <n v="868.51600000000008"/>
    <x v="40"/>
    <s v="Intime"/>
    <x v="9"/>
    <n v="130.08600000000001"/>
  </r>
  <r>
    <x v="93"/>
    <s v="Bruce"/>
    <s v="Allen"/>
    <n v="32"/>
    <x v="2"/>
    <x v="6"/>
    <s v="bruce.allen@rediffmail.com"/>
    <s v="2417 Brown Ford, West Timothyside, RI 45629"/>
    <x v="352"/>
    <n v="45676"/>
    <s v="14:47:52"/>
    <x v="46"/>
    <n v="481.48"/>
    <n v="2"/>
    <x v="3"/>
    <n v="3"/>
    <n v="58"/>
    <n v="45683"/>
    <s v="17:06:11"/>
    <n v="7"/>
    <n v="962.96"/>
    <n v="0.2"/>
    <n v="770.36800000000005"/>
    <n v="828.36800000000005"/>
    <x v="93"/>
    <s v="Late"/>
    <x v="4"/>
    <n v="47.126000000000005"/>
  </r>
  <r>
    <x v="3"/>
    <s v="Kara"/>
    <s v="Brennan"/>
    <n v="25"/>
    <x v="1"/>
    <x v="3"/>
    <s v="kara.brennan@outlook.com"/>
    <s v="2174 Thomas Avenue, Maciasborough, NJ 41465"/>
    <x v="353"/>
    <n v="45211"/>
    <s v="06:46:07"/>
    <x v="46"/>
    <n v="481.48"/>
    <n v="2"/>
    <x v="0"/>
    <n v="7"/>
    <n v="66"/>
    <n v="45218"/>
    <s v="19:17:45"/>
    <n v="7"/>
    <n v="962.96"/>
    <n v="0.1"/>
    <n v="866.66399999999999"/>
    <n v="932.66399999999999"/>
    <x v="3"/>
    <s v="Intime"/>
    <x v="4"/>
    <n v="316.27499999999998"/>
  </r>
  <r>
    <x v="50"/>
    <s v="Regina"/>
    <s v="Hawkins"/>
    <n v="47"/>
    <x v="2"/>
    <x v="6"/>
    <s v="regina.hawkins@rediffmail.com"/>
    <s v="096 Santos Neck Apt. 937, Benjaminmouth, FL 61454"/>
    <x v="354"/>
    <n v="45015"/>
    <s v="04:44:42"/>
    <x v="46"/>
    <n v="481.48"/>
    <n v="2"/>
    <x v="1"/>
    <n v="5"/>
    <n v="45"/>
    <n v="45017"/>
    <s v="02:15:04"/>
    <n v="2"/>
    <n v="962.96"/>
    <n v="0"/>
    <n v="962.96"/>
    <n v="962.96"/>
    <x v="50"/>
    <s v="BeforeTime"/>
    <x v="9"/>
    <n v="62.272000000000006"/>
  </r>
  <r>
    <x v="49"/>
    <s v="John"/>
    <s v="Herrera"/>
    <n v="64"/>
    <x v="2"/>
    <x v="0"/>
    <s v="john.herrera@outlook.com"/>
    <s v="61263 Jacob Isle, Amandatown, TN 34321"/>
    <x v="355"/>
    <n v="45183"/>
    <s v="21:43:03"/>
    <x v="30"/>
    <n v="330.11"/>
    <n v="3"/>
    <x v="4"/>
    <n v="3"/>
    <n v="65"/>
    <n v="45186"/>
    <s v="01:29:42"/>
    <n v="3"/>
    <n v="990.33"/>
    <n v="0.15"/>
    <n v="841.78050000000007"/>
    <n v="906.78050000000007"/>
    <x v="49"/>
    <s v="Intime"/>
    <x v="1"/>
    <n v="26.126999999999999"/>
  </r>
  <r>
    <x v="45"/>
    <s v="Mark"/>
    <s v="Summers"/>
    <n v="55"/>
    <x v="2"/>
    <x v="7"/>
    <s v="mark.summers@outlook.com"/>
    <s v="08413 Lynch Parkway, Calderonstad, NV 32697"/>
    <x v="356"/>
    <n v="45186"/>
    <s v="23:25:51"/>
    <x v="30"/>
    <n v="330.11"/>
    <n v="3"/>
    <x v="2"/>
    <n v="2"/>
    <n v="40"/>
    <n v="45191"/>
    <s v="09:03:16"/>
    <n v="5"/>
    <n v="990.33"/>
    <n v="0.08"/>
    <n v="911.10360000000003"/>
    <n v="951.10360000000003"/>
    <x v="45"/>
    <s v="Late"/>
    <x v="3"/>
    <n v="31.254000000000005"/>
  </r>
  <r>
    <x v="60"/>
    <s v="Rachael"/>
    <s v="Robinson"/>
    <n v="24"/>
    <x v="1"/>
    <x v="1"/>
    <s v="rachael.robinson@rediffmail.com"/>
    <s v="0889 Brady Points, Port Meganhaven, NM 26553"/>
    <x v="357"/>
    <n v="45113"/>
    <s v="06:38:04"/>
    <x v="30"/>
    <n v="330.11"/>
    <n v="3"/>
    <x v="4"/>
    <n v="2"/>
    <n v="56"/>
    <n v="45117"/>
    <s v="08:13:41"/>
    <n v="4"/>
    <n v="990.33"/>
    <n v="0.15"/>
    <n v="841.78050000000007"/>
    <n v="897.78050000000007"/>
    <x v="60"/>
    <s v="Late"/>
    <x v="9"/>
    <n v="0"/>
  </r>
  <r>
    <x v="43"/>
    <s v="Anthony"/>
    <s v="Thomas"/>
    <n v="53"/>
    <x v="2"/>
    <x v="0"/>
    <s v="anthony.thomas@rediffmail.com"/>
    <s v="931 Christopher Ways Suite 833, North Michelle, IN 53484"/>
    <x v="358"/>
    <n v="45076"/>
    <s v="11:55:04"/>
    <x v="30"/>
    <n v="330.11"/>
    <n v="3"/>
    <x v="3"/>
    <n v="7"/>
    <n v="40"/>
    <n v="45080"/>
    <s v="05:45:33"/>
    <n v="4"/>
    <n v="990.33"/>
    <n v="0.2"/>
    <n v="792.26400000000001"/>
    <n v="832.26400000000001"/>
    <x v="43"/>
    <s v="BeforeTime"/>
    <x v="3"/>
    <n v="0"/>
  </r>
  <r>
    <x v="59"/>
    <s v="Brandon"/>
    <s v="Cruz"/>
    <n v="32"/>
    <x v="1"/>
    <x v="4"/>
    <s v="brandon.cruz@gmail.com"/>
    <s v="9296 Villanueva Branch, East Kevin, CO 93912"/>
    <x v="359"/>
    <n v="45586"/>
    <s v="15:26:04"/>
    <x v="49"/>
    <n v="496.59"/>
    <n v="2"/>
    <x v="2"/>
    <n v="5"/>
    <n v="41"/>
    <n v="45588"/>
    <s v="08:17:58"/>
    <n v="2"/>
    <n v="993.18"/>
    <n v="0.08"/>
    <n v="913.72559999999999"/>
    <n v="954.72559999999999"/>
    <x v="59"/>
    <s v="BeforeTime"/>
    <x v="11"/>
    <n v="102.82400000000001"/>
  </r>
  <r>
    <x v="80"/>
    <s v="Sharon"/>
    <s v="Thompson"/>
    <n v="57"/>
    <x v="2"/>
    <x v="1"/>
    <s v="sharon.thompson@yahoo.com"/>
    <s v="598 Jasmine Harbor, Turnerberg, SD 02371"/>
    <x v="360"/>
    <n v="45595"/>
    <s v="07:05:58"/>
    <x v="49"/>
    <n v="496.59"/>
    <n v="2"/>
    <x v="0"/>
    <n v="1"/>
    <n v="46"/>
    <n v="45598"/>
    <s v="17:13:41"/>
    <n v="3"/>
    <n v="993.18"/>
    <n v="0.1"/>
    <n v="893.86199999999997"/>
    <n v="939.86199999999997"/>
    <x v="80"/>
    <s v="Late"/>
    <x v="4"/>
    <n v="161.21199999999999"/>
  </r>
  <r>
    <x v="52"/>
    <s v="Beth"/>
    <s v="Mason"/>
    <n v="45"/>
    <x v="1"/>
    <x v="4"/>
    <s v="beth.mason@outlook.com"/>
    <s v="58998 Sherry Haven, East Richard, FL 90775"/>
    <x v="361"/>
    <n v="45665"/>
    <s v="12:57:10"/>
    <x v="49"/>
    <n v="496.59"/>
    <n v="2"/>
    <x v="1"/>
    <n v="5"/>
    <n v="40"/>
    <n v="45667"/>
    <s v="19:04:22"/>
    <n v="2"/>
    <n v="993.18"/>
    <n v="0"/>
    <n v="993.18"/>
    <n v="993.18"/>
    <x v="52"/>
    <s v="BeforeTime"/>
    <x v="2"/>
    <n v="4.8450000000000006"/>
  </r>
  <r>
    <x v="57"/>
    <s v="Debra"/>
    <s v="Hayes"/>
    <n v="33"/>
    <x v="0"/>
    <x v="2"/>
    <s v="debra.hayes@yahoo.com"/>
    <s v="4601 Miller Lock, Williamsbury, IA 10943"/>
    <x v="362"/>
    <n v="45330"/>
    <s v="15:45:02"/>
    <x v="49"/>
    <n v="496.59"/>
    <n v="2"/>
    <x v="0"/>
    <n v="5"/>
    <n v="40"/>
    <n v="45331"/>
    <s v="19:16:06"/>
    <n v="1"/>
    <n v="993.18"/>
    <n v="0.1"/>
    <n v="893.86199999999997"/>
    <n v="933.86199999999997"/>
    <x v="57"/>
    <s v="BeforeTime"/>
    <x v="0"/>
    <n v="22.25"/>
  </r>
  <r>
    <x v="44"/>
    <s v="Mike"/>
    <s v="Carter"/>
    <n v="59"/>
    <x v="1"/>
    <x v="2"/>
    <s v="mike.carter@rediffmail.com"/>
    <s v="3971 Ortiz Fields, Lake Jackfort, IA 97132"/>
    <x v="363"/>
    <n v="45527"/>
    <s v="02:56:56"/>
    <x v="49"/>
    <n v="496.59"/>
    <n v="2"/>
    <x v="2"/>
    <n v="3"/>
    <n v="55"/>
    <n v="45528"/>
    <s v="11:28:09"/>
    <n v="1"/>
    <n v="993.18"/>
    <n v="0.08"/>
    <n v="913.72559999999999"/>
    <n v="968.72559999999999"/>
    <x v="44"/>
    <s v="BeforeTime"/>
    <x v="5"/>
    <n v="128.13999999999999"/>
  </r>
  <r>
    <x v="86"/>
    <s v="Bobby"/>
    <s v="Forbes"/>
    <n v="20"/>
    <x v="0"/>
    <x v="4"/>
    <s v="bobby.forbes@gmail.com"/>
    <s v="3079 John Parkway Suite 961, Port Kristaview, MT 91019"/>
    <x v="364"/>
    <n v="45156"/>
    <s v="03:53:04"/>
    <x v="19"/>
    <n v="202.54"/>
    <n v="5"/>
    <x v="2"/>
    <n v="2"/>
    <n v="68"/>
    <n v="45159"/>
    <s v="15:27:26"/>
    <n v="3"/>
    <n v="1012.6999999999999"/>
    <n v="0.08"/>
    <n v="931.68399999999997"/>
    <n v="999.68399999999997"/>
    <x v="86"/>
    <s v="Late"/>
    <x v="1"/>
    <n v="73.805999999999997"/>
  </r>
  <r>
    <x v="11"/>
    <s v="Alexandra"/>
    <s v="Smith"/>
    <n v="70"/>
    <x v="0"/>
    <x v="6"/>
    <s v="alexandra.smith@rediffmail.com"/>
    <s v="48611 Clark Village, West Anne, GA 92865"/>
    <x v="365"/>
    <n v="45045"/>
    <s v="22:25:26"/>
    <x v="19"/>
    <n v="202.54"/>
    <n v="5"/>
    <x v="4"/>
    <n v="1"/>
    <n v="47"/>
    <n v="45051"/>
    <s v="20:52:06"/>
    <n v="6"/>
    <n v="1012.6999999999999"/>
    <n v="0.15"/>
    <n v="860.79499999999996"/>
    <n v="907.79499999999996"/>
    <x v="11"/>
    <s v="Late"/>
    <x v="2"/>
    <n v="51.412000000000006"/>
  </r>
  <r>
    <x v="50"/>
    <s v="Regina"/>
    <s v="Hawkins"/>
    <n v="47"/>
    <x v="2"/>
    <x v="6"/>
    <s v="regina.hawkins@rediffmail.com"/>
    <s v="096 Santos Neck Apt. 937, Benjaminmouth, FL 61454"/>
    <x v="366"/>
    <n v="45216"/>
    <s v="00:38:36"/>
    <x v="19"/>
    <n v="202.54"/>
    <n v="5"/>
    <x v="0"/>
    <n v="4"/>
    <n v="58"/>
    <n v="45218"/>
    <s v="20:13:27"/>
    <n v="2"/>
    <n v="1012.6999999999999"/>
    <n v="0.1"/>
    <n v="911.43"/>
    <n v="969.43"/>
    <x v="50"/>
    <s v="BeforeTime"/>
    <x v="8"/>
    <n v="0"/>
  </r>
  <r>
    <x v="65"/>
    <s v="Mitchell"/>
    <s v="Parker"/>
    <n v="39"/>
    <x v="1"/>
    <x v="0"/>
    <s v="mitchell.parker@yahoo.com"/>
    <s v="PSC 3316, Box 9303, APO AE 29513"/>
    <x v="367"/>
    <n v="45397"/>
    <s v="14:16:13"/>
    <x v="22"/>
    <n v="257.06"/>
    <n v="4"/>
    <x v="3"/>
    <n v="3"/>
    <n v="50"/>
    <n v="45401"/>
    <s v="11:54:49"/>
    <n v="4"/>
    <n v="1028.24"/>
    <n v="0.2"/>
    <n v="822.59199999999998"/>
    <n v="872.59199999999998"/>
    <x v="65"/>
    <s v="Late"/>
    <x v="4"/>
    <n v="84.789000000000001"/>
  </r>
  <r>
    <x v="77"/>
    <s v="Kelli"/>
    <s v="Smith"/>
    <n v="18"/>
    <x v="2"/>
    <x v="0"/>
    <s v="kelli.smith@rediffmail.com"/>
    <s v="788 Kristina Lane, Montoyaside, VA 90756"/>
    <x v="368"/>
    <n v="45023"/>
    <s v="13:06:48"/>
    <x v="22"/>
    <n v="257.06"/>
    <n v="4"/>
    <x v="0"/>
    <n v="1"/>
    <n v="65"/>
    <n v="45025"/>
    <s v="01:22:23"/>
    <n v="2"/>
    <n v="1028.24"/>
    <n v="0.1"/>
    <n v="925.41599999999994"/>
    <n v="990.41599999999994"/>
    <x v="77"/>
    <s v="Late"/>
    <x v="6"/>
    <n v="65.4024"/>
  </r>
  <r>
    <x v="0"/>
    <s v="Kristina"/>
    <s v="Haynes"/>
    <n v="27"/>
    <x v="0"/>
    <x v="0"/>
    <s v="kristina.haynes@yahoo.com"/>
    <s v="18295 Thomas River, Kochville, NH 80868"/>
    <x v="369"/>
    <n v="45132"/>
    <s v="05:33:41"/>
    <x v="22"/>
    <n v="257.06"/>
    <n v="4"/>
    <x v="1"/>
    <n v="5"/>
    <n v="52"/>
    <n v="45136"/>
    <s v="13:20:58"/>
    <n v="4"/>
    <n v="1028.24"/>
    <n v="0"/>
    <n v="1028.24"/>
    <n v="1028.24"/>
    <x v="0"/>
    <s v="BeforeTime"/>
    <x v="1"/>
    <n v="0"/>
  </r>
  <r>
    <x v="58"/>
    <s v="Mary"/>
    <s v="Knight"/>
    <n v="28"/>
    <x v="1"/>
    <x v="5"/>
    <s v="mary.knight@yahoo.com"/>
    <s v="907 Kimberly Hill, Murrayfort, NH 88384"/>
    <x v="370"/>
    <n v="45600"/>
    <s v="11:52:12"/>
    <x v="22"/>
    <n v="257.06"/>
    <n v="4"/>
    <x v="0"/>
    <n v="6"/>
    <n v="69"/>
    <n v="45603"/>
    <s v="23:25:32"/>
    <n v="3"/>
    <n v="1028.24"/>
    <n v="0.1"/>
    <n v="925.41599999999994"/>
    <n v="994.41599999999994"/>
    <x v="58"/>
    <s v="BeforeTime"/>
    <x v="9"/>
    <n v="39.890999999999998"/>
  </r>
  <r>
    <x v="8"/>
    <s v="Erin"/>
    <s v="Miller"/>
    <n v="46"/>
    <x v="0"/>
    <x v="2"/>
    <s v="erin.miller@gmail.com"/>
    <s v="65972 Peterson Route, Port Andrewfurt, SD 32892"/>
    <x v="371"/>
    <n v="44966"/>
    <s v="23:53:21"/>
    <x v="23"/>
    <n v="272.51"/>
    <n v="4"/>
    <x v="0"/>
    <n v="5"/>
    <n v="40"/>
    <n v="44970"/>
    <s v="12:55:59"/>
    <n v="4"/>
    <n v="1090.04"/>
    <n v="0.1"/>
    <n v="981.03599999999994"/>
    <n v="1021.0359999999999"/>
    <x v="8"/>
    <s v="BeforeTime"/>
    <x v="0"/>
    <n v="0"/>
  </r>
  <r>
    <x v="56"/>
    <s v="Jason"/>
    <s v="Nguyen"/>
    <n v="51"/>
    <x v="1"/>
    <x v="3"/>
    <s v="jason.nguyen@yahoo.com"/>
    <s v="7112 Travis Glens Suite 790, Crystalland, WV 38373"/>
    <x v="372"/>
    <n v="45598"/>
    <s v="22:18:21"/>
    <x v="23"/>
    <n v="272.51"/>
    <n v="4"/>
    <x v="1"/>
    <n v="2"/>
    <n v="42"/>
    <n v="45599"/>
    <s v="12:35:14"/>
    <n v="1"/>
    <n v="1090.04"/>
    <n v="0"/>
    <n v="1090.04"/>
    <n v="1090.04"/>
    <x v="56"/>
    <s v="BeforeTime"/>
    <x v="11"/>
    <n v="42.988"/>
  </r>
  <r>
    <x v="97"/>
    <s v="Natasha"/>
    <s v="Michael"/>
    <n v="49"/>
    <x v="0"/>
    <x v="0"/>
    <s v="natasha.michael@gmail.com"/>
    <s v="78992 Justin Estates Suite 226, Floresberg, NM 40797"/>
    <x v="373"/>
    <n v="45478"/>
    <s v="08:11:19"/>
    <x v="23"/>
    <n v="272.51"/>
    <n v="4"/>
    <x v="1"/>
    <n v="1"/>
    <n v="51"/>
    <n v="45480"/>
    <s v="18:28:53"/>
    <n v="2"/>
    <n v="1090.04"/>
    <n v="0"/>
    <n v="1090.04"/>
    <n v="1090.04"/>
    <x v="97"/>
    <s v="Late"/>
    <x v="2"/>
    <n v="53.735000000000007"/>
  </r>
  <r>
    <x v="94"/>
    <s v="Christine"/>
    <s v="Aguilar"/>
    <n v="46"/>
    <x v="0"/>
    <x v="6"/>
    <s v="christine.aguilar@gmail.com"/>
    <s v="3284 Martin Neck, Lopezville, NY 69154"/>
    <x v="374"/>
    <n v="45481"/>
    <s v="08:00:47"/>
    <x v="23"/>
    <n v="272.51"/>
    <n v="4"/>
    <x v="1"/>
    <n v="7"/>
    <n v="38"/>
    <n v="45482"/>
    <s v="17:20:58"/>
    <n v="1"/>
    <n v="1090.04"/>
    <n v="0"/>
    <n v="1090.04"/>
    <n v="1090.04"/>
    <x v="94"/>
    <s v="BeforeTime"/>
    <x v="6"/>
    <n v="20.042999999999999"/>
  </r>
  <r>
    <x v="87"/>
    <s v="Jodi"/>
    <s v="Whitney"/>
    <n v="33"/>
    <x v="1"/>
    <x v="2"/>
    <s v="jodi.whitney@yahoo.com"/>
    <s v="72876 Lara Key Suite 383, Gutierrezton, OR 71683"/>
    <x v="375"/>
    <n v="45677"/>
    <s v="22:42:24"/>
    <x v="23"/>
    <n v="272.51"/>
    <n v="4"/>
    <x v="3"/>
    <n v="6"/>
    <n v="39"/>
    <n v="45679"/>
    <s v="19:19:52"/>
    <n v="2"/>
    <n v="1090.04"/>
    <n v="0.2"/>
    <n v="872.03199999999993"/>
    <n v="911.03199999999993"/>
    <x v="87"/>
    <s v="BeforeTime"/>
    <x v="11"/>
    <n v="110.176"/>
  </r>
  <r>
    <x v="72"/>
    <s v="David"/>
    <s v="Delacruz"/>
    <n v="26"/>
    <x v="2"/>
    <x v="4"/>
    <s v="david.delacruz@rediffmail.com"/>
    <s v="USNS Ray, FPO AE 20238"/>
    <x v="376"/>
    <n v="45459"/>
    <s v="19:27:45"/>
    <x v="32"/>
    <n v="363.64"/>
    <n v="3"/>
    <x v="0"/>
    <n v="2"/>
    <n v="70"/>
    <n v="45464"/>
    <s v="12:36:32"/>
    <n v="5"/>
    <n v="1090.92"/>
    <n v="0.1"/>
    <n v="981.82800000000009"/>
    <n v="1051.828"/>
    <x v="72"/>
    <s v="Late"/>
    <x v="9"/>
    <n v="148.54949999999999"/>
  </r>
  <r>
    <x v="86"/>
    <s v="Bobby"/>
    <s v="Forbes"/>
    <n v="20"/>
    <x v="0"/>
    <x v="4"/>
    <s v="bobby.forbes@gmail.com"/>
    <s v="3079 John Parkway Suite 961, Port Kristaview, MT 91019"/>
    <x v="377"/>
    <n v="45185"/>
    <s v="18:58:15"/>
    <x v="32"/>
    <n v="363.64"/>
    <n v="3"/>
    <x v="3"/>
    <n v="5"/>
    <n v="39"/>
    <n v="45189"/>
    <s v="02:21:23"/>
    <n v="4"/>
    <n v="1090.92"/>
    <n v="0.2"/>
    <n v="872.7360000000001"/>
    <n v="911.7360000000001"/>
    <x v="86"/>
    <s v="BeforeTime"/>
    <x v="5"/>
    <n v="65.4024"/>
  </r>
  <r>
    <x v="9"/>
    <s v="Rebecca"/>
    <s v="Figueroa"/>
    <n v="63"/>
    <x v="0"/>
    <x v="3"/>
    <s v="rebecca.figueroa@outlook.com"/>
    <s v="3959 Bell Dale, North Jacob, LA 07934"/>
    <x v="378"/>
    <n v="45655"/>
    <s v="09:43:27"/>
    <x v="32"/>
    <n v="363.64"/>
    <n v="3"/>
    <x v="0"/>
    <n v="6"/>
    <n v="69"/>
    <n v="45662"/>
    <s v="00:00:42"/>
    <n v="7"/>
    <n v="1090.92"/>
    <n v="0.1"/>
    <n v="981.82800000000009"/>
    <n v="1050.828"/>
    <x v="9"/>
    <s v="Late"/>
    <x v="11"/>
    <n v="140.744"/>
  </r>
  <r>
    <x v="51"/>
    <s v="Teresa"/>
    <s v="Harvey"/>
    <n v="64"/>
    <x v="1"/>
    <x v="6"/>
    <s v="teresa.harvey@gmail.com"/>
    <s v="02669 Kirk Squares, Davisville, VA 51272"/>
    <x v="379"/>
    <n v="45459"/>
    <s v="03:04:26"/>
    <x v="32"/>
    <n v="363.64"/>
    <n v="3"/>
    <x v="1"/>
    <n v="7"/>
    <n v="41"/>
    <n v="45461"/>
    <s v="16:05:07"/>
    <n v="2"/>
    <n v="1090.92"/>
    <n v="0"/>
    <n v="1090.92"/>
    <n v="1090.92"/>
    <x v="51"/>
    <s v="BeforeTime"/>
    <x v="6"/>
    <n v="88.5672"/>
  </r>
  <r>
    <x v="59"/>
    <s v="Brandon"/>
    <s v="Cruz"/>
    <n v="32"/>
    <x v="1"/>
    <x v="4"/>
    <s v="brandon.cruz@gmail.com"/>
    <s v="9296 Villanueva Branch, East Kevin, CO 93912"/>
    <x v="380"/>
    <n v="45455"/>
    <s v="16:25:28"/>
    <x v="32"/>
    <n v="363.64"/>
    <n v="3"/>
    <x v="1"/>
    <n v="3"/>
    <n v="70"/>
    <n v="45461"/>
    <s v="13:33:22"/>
    <n v="6"/>
    <n v="1090.92"/>
    <n v="0"/>
    <n v="1090.92"/>
    <n v="1090.92"/>
    <x v="59"/>
    <s v="Late"/>
    <x v="3"/>
    <n v="149.048"/>
  </r>
  <r>
    <x v="5"/>
    <s v="Katherine"/>
    <s v="Weber"/>
    <n v="42"/>
    <x v="1"/>
    <x v="5"/>
    <s v="katherine.weber@outlook.com"/>
    <s v="04887 Kimberly Union Apt. 645, Port Laura, IL 97219"/>
    <x v="381"/>
    <n v="45495"/>
    <s v="20:01:38"/>
    <x v="32"/>
    <n v="363.64"/>
    <n v="3"/>
    <x v="2"/>
    <n v="5"/>
    <n v="53"/>
    <n v="45502"/>
    <s v="12:58:48"/>
    <n v="7"/>
    <n v="1090.92"/>
    <n v="0.08"/>
    <n v="1003.6464000000001"/>
    <n v="1056.6464000000001"/>
    <x v="5"/>
    <s v="Late"/>
    <x v="7"/>
    <n v="0"/>
  </r>
  <r>
    <x v="48"/>
    <s v="Lauren"/>
    <s v="Long"/>
    <n v="44"/>
    <x v="0"/>
    <x v="1"/>
    <s v="lauren.long@gmail.com"/>
    <s v="258 Michael Brooks Suite 363, Arnoldview, PA 49438"/>
    <x v="382"/>
    <n v="45390"/>
    <s v="10:38:44"/>
    <x v="32"/>
    <n v="363.64"/>
    <n v="3"/>
    <x v="4"/>
    <n v="1"/>
    <n v="47"/>
    <n v="45395"/>
    <s v="15:48:50"/>
    <n v="5"/>
    <n v="1090.92"/>
    <n v="0.15"/>
    <n v="927.28200000000004"/>
    <n v="974.28200000000004"/>
    <x v="48"/>
    <s v="Late"/>
    <x v="2"/>
    <n v="15.763999999999999"/>
  </r>
  <r>
    <x v="91"/>
    <s v="William"/>
    <s v="Mann"/>
    <n v="21"/>
    <x v="0"/>
    <x v="0"/>
    <s v="william.mann@yahoo.com"/>
    <s v="849 Tran Wells, New Lindsayville, WI 22669"/>
    <x v="383"/>
    <n v="45578"/>
    <s v="08:44:39"/>
    <x v="32"/>
    <n v="363.64"/>
    <n v="3"/>
    <x v="3"/>
    <n v="6"/>
    <n v="64"/>
    <n v="45585"/>
    <s v="13:35:45"/>
    <n v="7"/>
    <n v="1090.92"/>
    <n v="0.2"/>
    <n v="872.7360000000001"/>
    <n v="936.7360000000001"/>
    <x v="91"/>
    <s v="Late"/>
    <x v="11"/>
    <n v="4.968"/>
  </r>
  <r>
    <x v="81"/>
    <s v="Megan"/>
    <s v="Hunt"/>
    <n v="63"/>
    <x v="0"/>
    <x v="2"/>
    <s v="megan.hunt@rediffmail.com"/>
    <s v="03765 Velazquez Knoll Suite 478, Richardshire, UT 17200"/>
    <x v="384"/>
    <n v="45107"/>
    <s v="04:03:12"/>
    <x v="42"/>
    <n v="220.27"/>
    <n v="5"/>
    <x v="3"/>
    <n v="6"/>
    <n v="57"/>
    <n v="45109"/>
    <s v="13:27:06"/>
    <n v="2"/>
    <n v="1101.3500000000001"/>
    <n v="0.2"/>
    <n v="881.08000000000015"/>
    <n v="938.08000000000015"/>
    <x v="81"/>
    <s v="BeforeTime"/>
    <x v="7"/>
    <n v="76.884"/>
  </r>
  <r>
    <x v="73"/>
    <s v="Brittany"/>
    <s v="Stewart"/>
    <n v="68"/>
    <x v="1"/>
    <x v="1"/>
    <s v="brittany.stewart@gmail.com"/>
    <s v="6250 David Loaf Suite 561, North Pamelaberg, WV 63652"/>
    <x v="385"/>
    <n v="45002"/>
    <s v="18:25:37"/>
    <x v="24"/>
    <n v="275.44"/>
    <n v="4"/>
    <x v="2"/>
    <n v="4"/>
    <n v="40"/>
    <n v="45007"/>
    <s v="15:52:25"/>
    <n v="5"/>
    <n v="1101.76"/>
    <n v="0.08"/>
    <n v="1013.6192"/>
    <n v="1053.6192000000001"/>
    <x v="73"/>
    <s v="Late"/>
    <x v="3"/>
    <n v="37.833599999999997"/>
  </r>
  <r>
    <x v="45"/>
    <s v="Mark"/>
    <s v="Summers"/>
    <n v="55"/>
    <x v="2"/>
    <x v="7"/>
    <s v="mark.summers@outlook.com"/>
    <s v="08413 Lynch Parkway, Calderonstad, NV 32697"/>
    <x v="386"/>
    <n v="45408"/>
    <s v="21:25:23"/>
    <x v="33"/>
    <n v="369.03"/>
    <n v="3"/>
    <x v="3"/>
    <n v="2"/>
    <n v="65"/>
    <n v="45412"/>
    <s v="15:58:45"/>
    <n v="4"/>
    <n v="1107.0899999999999"/>
    <n v="0.2"/>
    <n v="885.67199999999991"/>
    <n v="950.67199999999991"/>
    <x v="45"/>
    <s v="Late"/>
    <x v="6"/>
    <n v="37.262"/>
  </r>
  <r>
    <x v="15"/>
    <s v="Jessica"/>
    <s v="Ruiz"/>
    <n v="19"/>
    <x v="2"/>
    <x v="5"/>
    <s v="jessica.ruiz@rediffmail.com"/>
    <s v="02370 Laura Station Suite 309, Brandonville, DE 18875"/>
    <x v="387"/>
    <n v="45049"/>
    <s v="05:06:18"/>
    <x v="33"/>
    <n v="369.03"/>
    <n v="3"/>
    <x v="2"/>
    <n v="6"/>
    <n v="50"/>
    <n v="45052"/>
    <s v="20:00:01"/>
    <n v="3"/>
    <n v="1107.0899999999999"/>
    <n v="0.08"/>
    <n v="1018.5228"/>
    <n v="1068.5228"/>
    <x v="15"/>
    <s v="BeforeTime"/>
    <x v="9"/>
    <n v="0"/>
  </r>
  <r>
    <x v="6"/>
    <s v="Lauren"/>
    <s v="Crane"/>
    <n v="62"/>
    <x v="2"/>
    <x v="0"/>
    <s v="lauren.crane@yahoo.com"/>
    <s v="30313 Reyes Parkways Suite 392, Port Bradley, SC 24078"/>
    <x v="388"/>
    <n v="45459"/>
    <s v="09:19:53"/>
    <x v="33"/>
    <n v="369.03"/>
    <n v="3"/>
    <x v="2"/>
    <n v="6"/>
    <n v="57"/>
    <n v="45461"/>
    <s v="14:30:24"/>
    <n v="2"/>
    <n v="1107.0899999999999"/>
    <n v="0.08"/>
    <n v="1018.5228"/>
    <n v="1075.5228"/>
    <x v="6"/>
    <s v="BeforeTime"/>
    <x v="3"/>
    <n v="0"/>
  </r>
  <r>
    <x v="36"/>
    <s v="Angela"/>
    <s v="Horne"/>
    <n v="49"/>
    <x v="1"/>
    <x v="6"/>
    <s v="angela.horne@outlook.com"/>
    <s v="USNV Mueller, FPO AP 54648"/>
    <x v="389"/>
    <n v="45557"/>
    <s v="00:47:19"/>
    <x v="34"/>
    <n v="372.62"/>
    <n v="3"/>
    <x v="2"/>
    <n v="3"/>
    <n v="59"/>
    <n v="45564"/>
    <s v="11:25:58"/>
    <n v="7"/>
    <n v="1117.8600000000001"/>
    <n v="0.08"/>
    <n v="1028.4312000000002"/>
    <n v="1087.4312000000002"/>
    <x v="36"/>
    <s v="Late"/>
    <x v="5"/>
    <n v="0"/>
  </r>
  <r>
    <x v="67"/>
    <s v="Amy"/>
    <s v="Reid"/>
    <n v="44"/>
    <x v="2"/>
    <x v="4"/>
    <s v="amy.reid@rediffmail.com"/>
    <s v="6262 Simpson Village, North Danielle, RI 76074"/>
    <x v="390"/>
    <n v="45568"/>
    <s v="12:37:23"/>
    <x v="34"/>
    <n v="372.62"/>
    <n v="3"/>
    <x v="2"/>
    <n v="1"/>
    <n v="52"/>
    <n v="45575"/>
    <s v="09:02:09"/>
    <n v="7"/>
    <n v="1117.8600000000001"/>
    <n v="0.08"/>
    <n v="1028.4312000000002"/>
    <n v="1080.4312000000002"/>
    <x v="67"/>
    <s v="Late"/>
    <x v="0"/>
    <n v="149.048"/>
  </r>
  <r>
    <x v="49"/>
    <s v="John"/>
    <s v="Herrera"/>
    <n v="64"/>
    <x v="2"/>
    <x v="0"/>
    <s v="john.herrera@outlook.com"/>
    <s v="61263 Jacob Isle, Amandatown, TN 34321"/>
    <x v="391"/>
    <n v="45351"/>
    <s v="00:57:26"/>
    <x v="34"/>
    <n v="372.62"/>
    <n v="3"/>
    <x v="1"/>
    <n v="5"/>
    <n v="54"/>
    <n v="45352"/>
    <s v="23:16:52"/>
    <n v="1"/>
    <n v="1117.8600000000001"/>
    <n v="0"/>
    <n v="1117.8600000000001"/>
    <n v="1117.8600000000001"/>
    <x v="49"/>
    <s v="BeforeTime"/>
    <x v="6"/>
    <n v="169.928"/>
  </r>
  <r>
    <x v="18"/>
    <s v="Heather"/>
    <s v="Schneider"/>
    <n v="48"/>
    <x v="2"/>
    <x v="4"/>
    <s v="heather.schneider@outlook.com"/>
    <s v="57940 Susan Creek Apt. 541, Port Aliciamouth, OR 90221"/>
    <x v="392"/>
    <n v="45616"/>
    <s v="22:27:32"/>
    <x v="25"/>
    <n v="282.63"/>
    <n v="4"/>
    <x v="0"/>
    <n v="1"/>
    <n v="60"/>
    <n v="45618"/>
    <s v="22:31:13"/>
    <n v="2"/>
    <n v="1130.52"/>
    <n v="0.1"/>
    <n v="1017.468"/>
    <n v="1077.4679999999998"/>
    <x v="18"/>
    <s v="Late"/>
    <x v="4"/>
    <n v="0"/>
  </r>
  <r>
    <x v="34"/>
    <s v="Sarah"/>
    <s v="Butler"/>
    <n v="64"/>
    <x v="0"/>
    <x v="6"/>
    <s v="sarah.butler@rediffmail.com"/>
    <s v="14131 Edwin Shore Apt. 190, Deniseberg, MD 90905"/>
    <x v="393"/>
    <n v="45188"/>
    <s v="00:49:15"/>
    <x v="25"/>
    <n v="282.63"/>
    <n v="4"/>
    <x v="0"/>
    <n v="3"/>
    <n v="52"/>
    <n v="45191"/>
    <s v="07:05:22"/>
    <n v="3"/>
    <n v="1130.52"/>
    <n v="0.1"/>
    <n v="1017.468"/>
    <n v="1069.4679999999998"/>
    <x v="34"/>
    <s v="Intime"/>
    <x v="1"/>
    <n v="87.644999999999996"/>
  </r>
  <r>
    <x v="97"/>
    <s v="Natasha"/>
    <s v="Michael"/>
    <n v="49"/>
    <x v="0"/>
    <x v="0"/>
    <s v="natasha.michael@gmail.com"/>
    <s v="78992 Justin Estates Suite 226, Floresberg, NM 40797"/>
    <x v="394"/>
    <n v="45122"/>
    <s v="10:58:30"/>
    <x v="25"/>
    <n v="282.63"/>
    <n v="4"/>
    <x v="0"/>
    <n v="1"/>
    <n v="48"/>
    <n v="45125"/>
    <s v="13:36:46"/>
    <n v="3"/>
    <n v="1130.52"/>
    <n v="0.1"/>
    <n v="1017.468"/>
    <n v="1065.4679999999998"/>
    <x v="97"/>
    <s v="Late"/>
    <x v="7"/>
    <n v="55.893000000000001"/>
  </r>
  <r>
    <x v="34"/>
    <s v="Sarah"/>
    <s v="Butler"/>
    <n v="64"/>
    <x v="0"/>
    <x v="6"/>
    <s v="sarah.butler@rediffmail.com"/>
    <s v="14131 Edwin Shore Apt. 190, Deniseberg, MD 90905"/>
    <x v="395"/>
    <n v="45576"/>
    <s v="19:56:54"/>
    <x v="27"/>
    <n v="292.14999999999998"/>
    <n v="4"/>
    <x v="3"/>
    <n v="1"/>
    <n v="58"/>
    <n v="45577"/>
    <s v="02:22:56"/>
    <n v="1"/>
    <n v="1168.5999999999999"/>
    <n v="0.2"/>
    <n v="934.87999999999988"/>
    <n v="992.87999999999988"/>
    <x v="34"/>
    <s v="Intime"/>
    <x v="1"/>
    <n v="21.802500000000002"/>
  </r>
  <r>
    <x v="59"/>
    <s v="Brandon"/>
    <s v="Cruz"/>
    <n v="32"/>
    <x v="1"/>
    <x v="4"/>
    <s v="brandon.cruz@gmail.com"/>
    <s v="9296 Villanueva Branch, East Kevin, CO 93912"/>
    <x v="396"/>
    <n v="45125"/>
    <s v="02:56:50"/>
    <x v="21"/>
    <n v="235.63"/>
    <n v="5"/>
    <x v="2"/>
    <n v="4"/>
    <n v="52"/>
    <n v="45129"/>
    <s v="05:26:37"/>
    <n v="4"/>
    <n v="1178.1500000000001"/>
    <n v="0.08"/>
    <n v="1083.8980000000001"/>
    <n v="1135.8980000000001"/>
    <x v="59"/>
    <s v="Intime"/>
    <x v="5"/>
    <n v="57.03"/>
  </r>
  <r>
    <x v="4"/>
    <s v="Amy"/>
    <s v="Ellis"/>
    <n v="44"/>
    <x v="1"/>
    <x v="4"/>
    <s v="amy.ellis@gmail.com"/>
    <s v="217 Scott Ville, Christophermouth, NH 83776"/>
    <x v="397"/>
    <n v="45109"/>
    <s v="10:10:51"/>
    <x v="21"/>
    <n v="235.63"/>
    <n v="5"/>
    <x v="3"/>
    <n v="6"/>
    <n v="63"/>
    <n v="45114"/>
    <s v="02:58:17"/>
    <n v="5"/>
    <n v="1178.1500000000001"/>
    <n v="0.2"/>
    <n v="942.5200000000001"/>
    <n v="1005.5200000000001"/>
    <x v="4"/>
    <s v="BeforeTime"/>
    <x v="1"/>
    <n v="276.642"/>
  </r>
  <r>
    <x v="4"/>
    <s v="Amy"/>
    <s v="Ellis"/>
    <n v="44"/>
    <x v="1"/>
    <x v="4"/>
    <s v="amy.ellis@gmail.com"/>
    <s v="217 Scott Ville, Christophermouth, NH 83776"/>
    <x v="398"/>
    <n v="45208"/>
    <s v="15:02:28"/>
    <x v="36"/>
    <n v="403.03"/>
    <n v="3"/>
    <x v="4"/>
    <n v="4"/>
    <n v="67"/>
    <n v="45213"/>
    <s v="04:23:57"/>
    <n v="5"/>
    <n v="1209.0899999999999"/>
    <n v="0.15"/>
    <n v="1027.7265"/>
    <n v="1094.7265"/>
    <x v="4"/>
    <s v="Late"/>
    <x v="5"/>
    <n v="63.055999999999997"/>
  </r>
  <r>
    <x v="87"/>
    <s v="Jodi"/>
    <s v="Whitney"/>
    <n v="33"/>
    <x v="1"/>
    <x v="2"/>
    <s v="jodi.whitney@yahoo.com"/>
    <s v="72876 Lara Key Suite 383, Gutierrezton, OR 71683"/>
    <x v="399"/>
    <n v="45383"/>
    <s v="03:47:08"/>
    <x v="36"/>
    <n v="403.03"/>
    <n v="3"/>
    <x v="4"/>
    <n v="5"/>
    <n v="44"/>
    <n v="45384"/>
    <s v="03:23:26"/>
    <n v="1"/>
    <n v="1209.0899999999999"/>
    <n v="0.15"/>
    <n v="1027.7265"/>
    <n v="1071.7265"/>
    <x v="87"/>
    <s v="BeforeTime"/>
    <x v="9"/>
    <n v="106.99440000000001"/>
  </r>
  <r>
    <x v="62"/>
    <s v="Thomas"/>
    <s v="Andersen"/>
    <n v="50"/>
    <x v="1"/>
    <x v="3"/>
    <s v="thomas.andersen@yahoo.com"/>
    <s v="480 Summers Lock Suite 819, Sarahborough, IA 59863"/>
    <x v="400"/>
    <n v="45149"/>
    <s v="01:51:31"/>
    <x v="37"/>
    <n v="405"/>
    <n v="3"/>
    <x v="0"/>
    <n v="6"/>
    <n v="36"/>
    <n v="45153"/>
    <s v="05:04:36"/>
    <n v="4"/>
    <n v="1215"/>
    <n v="0.1"/>
    <n v="1093.5"/>
    <n v="1129.5"/>
    <x v="62"/>
    <s v="BeforeTime"/>
    <x v="7"/>
    <n v="288.88799999999998"/>
  </r>
  <r>
    <x v="96"/>
    <s v="Deborah"/>
    <s v="Bates"/>
    <n v="23"/>
    <x v="0"/>
    <x v="4"/>
    <s v="deborah.bates@yahoo.com"/>
    <s v="278 Kathy Estate, Saraville, OH 77292"/>
    <x v="401"/>
    <n v="45373"/>
    <s v="00:44:05"/>
    <x v="37"/>
    <n v="405"/>
    <n v="3"/>
    <x v="0"/>
    <n v="5"/>
    <n v="54"/>
    <n v="45379"/>
    <s v="19:29:03"/>
    <n v="6"/>
    <n v="1215"/>
    <n v="0.1"/>
    <n v="1093.5"/>
    <n v="1147.5"/>
    <x v="96"/>
    <s v="Late"/>
    <x v="3"/>
    <n v="20.042999999999999"/>
  </r>
  <r>
    <x v="52"/>
    <s v="Beth"/>
    <s v="Mason"/>
    <n v="45"/>
    <x v="1"/>
    <x v="4"/>
    <s v="beth.mason@outlook.com"/>
    <s v="58998 Sherry Haven, East Richard, FL 90775"/>
    <x v="402"/>
    <n v="45677"/>
    <s v="02:55:39"/>
    <x v="38"/>
    <n v="421.7"/>
    <n v="3"/>
    <x v="0"/>
    <n v="6"/>
    <n v="38"/>
    <n v="45680"/>
    <s v="13:12:04"/>
    <n v="3"/>
    <n v="1265.0999999999999"/>
    <n v="0.1"/>
    <n v="1138.5899999999999"/>
    <n v="1176.5899999999999"/>
    <x v="52"/>
    <s v="BeforeTime"/>
    <x v="1"/>
    <n v="127.67700000000001"/>
  </r>
  <r>
    <x v="45"/>
    <s v="Mark"/>
    <s v="Summers"/>
    <n v="55"/>
    <x v="2"/>
    <x v="7"/>
    <s v="mark.summers@outlook.com"/>
    <s v="08413 Lynch Parkway, Calderonstad, NV 32697"/>
    <x v="403"/>
    <n v="45567"/>
    <s v="23:44:50"/>
    <x v="38"/>
    <n v="421.7"/>
    <n v="3"/>
    <x v="2"/>
    <n v="5"/>
    <n v="54"/>
    <n v="45571"/>
    <s v="04:23:25"/>
    <n v="4"/>
    <n v="1265.0999999999999"/>
    <n v="0.08"/>
    <n v="1163.8919999999998"/>
    <n v="1217.8919999999998"/>
    <x v="45"/>
    <s v="BeforeTime"/>
    <x v="10"/>
    <n v="477.52"/>
  </r>
  <r>
    <x v="11"/>
    <s v="Alexandra"/>
    <s v="Smith"/>
    <n v="70"/>
    <x v="0"/>
    <x v="6"/>
    <s v="alexandra.smith@rediffmail.com"/>
    <s v="48611 Clark Village, West Anne, GA 92865"/>
    <x v="404"/>
    <n v="45172"/>
    <s v="14:35:39"/>
    <x v="38"/>
    <n v="421.7"/>
    <n v="3"/>
    <x v="1"/>
    <n v="3"/>
    <n v="56"/>
    <n v="45177"/>
    <s v="17:37:51"/>
    <n v="5"/>
    <n v="1265.0999999999999"/>
    <n v="0"/>
    <n v="1265.0999999999999"/>
    <n v="1265.0999999999999"/>
    <x v="11"/>
    <s v="Late"/>
    <x v="6"/>
    <n v="67.831199999999995"/>
  </r>
  <r>
    <x v="26"/>
    <s v="John"/>
    <s v="Ramirez"/>
    <n v="28"/>
    <x v="1"/>
    <x v="3"/>
    <s v="john.ramirez@outlook.com"/>
    <s v="02797 Martin Landing, South Michelle, VT 98781"/>
    <x v="405"/>
    <n v="45213"/>
    <s v="23:40:15"/>
    <x v="39"/>
    <n v="424.82"/>
    <n v="3"/>
    <x v="2"/>
    <n v="2"/>
    <n v="67"/>
    <n v="45215"/>
    <s v="20:14:00"/>
    <n v="2"/>
    <n v="1274.46"/>
    <n v="0.08"/>
    <n v="1172.5032000000001"/>
    <n v="1239.5032000000001"/>
    <x v="26"/>
    <s v="Intime"/>
    <x v="1"/>
    <n v="31.527999999999999"/>
  </r>
  <r>
    <x v="38"/>
    <s v="Brendan"/>
    <s v="Kelly"/>
    <n v="50"/>
    <x v="1"/>
    <x v="2"/>
    <s v="brendan.kelly@rediffmail.com"/>
    <s v="688 Donald Oval Suite 089, Shepardport, CA 50844"/>
    <x v="406"/>
    <n v="45481"/>
    <s v="12:54:20"/>
    <x v="39"/>
    <n v="424.82"/>
    <n v="3"/>
    <x v="1"/>
    <n v="3"/>
    <n v="42"/>
    <n v="45482"/>
    <s v="17:32:38"/>
    <n v="1"/>
    <n v="1274.46"/>
    <n v="0"/>
    <n v="1274.46"/>
    <n v="1274.46"/>
    <x v="38"/>
    <s v="BeforeTime"/>
    <x v="6"/>
    <n v="4.8450000000000006"/>
  </r>
  <r>
    <x v="13"/>
    <s v="Amanda"/>
    <s v="Howard"/>
    <n v="52"/>
    <x v="1"/>
    <x v="1"/>
    <s v="amanda.howard@outlook.com"/>
    <s v="56908 Sydney Park Suite 632, West Anthonyport, NC 15954"/>
    <x v="407"/>
    <n v="45001"/>
    <s v="09:31:27"/>
    <x v="40"/>
    <n v="425.59"/>
    <n v="3"/>
    <x v="2"/>
    <n v="7"/>
    <n v="68"/>
    <n v="45005"/>
    <s v="22:18:21"/>
    <n v="4"/>
    <n v="1276.77"/>
    <n v="0.08"/>
    <n v="1174.6284000000001"/>
    <n v="1242.6284000000001"/>
    <x v="13"/>
    <s v="BeforeTime"/>
    <x v="0"/>
    <n v="58.43"/>
  </r>
  <r>
    <x v="97"/>
    <s v="Natasha"/>
    <s v="Michael"/>
    <n v="49"/>
    <x v="0"/>
    <x v="0"/>
    <s v="natasha.michael@gmail.com"/>
    <s v="78992 Justin Estates Suite 226, Floresberg, NM 40797"/>
    <x v="408"/>
    <n v="45092"/>
    <s v="20:27:42"/>
    <x v="40"/>
    <n v="425.59"/>
    <n v="3"/>
    <x v="2"/>
    <n v="6"/>
    <n v="55"/>
    <n v="45099"/>
    <s v="10:15:00"/>
    <n v="7"/>
    <n v="1276.77"/>
    <n v="0.08"/>
    <n v="1174.6284000000001"/>
    <n v="1229.6284000000001"/>
    <x v="97"/>
    <s v="Late"/>
    <x v="1"/>
    <n v="16"/>
  </r>
  <r>
    <x v="50"/>
    <s v="Regina"/>
    <s v="Hawkins"/>
    <n v="47"/>
    <x v="2"/>
    <x v="6"/>
    <s v="regina.hawkins@rediffmail.com"/>
    <s v="096 Santos Neck Apt. 937, Benjaminmouth, FL 61454"/>
    <x v="409"/>
    <n v="45327"/>
    <s v="13:31:33"/>
    <x v="40"/>
    <n v="425.59"/>
    <n v="3"/>
    <x v="0"/>
    <n v="7"/>
    <n v="51"/>
    <n v="45330"/>
    <s v="02:03:42"/>
    <n v="3"/>
    <n v="1276.77"/>
    <n v="0.1"/>
    <n v="1149.0930000000001"/>
    <n v="1200.0930000000001"/>
    <x v="50"/>
    <s v="BeforeTime"/>
    <x v="5"/>
    <n v="14.535"/>
  </r>
  <r>
    <x v="94"/>
    <s v="Christine"/>
    <s v="Aguilar"/>
    <n v="46"/>
    <x v="0"/>
    <x v="6"/>
    <s v="christine.aguilar@gmail.com"/>
    <s v="3284 Martin Neck, Lopezville, NY 69154"/>
    <x v="410"/>
    <n v="44980"/>
    <s v="07:11:33"/>
    <x v="41"/>
    <n v="431.44"/>
    <n v="3"/>
    <x v="2"/>
    <n v="6"/>
    <n v="70"/>
    <n v="44983"/>
    <s v="03:38:41"/>
    <n v="3"/>
    <n v="1294.32"/>
    <n v="0.08"/>
    <n v="1190.7744"/>
    <n v="1260.7744"/>
    <x v="94"/>
    <s v="BeforeTime"/>
    <x v="4"/>
    <n v="50.475999999999999"/>
  </r>
  <r>
    <x v="41"/>
    <s v="Jared"/>
    <s v="Horn"/>
    <n v="43"/>
    <x v="0"/>
    <x v="3"/>
    <s v="jared.horn@outlook.com"/>
    <s v="43325 Barbara Tunnel, Port James, LA 16246"/>
    <x v="411"/>
    <n v="45087"/>
    <s v="18:23:17"/>
    <x v="41"/>
    <n v="431.44"/>
    <n v="3"/>
    <x v="4"/>
    <n v="4"/>
    <n v="58"/>
    <n v="45092"/>
    <s v="19:23:44"/>
    <n v="5"/>
    <n v="1294.32"/>
    <n v="0.15"/>
    <n v="1100.172"/>
    <n v="1158.172"/>
    <x v="41"/>
    <s v="Late"/>
    <x v="3"/>
    <n v="40.380800000000001"/>
  </r>
  <r>
    <x v="20"/>
    <s v="Christy"/>
    <s v="Chang"/>
    <n v="38"/>
    <x v="2"/>
    <x v="1"/>
    <s v="christy.chang@outlook.com"/>
    <s v="4647 Hannah Centers, Rhodesburgh, NH 89363"/>
    <x v="412"/>
    <n v="45496"/>
    <s v="06:59:53"/>
    <x v="47"/>
    <n v="433.62"/>
    <n v="3"/>
    <x v="0"/>
    <n v="2"/>
    <n v="39"/>
    <n v="45499"/>
    <s v="21:07:49"/>
    <n v="3"/>
    <n v="1300.8600000000001"/>
    <n v="0.1"/>
    <n v="1170.7740000000001"/>
    <n v="1209.7740000000001"/>
    <x v="20"/>
    <s v="Late"/>
    <x v="3"/>
    <n v="0"/>
  </r>
  <r>
    <x v="98"/>
    <s v="Christine"/>
    <s v="West"/>
    <n v="53"/>
    <x v="1"/>
    <x v="5"/>
    <s v="christine.west@gmail.com"/>
    <s v="Unit 1433 Box 0246, DPO AP 94952"/>
    <x v="413"/>
    <n v="45543"/>
    <s v="16:55:06"/>
    <x v="30"/>
    <n v="330.11"/>
    <n v="4"/>
    <x v="4"/>
    <n v="6"/>
    <n v="39"/>
    <n v="45547"/>
    <s v="11:25:50"/>
    <n v="4"/>
    <n v="1320.44"/>
    <n v="0.15"/>
    <n v="1122.374"/>
    <n v="1161.374"/>
    <x v="98"/>
    <s v="BeforeTime"/>
    <x v="3"/>
    <n v="254.892"/>
  </r>
  <r>
    <x v="63"/>
    <s v="Joshua"/>
    <s v="Campbell"/>
    <n v="24"/>
    <x v="0"/>
    <x v="7"/>
    <s v="joshua.campbell@gmail.com"/>
    <s v="70426 Lindsey Overpass Apt. 030, Jessicafurt, AR 46269"/>
    <x v="414"/>
    <n v="45079"/>
    <s v="04:13:27"/>
    <x v="30"/>
    <n v="330.11"/>
    <n v="4"/>
    <x v="1"/>
    <n v="1"/>
    <n v="58"/>
    <n v="45080"/>
    <s v="11:25:46"/>
    <n v="1"/>
    <n v="1320.44"/>
    <n v="0"/>
    <n v="1320.44"/>
    <n v="1320.44"/>
    <x v="63"/>
    <s v="Intime"/>
    <x v="4"/>
    <n v="4"/>
  </r>
  <r>
    <x v="98"/>
    <s v="Christine"/>
    <s v="West"/>
    <n v="53"/>
    <x v="1"/>
    <x v="5"/>
    <s v="christine.west@gmail.com"/>
    <s v="Unit 1433 Box 0246, DPO AP 94952"/>
    <x v="415"/>
    <n v="45561"/>
    <s v="05:57:45"/>
    <x v="30"/>
    <n v="330.11"/>
    <n v="4"/>
    <x v="3"/>
    <n v="4"/>
    <n v="47"/>
    <n v="45566"/>
    <s v="08:04:55"/>
    <n v="5"/>
    <n v="1320.44"/>
    <n v="0.2"/>
    <n v="1056.3520000000001"/>
    <n v="1103.3520000000001"/>
    <x v="98"/>
    <s v="Late"/>
    <x v="8"/>
    <n v="101.27"/>
  </r>
  <r>
    <x v="59"/>
    <s v="Brandon"/>
    <s v="Cruz"/>
    <n v="32"/>
    <x v="1"/>
    <x v="4"/>
    <s v="brandon.cruz@gmail.com"/>
    <s v="9296 Villanueva Branch, East Kevin, CO 93912"/>
    <x v="416"/>
    <n v="45689"/>
    <s v="15:26:43"/>
    <x v="30"/>
    <n v="330.11"/>
    <n v="4"/>
    <x v="3"/>
    <n v="2"/>
    <n v="69"/>
    <n v="45695"/>
    <s v="23:02:25"/>
    <n v="6"/>
    <n v="1320.44"/>
    <n v="0.2"/>
    <n v="1056.3520000000001"/>
    <n v="1125.3520000000001"/>
    <x v="59"/>
    <s v="Late"/>
    <x v="0"/>
    <n v="43.616000000000007"/>
  </r>
  <r>
    <x v="39"/>
    <s v="Hannah"/>
    <s v="Gutierrez"/>
    <n v="55"/>
    <x v="2"/>
    <x v="7"/>
    <s v="hannah.gutierrez@yahoo.com"/>
    <s v="2420 David Manors, Jessicaland, CT 41698"/>
    <x v="417"/>
    <n v="45470"/>
    <s v="14:11:09"/>
    <x v="48"/>
    <n v="441.03"/>
    <n v="3"/>
    <x v="1"/>
    <n v="4"/>
    <n v="47"/>
    <n v="45473"/>
    <s v="00:33:26"/>
    <n v="3"/>
    <n v="1323.09"/>
    <n v="0"/>
    <n v="1323.09"/>
    <n v="1323.09"/>
    <x v="39"/>
    <s v="BeforeTime"/>
    <x v="5"/>
    <n v="0"/>
  </r>
  <r>
    <x v="38"/>
    <s v="Brendan"/>
    <s v="Kelly"/>
    <n v="50"/>
    <x v="1"/>
    <x v="2"/>
    <s v="brendan.kelly@rediffmail.com"/>
    <s v="688 Donald Oval Suite 089, Shepardport, CA 50844"/>
    <x v="418"/>
    <n v="45522"/>
    <s v="20:10:43"/>
    <x v="48"/>
    <n v="441.03"/>
    <n v="3"/>
    <x v="3"/>
    <n v="4"/>
    <n v="40"/>
    <n v="45528"/>
    <s v="08:44:22"/>
    <n v="6"/>
    <n v="1323.09"/>
    <n v="0.2"/>
    <n v="1058.472"/>
    <n v="1098.472"/>
    <x v="38"/>
    <s v="Late"/>
    <x v="10"/>
    <n v="107.47000000000001"/>
  </r>
  <r>
    <x v="96"/>
    <s v="Deborah"/>
    <s v="Bates"/>
    <n v="23"/>
    <x v="0"/>
    <x v="4"/>
    <s v="deborah.bates@yahoo.com"/>
    <s v="278 Kathy Estate, Saraville, OH 77292"/>
    <x v="419"/>
    <n v="45477"/>
    <s v="04:04:19"/>
    <x v="43"/>
    <n v="445.81"/>
    <n v="3"/>
    <x v="2"/>
    <n v="1"/>
    <n v="37"/>
    <n v="45478"/>
    <s v="00:48:55"/>
    <n v="1"/>
    <n v="1337.43"/>
    <n v="0.08"/>
    <n v="1230.4356"/>
    <n v="1267.4356"/>
    <x v="96"/>
    <s v="Intime"/>
    <x v="7"/>
    <n v="0"/>
  </r>
  <r>
    <x v="40"/>
    <s v="Jenny"/>
    <s v="Estrada"/>
    <n v="45"/>
    <x v="0"/>
    <x v="0"/>
    <s v="jenny.estrada@yahoo.com"/>
    <s v="792 Carlos Islands, West David, CT 16522"/>
    <x v="420"/>
    <n v="45103"/>
    <s v="10:23:23"/>
    <x v="43"/>
    <n v="445.81"/>
    <n v="3"/>
    <x v="3"/>
    <n v="1"/>
    <n v="58"/>
    <n v="45109"/>
    <s v="21:18:46"/>
    <n v="6"/>
    <n v="1337.43"/>
    <n v="0.2"/>
    <n v="1069.944"/>
    <n v="1127.944"/>
    <x v="40"/>
    <s v="Late"/>
    <x v="1"/>
    <n v="85.117999999999995"/>
  </r>
  <r>
    <x v="69"/>
    <s v="Leslie"/>
    <s v="Montgomery"/>
    <n v="26"/>
    <x v="2"/>
    <x v="7"/>
    <s v="leslie.montgomery@gmail.com"/>
    <s v="135 Teresa Oval Apt. 825, East Katherineport, WY 13714"/>
    <x v="421"/>
    <n v="45627"/>
    <s v="05:53:55"/>
    <x v="23"/>
    <n v="272.51"/>
    <n v="5"/>
    <x v="0"/>
    <n v="4"/>
    <n v="45"/>
    <n v="45630"/>
    <s v="02:00:46"/>
    <n v="3"/>
    <n v="1362.55"/>
    <n v="0.1"/>
    <n v="1226.2950000000001"/>
    <n v="1271.2950000000001"/>
    <x v="69"/>
    <s v="BeforeTime"/>
    <x v="11"/>
    <n v="33.49"/>
  </r>
  <r>
    <x v="90"/>
    <s v="Diana"/>
    <s v="French"/>
    <n v="54"/>
    <x v="2"/>
    <x v="5"/>
    <s v="diana.french@outlook.com"/>
    <s v="163 Jeffrey Drive, South Mary, NH 23999"/>
    <x v="422"/>
    <n v="45381"/>
    <s v="09:50:05"/>
    <x v="23"/>
    <n v="272.51"/>
    <n v="5"/>
    <x v="1"/>
    <n v="3"/>
    <n v="66"/>
    <n v="45388"/>
    <s v="23:38:57"/>
    <n v="7"/>
    <n v="1362.55"/>
    <n v="0"/>
    <n v="1362.55"/>
    <n v="1362.55"/>
    <x v="90"/>
    <s v="Late"/>
    <x v="7"/>
    <n v="0"/>
  </r>
  <r>
    <x v="15"/>
    <s v="Jessica"/>
    <s v="Ruiz"/>
    <n v="19"/>
    <x v="2"/>
    <x v="5"/>
    <s v="jessica.ruiz@rediffmail.com"/>
    <s v="02370 Laura Station Suite 309, Brandonville, DE 18875"/>
    <x v="423"/>
    <n v="45201"/>
    <s v="05:37:56"/>
    <x v="44"/>
    <n v="461.07"/>
    <n v="3"/>
    <x v="0"/>
    <n v="1"/>
    <n v="61"/>
    <n v="45202"/>
    <s v="15:40:22"/>
    <n v="1"/>
    <n v="1383.21"/>
    <n v="0.1"/>
    <n v="1244.8890000000001"/>
    <n v="1305.8890000000001"/>
    <x v="15"/>
    <s v="Intime"/>
    <x v="1"/>
    <n v="6"/>
  </r>
  <r>
    <x v="61"/>
    <s v="Angela"/>
    <s v="Evans"/>
    <n v="52"/>
    <x v="1"/>
    <x v="0"/>
    <s v="angela.evans@outlook.com"/>
    <s v="16031 David Mountain Suite 431, Susanborough, PA 01910"/>
    <x v="424"/>
    <n v="45354"/>
    <s v="12:50:57"/>
    <x v="44"/>
    <n v="461.07"/>
    <n v="3"/>
    <x v="4"/>
    <n v="4"/>
    <n v="54"/>
    <n v="45357"/>
    <s v="01:24:34"/>
    <n v="3"/>
    <n v="1383.21"/>
    <n v="0.15"/>
    <n v="1175.7284999999999"/>
    <n v="1229.7284999999999"/>
    <x v="61"/>
    <s v="BeforeTime"/>
    <x v="8"/>
    <n v="33.49"/>
  </r>
  <r>
    <x v="63"/>
    <s v="Joshua"/>
    <s v="Campbell"/>
    <n v="24"/>
    <x v="0"/>
    <x v="7"/>
    <s v="joshua.campbell@gmail.com"/>
    <s v="70426 Lindsey Overpass Apt. 030, Jessicafurt, AR 46269"/>
    <x v="425"/>
    <n v="45555"/>
    <s v="19:02:37"/>
    <x v="26"/>
    <n v="286.07"/>
    <n v="5"/>
    <x v="4"/>
    <n v="5"/>
    <n v="65"/>
    <n v="45558"/>
    <s v="00:56:16"/>
    <n v="3"/>
    <n v="1430.35"/>
    <n v="0.15"/>
    <n v="1215.7974999999999"/>
    <n v="1280.7974999999999"/>
    <x v="63"/>
    <s v="BeforeTime"/>
    <x v="0"/>
    <n v="10.904000000000002"/>
  </r>
  <r>
    <x v="0"/>
    <s v="Kristina"/>
    <s v="Haynes"/>
    <n v="27"/>
    <x v="0"/>
    <x v="0"/>
    <s v="kristina.haynes@yahoo.com"/>
    <s v="18295 Thomas River, Kochville, NH 80868"/>
    <x v="426"/>
    <n v="44983"/>
    <s v="15:45:08"/>
    <x v="26"/>
    <n v="286.07"/>
    <n v="5"/>
    <x v="3"/>
    <n v="1"/>
    <n v="52"/>
    <n v="44986"/>
    <s v="19:53:01"/>
    <n v="3"/>
    <n v="1430.35"/>
    <n v="0.2"/>
    <n v="1144.28"/>
    <n v="1196.28"/>
    <x v="0"/>
    <s v="Late"/>
    <x v="4"/>
    <n v="4.9935999999999998"/>
  </r>
  <r>
    <x v="61"/>
    <s v="Angela"/>
    <s v="Evans"/>
    <n v="52"/>
    <x v="1"/>
    <x v="0"/>
    <s v="angela.evans@outlook.com"/>
    <s v="16031 David Mountain Suite 431, Susanborough, PA 01910"/>
    <x v="427"/>
    <n v="45397"/>
    <s v="02:54:23"/>
    <x v="26"/>
    <n v="286.07"/>
    <n v="5"/>
    <x v="1"/>
    <n v="1"/>
    <n v="41"/>
    <n v="45404"/>
    <s v="18:15:03"/>
    <n v="7"/>
    <n v="1430.35"/>
    <n v="0"/>
    <n v="1430.35"/>
    <n v="1430.35"/>
    <x v="61"/>
    <s v="Late"/>
    <x v="7"/>
    <n v="0"/>
  </r>
  <r>
    <x v="20"/>
    <s v="Christy"/>
    <s v="Chang"/>
    <n v="38"/>
    <x v="2"/>
    <x v="1"/>
    <s v="christy.chang@outlook.com"/>
    <s v="4647 Hannah Centers, Rhodesburgh, NH 89363"/>
    <x v="428"/>
    <n v="45203"/>
    <s v="02:43:38"/>
    <x v="45"/>
    <n v="477.52"/>
    <n v="3"/>
    <x v="2"/>
    <n v="7"/>
    <n v="66"/>
    <n v="45208"/>
    <s v="02:45:47"/>
    <n v="5"/>
    <n v="1432.56"/>
    <n v="0.08"/>
    <n v="1317.9551999999999"/>
    <n v="1383.9551999999999"/>
    <x v="20"/>
    <s v="BeforeTime"/>
    <x v="9"/>
    <n v="53.735000000000007"/>
  </r>
  <r>
    <x v="99"/>
    <s v="Veronica"/>
    <s v="Lopez"/>
    <n v="18"/>
    <x v="2"/>
    <x v="1"/>
    <s v="veronica.lopez@gmail.com"/>
    <s v="660 Karen Station Apt. 887, Allenside, ID 03170"/>
    <x v="429"/>
    <n v="45682"/>
    <s v="14:04:30"/>
    <x v="45"/>
    <n v="477.52"/>
    <n v="3"/>
    <x v="3"/>
    <n v="7"/>
    <n v="41"/>
    <n v="45686"/>
    <s v="02:17:23"/>
    <n v="4"/>
    <n v="1432.56"/>
    <n v="0.2"/>
    <n v="1146.048"/>
    <n v="1187.048"/>
    <x v="99"/>
    <s v="BeforeTime"/>
    <x v="7"/>
    <n v="0"/>
  </r>
  <r>
    <x v="27"/>
    <s v="Gary"/>
    <s v="Huff"/>
    <n v="18"/>
    <x v="0"/>
    <x v="5"/>
    <s v="gary.huff@gmail.com"/>
    <s v="58608 Alexander Terrace, South Bryan, SC 85541"/>
    <x v="430"/>
    <n v="45217"/>
    <s v="16:44:13"/>
    <x v="46"/>
    <n v="481.48"/>
    <n v="3"/>
    <x v="0"/>
    <n v="2"/>
    <n v="42"/>
    <n v="45221"/>
    <s v="23:19:19"/>
    <n v="4"/>
    <n v="1444.44"/>
    <n v="0.1"/>
    <n v="1299.9960000000001"/>
    <n v="1341.9960000000001"/>
    <x v="27"/>
    <s v="Late"/>
    <x v="3"/>
    <n v="127.67699999999999"/>
  </r>
  <r>
    <x v="11"/>
    <s v="Alexandra"/>
    <s v="Smith"/>
    <n v="70"/>
    <x v="0"/>
    <x v="6"/>
    <s v="alexandra.smith@rediffmail.com"/>
    <s v="48611 Clark Village, West Anne, GA 92865"/>
    <x v="431"/>
    <n v="45455"/>
    <s v="06:20:30"/>
    <x v="46"/>
    <n v="481.48"/>
    <n v="3"/>
    <x v="3"/>
    <n v="5"/>
    <n v="49"/>
    <n v="45462"/>
    <s v="20:45:00"/>
    <n v="7"/>
    <n v="1444.44"/>
    <n v="0.2"/>
    <n v="1155.5520000000001"/>
    <n v="1204.5520000000001"/>
    <x v="11"/>
    <s v="Late"/>
    <x v="2"/>
    <n v="36.885600000000004"/>
  </r>
  <r>
    <x v="64"/>
    <s v="Karl"/>
    <s v="Gallagher"/>
    <n v="60"/>
    <x v="1"/>
    <x v="6"/>
    <s v="karl.gallagher@rediffmail.com"/>
    <s v="5016 Snow Mountains Apt. 063, New Seanport, WY 41492"/>
    <x v="432"/>
    <n v="45588"/>
    <s v="17:21:43"/>
    <x v="32"/>
    <n v="363.64"/>
    <n v="4"/>
    <x v="1"/>
    <n v="2"/>
    <n v="35"/>
    <n v="45590"/>
    <s v="08:00:35"/>
    <n v="2"/>
    <n v="1454.56"/>
    <n v="0"/>
    <n v="1454.56"/>
    <n v="1454.56"/>
    <x v="64"/>
    <s v="Intime"/>
    <x v="6"/>
    <n v="35.344499999999996"/>
  </r>
  <r>
    <x v="6"/>
    <s v="Lauren"/>
    <s v="Crane"/>
    <n v="62"/>
    <x v="2"/>
    <x v="0"/>
    <s v="lauren.crane@yahoo.com"/>
    <s v="30313 Reyes Parkways Suite 392, Port Bradley, SC 24078"/>
    <x v="433"/>
    <n v="45116"/>
    <s v="17:44:01"/>
    <x v="32"/>
    <n v="363.64"/>
    <n v="4"/>
    <x v="1"/>
    <n v="6"/>
    <n v="56"/>
    <n v="45121"/>
    <s v="16:03:33"/>
    <n v="5"/>
    <n v="1454.56"/>
    <n v="0"/>
    <n v="1454.56"/>
    <n v="1454.56"/>
    <x v="6"/>
    <s v="BeforeTime"/>
    <x v="4"/>
    <n v="21.379200000000001"/>
  </r>
  <r>
    <x v="68"/>
    <s v="Troy"/>
    <s v="Gomez"/>
    <n v="68"/>
    <x v="0"/>
    <x v="1"/>
    <s v="troy.gomez@outlook.com"/>
    <s v="7510 Jose Knolls, Candicechester, LA 62815"/>
    <x v="434"/>
    <n v="45536"/>
    <s v="08:03:37"/>
    <x v="32"/>
    <n v="363.64"/>
    <n v="4"/>
    <x v="3"/>
    <n v="2"/>
    <n v="42"/>
    <n v="45540"/>
    <s v="13:50:58"/>
    <n v="4"/>
    <n v="1454.56"/>
    <n v="0.2"/>
    <n v="1163.6479999999999"/>
    <n v="1205.6479999999999"/>
    <x v="68"/>
    <s v="Late"/>
    <x v="0"/>
    <n v="8.3344000000000005"/>
  </r>
  <r>
    <x v="57"/>
    <s v="Debra"/>
    <s v="Hayes"/>
    <n v="33"/>
    <x v="0"/>
    <x v="2"/>
    <s v="debra.hayes@yahoo.com"/>
    <s v="4601 Miller Lock, Williamsbury, IA 10943"/>
    <x v="435"/>
    <n v="45069"/>
    <s v="22:55:27"/>
    <x v="27"/>
    <n v="292.14999999999998"/>
    <n v="5"/>
    <x v="0"/>
    <n v="6"/>
    <n v="68"/>
    <n v="45071"/>
    <s v="22:37:23"/>
    <n v="2"/>
    <n v="1460.75"/>
    <n v="0.1"/>
    <n v="1314.675"/>
    <n v="1382.675"/>
    <x v="57"/>
    <s v="BeforeTime"/>
    <x v="4"/>
    <n v="290.91199999999998"/>
  </r>
  <r>
    <x v="5"/>
    <s v="Katherine"/>
    <s v="Weber"/>
    <n v="42"/>
    <x v="1"/>
    <x v="5"/>
    <s v="katherine.weber@outlook.com"/>
    <s v="04887 Kimberly Union Apt. 645, Port Laura, IL 97219"/>
    <x v="436"/>
    <n v="45322"/>
    <s v="22:51:56"/>
    <x v="33"/>
    <n v="369.03"/>
    <n v="4"/>
    <x v="3"/>
    <n v="7"/>
    <n v="52"/>
    <n v="45327"/>
    <s v="07:24:20"/>
    <n v="5"/>
    <n v="1476.12"/>
    <n v="0.2"/>
    <n v="1180.896"/>
    <n v="1232.896"/>
    <x v="5"/>
    <s v="BeforeTime"/>
    <x v="5"/>
    <n v="66.081000000000003"/>
  </r>
  <r>
    <x v="4"/>
    <s v="Amy"/>
    <s v="Ellis"/>
    <n v="44"/>
    <x v="1"/>
    <x v="4"/>
    <s v="amy.ellis@gmail.com"/>
    <s v="217 Scott Ville, Christophermouth, NH 83776"/>
    <x v="437"/>
    <n v="45625"/>
    <s v="23:41:08"/>
    <x v="33"/>
    <n v="369.03"/>
    <n v="4"/>
    <x v="3"/>
    <n v="4"/>
    <n v="56"/>
    <n v="45630"/>
    <s v="01:56:42"/>
    <n v="5"/>
    <n v="1476.12"/>
    <n v="0.2"/>
    <n v="1180.896"/>
    <n v="1236.896"/>
    <x v="4"/>
    <s v="Late"/>
    <x v="10"/>
    <n v="10.047000000000001"/>
  </r>
  <r>
    <x v="35"/>
    <s v="Kim"/>
    <s v="Blevins"/>
    <n v="65"/>
    <x v="2"/>
    <x v="4"/>
    <s v="kim.blevins@outlook.com"/>
    <s v="089 Rice Shoal Suite 491, Juarezmouth, MI 88715"/>
    <x v="438"/>
    <n v="45165"/>
    <s v="18:32:14"/>
    <x v="33"/>
    <n v="369.03"/>
    <n v="4"/>
    <x v="2"/>
    <n v="3"/>
    <n v="56"/>
    <n v="45169"/>
    <s v="06:09:27"/>
    <n v="4"/>
    <n v="1476.12"/>
    <n v="0.08"/>
    <n v="1358.0303999999999"/>
    <n v="1414.0303999999999"/>
    <x v="35"/>
    <s v="Late"/>
    <x v="10"/>
    <n v="31.527999999999999"/>
  </r>
  <r>
    <x v="87"/>
    <s v="Jodi"/>
    <s v="Whitney"/>
    <n v="33"/>
    <x v="1"/>
    <x v="2"/>
    <s v="jodi.whitney@yahoo.com"/>
    <s v="72876 Lara Key Suite 383, Gutierrezton, OR 71683"/>
    <x v="439"/>
    <n v="45628"/>
    <s v="15:43:42"/>
    <x v="33"/>
    <n v="369.03"/>
    <n v="4"/>
    <x v="2"/>
    <n v="5"/>
    <n v="48"/>
    <n v="45629"/>
    <s v="15:41:25"/>
    <n v="1"/>
    <n v="1476.12"/>
    <n v="0.08"/>
    <n v="1358.0303999999999"/>
    <n v="1406.0303999999999"/>
    <x v="87"/>
    <s v="BeforeTime"/>
    <x v="0"/>
    <n v="441.03"/>
  </r>
  <r>
    <x v="16"/>
    <s v="Donna"/>
    <s v="Oneill"/>
    <n v="70"/>
    <x v="0"/>
    <x v="2"/>
    <s v="donna.oneill@yahoo.com"/>
    <s v="464 Carolyn Crest Suite 738, Lake Isaiah, CA 66153"/>
    <x v="440"/>
    <n v="45151"/>
    <s v="17:27:33"/>
    <x v="49"/>
    <n v="496.59"/>
    <n v="3"/>
    <x v="4"/>
    <n v="4"/>
    <n v="49"/>
    <n v="45152"/>
    <s v="15:28:39"/>
    <n v="1"/>
    <n v="1489.77"/>
    <n v="0.15"/>
    <n v="1266.3045"/>
    <n v="1315.3045"/>
    <x v="16"/>
    <s v="BeforeTime"/>
    <x v="7"/>
    <n v="118.08959999999999"/>
  </r>
  <r>
    <x v="18"/>
    <s v="Heather"/>
    <s v="Schneider"/>
    <n v="48"/>
    <x v="2"/>
    <x v="4"/>
    <s v="heather.schneider@outlook.com"/>
    <s v="57940 Susan Creek Apt. 541, Port Aliciamouth, OR 90221"/>
    <x v="441"/>
    <n v="45399"/>
    <s v="02:05:06"/>
    <x v="49"/>
    <n v="496.59"/>
    <n v="3"/>
    <x v="1"/>
    <n v="3"/>
    <n v="49"/>
    <n v="45406"/>
    <s v="02:03:44"/>
    <n v="7"/>
    <n v="1489.77"/>
    <n v="0"/>
    <n v="1489.77"/>
    <n v="1489.77"/>
    <x v="18"/>
    <s v="Late"/>
    <x v="10"/>
    <n v="51.900000000000006"/>
  </r>
  <r>
    <x v="49"/>
    <s v="John"/>
    <s v="Herrera"/>
    <n v="64"/>
    <x v="2"/>
    <x v="0"/>
    <s v="john.herrera@outlook.com"/>
    <s v="61263 Jacob Isle, Amandatown, TN 34321"/>
    <x v="442"/>
    <n v="45488"/>
    <s v="18:43:17"/>
    <x v="34"/>
    <n v="372.62"/>
    <n v="4"/>
    <x v="2"/>
    <n v="1"/>
    <n v="45"/>
    <n v="45492"/>
    <s v="07:02:28"/>
    <n v="4"/>
    <n v="1490.48"/>
    <n v="0.08"/>
    <n v="1371.2416000000001"/>
    <n v="1416.2416000000001"/>
    <x v="49"/>
    <s v="Late"/>
    <x v="4"/>
    <n v="3.3119999999999998"/>
  </r>
  <r>
    <x v="70"/>
    <s v="Ashley"/>
    <s v="Rose"/>
    <n v="60"/>
    <x v="1"/>
    <x v="6"/>
    <s v="ashley.rose@gmail.com"/>
    <s v="424 Nichols Curve Suite 177, Lake Brianview, TX 17289"/>
    <x v="443"/>
    <n v="44996"/>
    <s v="15:54:45"/>
    <x v="34"/>
    <n v="372.62"/>
    <n v="4"/>
    <x v="4"/>
    <n v="2"/>
    <n v="42"/>
    <n v="45001"/>
    <s v="19:22:50"/>
    <n v="5"/>
    <n v="1490.48"/>
    <n v="0.15"/>
    <n v="1266.9079999999999"/>
    <n v="1308.9079999999999"/>
    <x v="70"/>
    <s v="Late"/>
    <x v="0"/>
    <n v="74.524000000000001"/>
  </r>
  <r>
    <x v="8"/>
    <s v="Erin"/>
    <s v="Miller"/>
    <n v="46"/>
    <x v="0"/>
    <x v="2"/>
    <s v="erin.miller@gmail.com"/>
    <s v="65972 Peterson Route, Port Andrewfurt, SD 32892"/>
    <x v="444"/>
    <n v="45525"/>
    <s v="04:53:45"/>
    <x v="34"/>
    <n v="372.62"/>
    <n v="4"/>
    <x v="2"/>
    <n v="3"/>
    <n v="48"/>
    <n v="45530"/>
    <s v="05:48:22"/>
    <n v="5"/>
    <n v="1490.48"/>
    <n v="0.08"/>
    <n v="1371.2416000000001"/>
    <n v="1419.2416000000001"/>
    <x v="8"/>
    <s v="Late"/>
    <x v="7"/>
    <n v="85.975999999999999"/>
  </r>
  <r>
    <x v="89"/>
    <s v="Joseph"/>
    <s v="Gaines"/>
    <n v="47"/>
    <x v="1"/>
    <x v="5"/>
    <s v="joseph.gaines@outlook.com"/>
    <s v="37549 Pope Isle Apt. 202, Tylerborough, MO 60042"/>
    <x v="445"/>
    <n v="45397"/>
    <s v="05:44:11"/>
    <x v="35"/>
    <n v="381.73"/>
    <n v="4"/>
    <x v="0"/>
    <n v="1"/>
    <n v="66"/>
    <n v="45400"/>
    <s v="18:54:47"/>
    <n v="3"/>
    <n v="1526.92"/>
    <n v="0.1"/>
    <n v="1374.2280000000001"/>
    <n v="1440.2280000000001"/>
    <x v="89"/>
    <s v="Late"/>
    <x v="4"/>
    <n v="123.55200000000001"/>
  </r>
  <r>
    <x v="45"/>
    <s v="Mark"/>
    <s v="Summers"/>
    <n v="55"/>
    <x v="2"/>
    <x v="7"/>
    <s v="mark.summers@outlook.com"/>
    <s v="08413 Lynch Parkway, Calderonstad, NV 32697"/>
    <x v="446"/>
    <n v="45608"/>
    <s v="05:34:02"/>
    <x v="35"/>
    <n v="381.73"/>
    <n v="4"/>
    <x v="2"/>
    <n v="2"/>
    <n v="58"/>
    <n v="45613"/>
    <s v="15:11:50"/>
    <n v="5"/>
    <n v="1526.92"/>
    <n v="0.08"/>
    <n v="1404.7664"/>
    <n v="1462.7664"/>
    <x v="45"/>
    <s v="Late"/>
    <x v="5"/>
    <n v="46.815000000000005"/>
  </r>
  <r>
    <x v="78"/>
    <s v="Anne"/>
    <s v="Oconnell"/>
    <n v="37"/>
    <x v="0"/>
    <x v="6"/>
    <s v="anne.oconnell@outlook.com"/>
    <s v="2850 Matthew Ford, North Yolandachester, FL 67488"/>
    <x v="447"/>
    <n v="45358"/>
    <s v="18:16:33"/>
    <x v="28"/>
    <n v="308.88"/>
    <n v="5"/>
    <x v="2"/>
    <n v="4"/>
    <n v="60"/>
    <n v="45361"/>
    <s v="08:51:31"/>
    <n v="3"/>
    <n v="1544.4"/>
    <n v="0.08"/>
    <n v="1420.8480000000002"/>
    <n v="1480.8480000000002"/>
    <x v="78"/>
    <s v="BeforeTime"/>
    <x v="2"/>
    <n v="0"/>
  </r>
  <r>
    <x v="64"/>
    <s v="Karl"/>
    <s v="Gallagher"/>
    <n v="60"/>
    <x v="1"/>
    <x v="6"/>
    <s v="karl.gallagher@rediffmail.com"/>
    <s v="5016 Snow Mountains Apt. 063, New Seanport, WY 41492"/>
    <x v="448"/>
    <n v="45662"/>
    <s v="09:47:21"/>
    <x v="28"/>
    <n v="308.88"/>
    <n v="5"/>
    <x v="3"/>
    <n v="5"/>
    <n v="47"/>
    <n v="45665"/>
    <s v="20:10:50"/>
    <n v="3"/>
    <n v="1544.4"/>
    <n v="0.2"/>
    <n v="1235.52"/>
    <n v="1282.52"/>
    <x v="64"/>
    <s v="BeforeTime"/>
    <x v="0"/>
    <n v="66.512"/>
  </r>
  <r>
    <x v="16"/>
    <s v="Donna"/>
    <s v="Oneill"/>
    <n v="70"/>
    <x v="0"/>
    <x v="2"/>
    <s v="donna.oneill@yahoo.com"/>
    <s v="464 Carolyn Crest Suite 738, Lake Isaiah, CA 66153"/>
    <x v="449"/>
    <n v="45281"/>
    <s v="07:07:24"/>
    <x v="36"/>
    <n v="403.03"/>
    <n v="4"/>
    <x v="0"/>
    <n v="6"/>
    <n v="47"/>
    <n v="45283"/>
    <s v="01:21:39"/>
    <n v="2"/>
    <n v="1612.12"/>
    <n v="0.1"/>
    <n v="1450.9079999999999"/>
    <n v="1497.9079999999999"/>
    <x v="16"/>
    <s v="BeforeTime"/>
    <x v="7"/>
    <n v="86.724000000000004"/>
  </r>
  <r>
    <x v="87"/>
    <s v="Jodi"/>
    <s v="Whitney"/>
    <n v="33"/>
    <x v="1"/>
    <x v="2"/>
    <s v="jodi.whitney@yahoo.com"/>
    <s v="72876 Lara Key Suite 383, Gutierrezton, OR 71683"/>
    <x v="450"/>
    <n v="45553"/>
    <s v="19:37:21"/>
    <x v="36"/>
    <n v="403.03"/>
    <n v="4"/>
    <x v="0"/>
    <n v="7"/>
    <n v="65"/>
    <n v="45556"/>
    <s v="03:13:08"/>
    <n v="3"/>
    <n v="1612.12"/>
    <n v="0.1"/>
    <n v="1450.9079999999999"/>
    <n v="1515.9079999999999"/>
    <x v="87"/>
    <s v="BeforeTime"/>
    <x v="10"/>
    <n v="121.5"/>
  </r>
  <r>
    <x v="65"/>
    <s v="Mitchell"/>
    <s v="Parker"/>
    <n v="39"/>
    <x v="1"/>
    <x v="0"/>
    <s v="mitchell.parker@yahoo.com"/>
    <s v="PSC 3316, Box 9303, APO AE 29513"/>
    <x v="451"/>
    <n v="45024"/>
    <s v="09:58:35"/>
    <x v="37"/>
    <n v="405"/>
    <n v="4"/>
    <x v="0"/>
    <n v="7"/>
    <n v="70"/>
    <n v="45029"/>
    <s v="14:02:18"/>
    <n v="5"/>
    <n v="1620"/>
    <n v="0.1"/>
    <n v="1458"/>
    <n v="1528"/>
    <x v="65"/>
    <s v="BeforeTime"/>
    <x v="2"/>
    <n v="198.06600000000003"/>
  </r>
  <r>
    <x v="66"/>
    <s v="Lisa"/>
    <s v="Miller"/>
    <n v="70"/>
    <x v="2"/>
    <x v="4"/>
    <s v="lisa.miller@gmail.com"/>
    <s v="89748 Campbell Drive, South Tannerland, WI 13143"/>
    <x v="452"/>
    <n v="45508"/>
    <s v="16:59:55"/>
    <x v="38"/>
    <n v="421.7"/>
    <n v="4"/>
    <x v="2"/>
    <n v="7"/>
    <n v="69"/>
    <n v="45514"/>
    <s v="01:05:29"/>
    <n v="6"/>
    <n v="1686.8"/>
    <n v="0.08"/>
    <n v="1551.856"/>
    <n v="1620.856"/>
    <x v="66"/>
    <s v="BeforeTime"/>
    <x v="0"/>
    <n v="33.011000000000003"/>
  </r>
  <r>
    <x v="39"/>
    <s v="Hannah"/>
    <s v="Gutierrez"/>
    <n v="55"/>
    <x v="2"/>
    <x v="7"/>
    <s v="hannah.gutierrez@yahoo.com"/>
    <s v="2420 David Manors, Jessicaland, CT 41698"/>
    <x v="453"/>
    <n v="45384"/>
    <s v="17:17:44"/>
    <x v="38"/>
    <n v="421.7"/>
    <n v="4"/>
    <x v="2"/>
    <n v="5"/>
    <n v="55"/>
    <n v="45389"/>
    <s v="11:45:52"/>
    <n v="5"/>
    <n v="1686.8"/>
    <n v="0.08"/>
    <n v="1551.856"/>
    <n v="1606.856"/>
    <x v="39"/>
    <s v="Intime"/>
    <x v="8"/>
    <n v="133.74299999999999"/>
  </r>
  <r>
    <x v="10"/>
    <s v="Gina"/>
    <s v="Moreno"/>
    <n v="36"/>
    <x v="1"/>
    <x v="3"/>
    <s v="gina.moreno@rediffmail.com"/>
    <s v="USS Murray, FPO AP 66559"/>
    <x v="454"/>
    <n v="45091"/>
    <s v="18:34:02"/>
    <x v="39"/>
    <n v="424.82"/>
    <n v="4"/>
    <x v="0"/>
    <n v="5"/>
    <n v="58"/>
    <n v="45098"/>
    <s v="13:27:30"/>
    <n v="7"/>
    <n v="1699.28"/>
    <n v="0.1"/>
    <n v="1529.3519999999999"/>
    <n v="1587.3519999999999"/>
    <x v="10"/>
    <s v="Late"/>
    <x v="0"/>
    <n v="0"/>
  </r>
  <r>
    <x v="16"/>
    <s v="Donna"/>
    <s v="Oneill"/>
    <n v="70"/>
    <x v="0"/>
    <x v="2"/>
    <s v="donna.oneill@yahoo.com"/>
    <s v="464 Carolyn Crest Suite 738, Lake Isaiah, CA 66153"/>
    <x v="455"/>
    <n v="45396"/>
    <s v="08:18:15"/>
    <x v="39"/>
    <n v="424.82"/>
    <n v="4"/>
    <x v="4"/>
    <n v="1"/>
    <n v="70"/>
    <n v="45402"/>
    <s v="08:36:13"/>
    <n v="6"/>
    <n v="1699.28"/>
    <n v="0.15"/>
    <n v="1444.3879999999999"/>
    <n v="1514.3879999999999"/>
    <x v="16"/>
    <s v="Late"/>
    <x v="10"/>
    <n v="31.527999999999999"/>
  </r>
  <r>
    <x v="87"/>
    <s v="Jodi"/>
    <s v="Whitney"/>
    <n v="33"/>
    <x v="1"/>
    <x v="2"/>
    <s v="jodi.whitney@yahoo.com"/>
    <s v="72876 Lara Key Suite 383, Gutierrezton, OR 71683"/>
    <x v="456"/>
    <n v="45495"/>
    <s v="21:08:59"/>
    <x v="40"/>
    <n v="425.59"/>
    <n v="4"/>
    <x v="1"/>
    <n v="6"/>
    <n v="53"/>
    <n v="45496"/>
    <s v="10:39:08"/>
    <n v="1"/>
    <n v="1702.36"/>
    <n v="0"/>
    <n v="1702.36"/>
    <n v="1702.36"/>
    <x v="87"/>
    <s v="BeforeTime"/>
    <x v="11"/>
    <n v="20.564800000000002"/>
  </r>
  <r>
    <x v="67"/>
    <s v="Amy"/>
    <s v="Reid"/>
    <n v="44"/>
    <x v="2"/>
    <x v="4"/>
    <s v="amy.reid@rediffmail.com"/>
    <s v="6262 Simpson Village, North Danielle, RI 76074"/>
    <x v="457"/>
    <n v="45636"/>
    <s v="11:34:01"/>
    <x v="41"/>
    <n v="431.44"/>
    <n v="4"/>
    <x v="4"/>
    <n v="2"/>
    <n v="66"/>
    <n v="45637"/>
    <s v="11:25:35"/>
    <n v="1"/>
    <n v="1725.76"/>
    <n v="0.15"/>
    <n v="1466.896"/>
    <n v="1532.896"/>
    <x v="67"/>
    <s v="BeforeTime"/>
    <x v="1"/>
    <n v="103.54559999999999"/>
  </r>
  <r>
    <x v="5"/>
    <s v="Katherine"/>
    <s v="Weber"/>
    <n v="42"/>
    <x v="1"/>
    <x v="5"/>
    <s v="katherine.weber@outlook.com"/>
    <s v="04887 Kimberly Union Apt. 645, Port Laura, IL 97219"/>
    <x v="458"/>
    <n v="45233"/>
    <s v="04:29:06"/>
    <x v="41"/>
    <n v="431.44"/>
    <n v="4"/>
    <x v="1"/>
    <n v="3"/>
    <n v="65"/>
    <n v="45239"/>
    <s v="22:44:53"/>
    <n v="6"/>
    <n v="1725.76"/>
    <n v="0"/>
    <n v="1725.76"/>
    <n v="1725.76"/>
    <x v="5"/>
    <s v="Late"/>
    <x v="4"/>
    <n v="19.945499999999999"/>
  </r>
  <r>
    <x v="71"/>
    <s v="Susan"/>
    <s v="Thompson"/>
    <n v="37"/>
    <x v="1"/>
    <x v="1"/>
    <s v="susan.thompson@outlook.com"/>
    <s v="47821 William Station, East Ashleymouth, FL 20562"/>
    <x v="459"/>
    <n v="45249"/>
    <s v="14:57:06"/>
    <x v="47"/>
    <n v="433.62"/>
    <n v="4"/>
    <x v="3"/>
    <n v="3"/>
    <n v="36"/>
    <n v="45252"/>
    <s v="21:20:28"/>
    <n v="3"/>
    <n v="1734.48"/>
    <n v="0.2"/>
    <n v="1387.5840000000001"/>
    <n v="1423.5840000000001"/>
    <x v="71"/>
    <s v="Intime"/>
    <x v="0"/>
    <n v="0"/>
  </r>
  <r>
    <x v="22"/>
    <s v="Lauren"/>
    <s v="Lane"/>
    <n v="30"/>
    <x v="0"/>
    <x v="1"/>
    <s v="lauren.lane@gmail.com"/>
    <s v="56985 Sergio Extensions, Port Albert, CO 02898"/>
    <x v="460"/>
    <n v="45386"/>
    <s v="06:51:49"/>
    <x v="47"/>
    <n v="433.62"/>
    <n v="4"/>
    <x v="1"/>
    <n v="1"/>
    <n v="56"/>
    <n v="45392"/>
    <s v="08:40:53"/>
    <n v="6"/>
    <n v="1734.48"/>
    <n v="0"/>
    <n v="1734.48"/>
    <n v="1734.48"/>
    <x v="22"/>
    <s v="Late"/>
    <x v="8"/>
    <n v="65.31750000000001"/>
  </r>
  <r>
    <x v="73"/>
    <s v="Brittany"/>
    <s v="Stewart"/>
    <n v="68"/>
    <x v="1"/>
    <x v="1"/>
    <s v="brittany.stewart@gmail.com"/>
    <s v="6250 David Loaf Suite 561, North Pamelaberg, WV 63652"/>
    <x v="461"/>
    <n v="45417"/>
    <s v="07:28:42"/>
    <x v="32"/>
    <n v="363.64"/>
    <n v="5"/>
    <x v="0"/>
    <n v="7"/>
    <n v="60"/>
    <n v="45419"/>
    <s v="12:34:57"/>
    <n v="2"/>
    <n v="1818.1999999999998"/>
    <n v="0.1"/>
    <n v="1636.3799999999999"/>
    <n v="1696.3799999999999"/>
    <x v="73"/>
    <s v="BeforeTime"/>
    <x v="8"/>
    <n v="286.29750000000001"/>
  </r>
  <r>
    <x v="15"/>
    <s v="Jessica"/>
    <s v="Ruiz"/>
    <n v="19"/>
    <x v="2"/>
    <x v="5"/>
    <s v="jessica.ruiz@rediffmail.com"/>
    <s v="02370 Laura Station Suite 309, Brandonville, DE 18875"/>
    <x v="462"/>
    <n v="45017"/>
    <s v="04:24:31"/>
    <x v="44"/>
    <n v="461.07"/>
    <n v="4"/>
    <x v="1"/>
    <n v="6"/>
    <n v="46"/>
    <n v="45022"/>
    <s v="06:44:34"/>
    <n v="5"/>
    <n v="1844.28"/>
    <n v="0"/>
    <n v="1844.28"/>
    <n v="1844.28"/>
    <x v="15"/>
    <s v="BeforeTime"/>
    <x v="6"/>
    <n v="194.148"/>
  </r>
  <r>
    <x v="6"/>
    <s v="Lauren"/>
    <s v="Crane"/>
    <n v="62"/>
    <x v="2"/>
    <x v="0"/>
    <s v="lauren.crane@yahoo.com"/>
    <s v="30313 Reyes Parkways Suite 392, Port Bradley, SC 24078"/>
    <x v="463"/>
    <n v="45344"/>
    <s v="03:46:35"/>
    <x v="44"/>
    <n v="461.07"/>
    <n v="4"/>
    <x v="4"/>
    <n v="1"/>
    <n v="66"/>
    <n v="45346"/>
    <s v="11:20:17"/>
    <n v="2"/>
    <n v="1844.28"/>
    <n v="0.15"/>
    <n v="1567.6379999999999"/>
    <n v="1633.6379999999999"/>
    <x v="6"/>
    <s v="Late"/>
    <x v="3"/>
    <n v="0"/>
  </r>
  <r>
    <x v="22"/>
    <s v="Lauren"/>
    <s v="Lane"/>
    <n v="30"/>
    <x v="0"/>
    <x v="1"/>
    <s v="lauren.lane@gmail.com"/>
    <s v="56985 Sergio Extensions, Port Albert, CO 02898"/>
    <x v="464"/>
    <n v="45361"/>
    <s v="02:16:10"/>
    <x v="34"/>
    <n v="372.62"/>
    <n v="5"/>
    <x v="2"/>
    <n v="4"/>
    <n v="66"/>
    <n v="45364"/>
    <s v="06:31:20"/>
    <n v="3"/>
    <n v="1863.1"/>
    <n v="0.08"/>
    <n v="1714.0519999999999"/>
    <n v="1780.0519999999999"/>
    <x v="22"/>
    <s v="BeforeTime"/>
    <x v="10"/>
    <n v="119.2384"/>
  </r>
  <r>
    <x v="97"/>
    <s v="Natasha"/>
    <s v="Michael"/>
    <n v="49"/>
    <x v="0"/>
    <x v="0"/>
    <s v="natasha.michael@gmail.com"/>
    <s v="78992 Justin Estates Suite 226, Floresberg, NM 40797"/>
    <x v="465"/>
    <n v="45233"/>
    <s v="07:21:30"/>
    <x v="35"/>
    <n v="381.73"/>
    <n v="5"/>
    <x v="2"/>
    <n v="7"/>
    <n v="45"/>
    <n v="45236"/>
    <s v="09:57:13"/>
    <n v="3"/>
    <n v="1908.65"/>
    <n v="0.08"/>
    <n v="1755.9580000000001"/>
    <n v="1800.9580000000001"/>
    <x v="97"/>
    <s v="BeforeTime"/>
    <x v="6"/>
    <n v="267.48600000000005"/>
  </r>
  <r>
    <x v="83"/>
    <s v="Edward"/>
    <s v="Black"/>
    <n v="42"/>
    <x v="0"/>
    <x v="5"/>
    <s v="edward.black@gmail.com"/>
    <s v="5879 Susan Via Apt. 886, Sandovalbury, WV 61449"/>
    <x v="466"/>
    <n v="45596"/>
    <s v="22:42:38"/>
    <x v="35"/>
    <n v="381.73"/>
    <n v="5"/>
    <x v="4"/>
    <n v="1"/>
    <n v="53"/>
    <n v="45603"/>
    <s v="12:41:59"/>
    <n v="7"/>
    <n v="1908.65"/>
    <n v="0.15"/>
    <n v="1622.3525"/>
    <n v="1675.3525"/>
    <x v="83"/>
    <s v="Late"/>
    <x v="3"/>
    <n v="120.90899999999999"/>
  </r>
  <r>
    <x v="87"/>
    <s v="Jodi"/>
    <s v="Whitney"/>
    <n v="33"/>
    <x v="1"/>
    <x v="2"/>
    <s v="jodi.whitney@yahoo.com"/>
    <s v="72876 Lara Key Suite 383, Gutierrezton, OR 71683"/>
    <x v="467"/>
    <n v="45125"/>
    <s v="06:33:55"/>
    <x v="45"/>
    <n v="477.52"/>
    <n v="4"/>
    <x v="3"/>
    <n v="5"/>
    <n v="55"/>
    <n v="45127"/>
    <s v="13:05:17"/>
    <n v="2"/>
    <n v="1910.08"/>
    <n v="0.2"/>
    <n v="1528.0639999999999"/>
    <n v="1583.0639999999999"/>
    <x v="87"/>
    <s v="BeforeTime"/>
    <x v="2"/>
    <n v="198.636"/>
  </r>
  <r>
    <x v="90"/>
    <s v="Diana"/>
    <s v="French"/>
    <n v="54"/>
    <x v="2"/>
    <x v="5"/>
    <s v="diana.french@outlook.com"/>
    <s v="163 Jeffrey Drive, South Mary, NH 23999"/>
    <x v="468"/>
    <n v="45353"/>
    <s v="13:21:50"/>
    <x v="45"/>
    <n v="477.52"/>
    <n v="4"/>
    <x v="0"/>
    <n v="3"/>
    <n v="54"/>
    <n v="45354"/>
    <s v="18:29:46"/>
    <n v="1"/>
    <n v="1910.08"/>
    <n v="0.1"/>
    <n v="1719.0719999999999"/>
    <n v="1773.0719999999999"/>
    <x v="90"/>
    <s v="BeforeTime"/>
    <x v="0"/>
    <n v="26.700000000000003"/>
  </r>
  <r>
    <x v="26"/>
    <s v="John"/>
    <s v="Ramirez"/>
    <n v="28"/>
    <x v="1"/>
    <x v="3"/>
    <s v="john.ramirez@outlook.com"/>
    <s v="02797 Martin Landing, South Michelle, VT 98781"/>
    <x v="469"/>
    <n v="45443"/>
    <s v="10:55:08"/>
    <x v="46"/>
    <n v="481.48"/>
    <n v="4"/>
    <x v="0"/>
    <n v="1"/>
    <n v="36"/>
    <n v="45447"/>
    <s v="10:56:05"/>
    <n v="4"/>
    <n v="1925.92"/>
    <n v="0.1"/>
    <n v="1733.328"/>
    <n v="1769.328"/>
    <x v="26"/>
    <s v="Late"/>
    <x v="6"/>
    <n v="0"/>
  </r>
  <r>
    <x v="32"/>
    <s v="Amy"/>
    <s v="Griffin"/>
    <n v="29"/>
    <x v="0"/>
    <x v="0"/>
    <s v="amy.griffin@rediffmail.com"/>
    <s v="07350 Aaron Meadow Suite 138, Kiaraberg, AL 79545"/>
    <x v="470"/>
    <n v="45251"/>
    <s v="10:25:49"/>
    <x v="46"/>
    <n v="481.48"/>
    <n v="4"/>
    <x v="1"/>
    <n v="3"/>
    <n v="54"/>
    <n v="45256"/>
    <s v="08:21:37"/>
    <n v="5"/>
    <n v="1925.92"/>
    <n v="0"/>
    <n v="1925.92"/>
    <n v="1925.92"/>
    <x v="32"/>
    <s v="Late"/>
    <x v="0"/>
    <n v="34.836000000000006"/>
  </r>
  <r>
    <x v="48"/>
    <s v="Lauren"/>
    <s v="Long"/>
    <n v="44"/>
    <x v="0"/>
    <x v="1"/>
    <s v="lauren.long@gmail.com"/>
    <s v="258 Michael Brooks Suite 363, Arnoldview, PA 49438"/>
    <x v="471"/>
    <n v="45659"/>
    <s v="06:15:44"/>
    <x v="46"/>
    <n v="481.48"/>
    <n v="4"/>
    <x v="4"/>
    <n v="4"/>
    <n v="67"/>
    <n v="45665"/>
    <s v="09:11:07"/>
    <n v="6"/>
    <n v="1925.92"/>
    <n v="0.15"/>
    <n v="1637.0320000000002"/>
    <n v="1704.0320000000002"/>
    <x v="48"/>
    <s v="Late"/>
    <x v="7"/>
    <n v="62.272000000000006"/>
  </r>
  <r>
    <x v="99"/>
    <s v="Veronica"/>
    <s v="Lopez"/>
    <n v="18"/>
    <x v="2"/>
    <x v="1"/>
    <s v="veronica.lopez@gmail.com"/>
    <s v="660 Karen Station Apt. 887, Allenside, ID 03170"/>
    <x v="472"/>
    <n v="45332"/>
    <s v="15:59:36"/>
    <x v="46"/>
    <n v="481.48"/>
    <n v="4"/>
    <x v="1"/>
    <n v="2"/>
    <n v="61"/>
    <n v="45338"/>
    <s v="07:38:19"/>
    <n v="6"/>
    <n v="1925.92"/>
    <n v="0"/>
    <n v="1925.92"/>
    <n v="1925.92"/>
    <x v="99"/>
    <s v="Late"/>
    <x v="0"/>
    <n v="38.920000000000009"/>
  </r>
  <r>
    <x v="21"/>
    <s v="Katie"/>
    <s v="Hicks"/>
    <n v="34"/>
    <x v="1"/>
    <x v="7"/>
    <s v="katie.hicks@rediffmail.com"/>
    <s v="848 William Port, New Marilyn, SD 58000"/>
    <x v="473"/>
    <n v="45646"/>
    <s v="07:13:46"/>
    <x v="46"/>
    <n v="481.48"/>
    <n v="4"/>
    <x v="4"/>
    <n v="4"/>
    <n v="38"/>
    <n v="45647"/>
    <s v="09:05:57"/>
    <n v="1"/>
    <n v="1925.92"/>
    <n v="0.15"/>
    <n v="1637.0320000000002"/>
    <n v="1675.0320000000002"/>
    <x v="21"/>
    <s v="BeforeTime"/>
    <x v="10"/>
    <n v="0"/>
  </r>
  <r>
    <x v="56"/>
    <s v="Jason"/>
    <s v="Nguyen"/>
    <n v="51"/>
    <x v="1"/>
    <x v="3"/>
    <s v="jason.nguyen@yahoo.com"/>
    <s v="7112 Travis Glens Suite 790, Crystalland, WV 38373"/>
    <x v="474"/>
    <n v="45277"/>
    <s v="12:19:34"/>
    <x v="49"/>
    <n v="496.59"/>
    <n v="4"/>
    <x v="4"/>
    <n v="7"/>
    <n v="36"/>
    <n v="45280"/>
    <s v="10:04:54"/>
    <n v="3"/>
    <n v="1986.36"/>
    <n v="0.15"/>
    <n v="1688.4059999999999"/>
    <n v="1724.4059999999999"/>
    <x v="56"/>
    <s v="BeforeTime"/>
    <x v="0"/>
    <n v="207.48150000000001"/>
  </r>
  <r>
    <x v="88"/>
    <s v="Lori"/>
    <s v="Cook"/>
    <n v="18"/>
    <x v="2"/>
    <x v="0"/>
    <s v="lori.cook@rediffmail.com"/>
    <s v="86837 Bell Meadows, North Jasonshire, UT 51354"/>
    <x v="475"/>
    <n v="45535"/>
    <s v="08:31:11"/>
    <x v="49"/>
    <n v="496.59"/>
    <n v="4"/>
    <x v="3"/>
    <n v="1"/>
    <n v="59"/>
    <n v="45541"/>
    <s v="09:56:25"/>
    <n v="6"/>
    <n v="1986.36"/>
    <n v="0.2"/>
    <n v="1589.088"/>
    <n v="1648.088"/>
    <x v="88"/>
    <s v="Late"/>
    <x v="1"/>
    <n v="0"/>
  </r>
  <r>
    <x v="49"/>
    <s v="John"/>
    <s v="Herrera"/>
    <n v="64"/>
    <x v="2"/>
    <x v="0"/>
    <s v="john.herrera@outlook.com"/>
    <s v="61263 Jacob Isle, Amandatown, TN 34321"/>
    <x v="476"/>
    <n v="45094"/>
    <s v="17:09:22"/>
    <x v="36"/>
    <n v="403.03"/>
    <n v="5"/>
    <x v="1"/>
    <n v="7"/>
    <n v="52"/>
    <n v="45097"/>
    <s v="16:24:38"/>
    <n v="3"/>
    <n v="2015.1499999999999"/>
    <n v="0"/>
    <n v="2015.1499999999999"/>
    <n v="2015.1499999999999"/>
    <x v="49"/>
    <s v="BeforeTime"/>
    <x v="0"/>
    <n v="191.00800000000001"/>
  </r>
  <r>
    <x v="38"/>
    <s v="Brendan"/>
    <s v="Kelly"/>
    <n v="50"/>
    <x v="1"/>
    <x v="2"/>
    <s v="brendan.kelly@rediffmail.com"/>
    <s v="688 Donald Oval Suite 089, Shepardport, CA 50844"/>
    <x v="477"/>
    <n v="45470"/>
    <s v="14:01:51"/>
    <x v="36"/>
    <n v="403.03"/>
    <n v="5"/>
    <x v="3"/>
    <n v="2"/>
    <n v="52"/>
    <n v="45475"/>
    <s v="23:41:13"/>
    <n v="5"/>
    <n v="2015.1499999999999"/>
    <n v="0.2"/>
    <n v="1612.12"/>
    <n v="1664.12"/>
    <x v="38"/>
    <s v="Late"/>
    <x v="3"/>
    <n v="238.76"/>
  </r>
  <r>
    <x v="64"/>
    <s v="Karl"/>
    <s v="Gallagher"/>
    <n v="60"/>
    <x v="1"/>
    <x v="6"/>
    <s v="karl.gallagher@rediffmail.com"/>
    <s v="5016 Snow Mountains Apt. 063, New Seanport, WY 41492"/>
    <x v="478"/>
    <n v="45426"/>
    <s v="18:29:21"/>
    <x v="37"/>
    <n v="405"/>
    <n v="5"/>
    <x v="1"/>
    <n v="6"/>
    <n v="47"/>
    <n v="45430"/>
    <s v="07:00:32"/>
    <n v="4"/>
    <n v="2025"/>
    <n v="0"/>
    <n v="2025"/>
    <n v="2025"/>
    <x v="64"/>
    <s v="BeforeTime"/>
    <x v="11"/>
    <n v="0"/>
  </r>
  <r>
    <x v="85"/>
    <s v="Joseph"/>
    <s v="Stewart"/>
    <n v="30"/>
    <x v="2"/>
    <x v="0"/>
    <s v="joseph.stewart@yahoo.com"/>
    <s v="4082 Wang Terrace Suite 040, Victorialand, ME 41532"/>
    <x v="479"/>
    <n v="45120"/>
    <s v="03:11:30"/>
    <x v="37"/>
    <n v="405"/>
    <n v="5"/>
    <x v="0"/>
    <n v="6"/>
    <n v="36"/>
    <n v="45127"/>
    <s v="18:17:55"/>
    <n v="7"/>
    <n v="2025"/>
    <n v="0.1"/>
    <n v="1822.5"/>
    <n v="1858.5"/>
    <x v="85"/>
    <s v="Late"/>
    <x v="0"/>
    <n v="121.5"/>
  </r>
  <r>
    <x v="15"/>
    <s v="Jessica"/>
    <s v="Ruiz"/>
    <n v="19"/>
    <x v="2"/>
    <x v="5"/>
    <s v="jessica.ruiz@rediffmail.com"/>
    <s v="02370 Laura Station Suite 309, Brandonville, DE 18875"/>
    <x v="480"/>
    <n v="45453"/>
    <s v="08:30:48"/>
    <x v="38"/>
    <n v="421.7"/>
    <n v="5"/>
    <x v="0"/>
    <n v="6"/>
    <n v="61"/>
    <n v="45457"/>
    <s v="01:26:28"/>
    <n v="4"/>
    <n v="2108.5"/>
    <n v="0.1"/>
    <n v="1897.65"/>
    <n v="1958.65"/>
    <x v="15"/>
    <s v="BeforeTime"/>
    <x v="0"/>
    <n v="42.988"/>
  </r>
  <r>
    <x v="71"/>
    <s v="Susan"/>
    <s v="Thompson"/>
    <n v="37"/>
    <x v="1"/>
    <x v="1"/>
    <s v="susan.thompson@outlook.com"/>
    <s v="47821 William Station, East Ashleymouth, FL 20562"/>
    <x v="481"/>
    <n v="45671"/>
    <s v="17:53:46"/>
    <x v="38"/>
    <n v="421.7"/>
    <n v="5"/>
    <x v="4"/>
    <n v="2"/>
    <n v="56"/>
    <n v="45674"/>
    <s v="18:13:08"/>
    <n v="3"/>
    <n v="2108.5"/>
    <n v="0.15"/>
    <n v="1792.2249999999999"/>
    <n v="1848.2249999999999"/>
    <x v="71"/>
    <s v="Late"/>
    <x v="2"/>
    <n v="76.884"/>
  </r>
  <r>
    <x v="76"/>
    <s v="Sarah"/>
    <s v="Benson"/>
    <n v="40"/>
    <x v="1"/>
    <x v="1"/>
    <s v="sarah.benson@outlook.com"/>
    <s v="5399 Hayes Well, West Pennystad, IL 93798"/>
    <x v="482"/>
    <n v="45190"/>
    <s v="13:39:02"/>
    <x v="38"/>
    <n v="421.7"/>
    <n v="5"/>
    <x v="4"/>
    <n v="6"/>
    <n v="58"/>
    <n v="45197"/>
    <s v="06:39:28"/>
    <n v="7"/>
    <n v="2108.5"/>
    <n v="0.15"/>
    <n v="1792.2249999999999"/>
    <n v="1850.2249999999999"/>
    <x v="76"/>
    <s v="Late"/>
    <x v="7"/>
    <n v="2.0699999999999998"/>
  </r>
  <r>
    <x v="23"/>
    <s v="Christian"/>
    <s v="Clayton"/>
    <n v="39"/>
    <x v="2"/>
    <x v="7"/>
    <s v="christian.clayton@yahoo.com"/>
    <s v="065 Madison Way, Smithstad, CT 68011"/>
    <x v="483"/>
    <n v="45387"/>
    <s v="02:46:27"/>
    <x v="39"/>
    <n v="424.82"/>
    <n v="5"/>
    <x v="0"/>
    <n v="7"/>
    <n v="37"/>
    <n v="45393"/>
    <s v="06:40:47"/>
    <n v="6"/>
    <n v="2124.1"/>
    <n v="0.1"/>
    <n v="1911.6899999999998"/>
    <n v="1948.6899999999998"/>
    <x v="23"/>
    <s v="BeforeTime"/>
    <x v="9"/>
    <n v="14.9808"/>
  </r>
  <r>
    <x v="12"/>
    <s v="Lindsey"/>
    <s v="Byrd"/>
    <n v="32"/>
    <x v="0"/>
    <x v="7"/>
    <s v="lindsey.byrd@rediffmail.com"/>
    <s v="USCGC Harper, FPO AA 38349"/>
    <x v="484"/>
    <n v="45117"/>
    <s v="22:07:35"/>
    <x v="40"/>
    <n v="425.59"/>
    <n v="5"/>
    <x v="2"/>
    <n v="7"/>
    <n v="57"/>
    <n v="45124"/>
    <s v="03:39:43"/>
    <n v="7"/>
    <n v="2127.9499999999998"/>
    <n v="0.08"/>
    <n v="1957.7139999999999"/>
    <n v="2014.7139999999999"/>
    <x v="12"/>
    <s v="Intime"/>
    <x v="7"/>
    <n v="38.5184"/>
  </r>
  <r>
    <x v="53"/>
    <s v="Jason"/>
    <s v="Lopez"/>
    <n v="40"/>
    <x v="1"/>
    <x v="2"/>
    <s v="jason.lopez@outlook.com"/>
    <s v="934 Levine View, Brentport, NE 38210"/>
    <x v="485"/>
    <n v="45527"/>
    <s v="19:44:28"/>
    <x v="40"/>
    <n v="425.59"/>
    <n v="5"/>
    <x v="1"/>
    <n v="4"/>
    <n v="43"/>
    <n v="45531"/>
    <s v="02:51:48"/>
    <n v="4"/>
    <n v="2127.9499999999998"/>
    <n v="0"/>
    <n v="2127.9499999999998"/>
    <n v="2127.9499999999998"/>
    <x v="53"/>
    <s v="Intime"/>
    <x v="7"/>
    <n v="185.328"/>
  </r>
  <r>
    <x v="5"/>
    <s v="Katherine"/>
    <s v="Weber"/>
    <n v="42"/>
    <x v="1"/>
    <x v="5"/>
    <s v="katherine.weber@outlook.com"/>
    <s v="04887 Kimberly Union Apt. 645, Port Laura, IL 97219"/>
    <x v="486"/>
    <n v="45646"/>
    <s v="03:00:01"/>
    <x v="40"/>
    <n v="425.59"/>
    <n v="5"/>
    <x v="1"/>
    <n v="5"/>
    <n v="47"/>
    <n v="45652"/>
    <s v="06:03:03"/>
    <n v="6"/>
    <n v="2127.9499999999998"/>
    <n v="0"/>
    <n v="2127.9499999999998"/>
    <n v="2127.9499999999998"/>
    <x v="5"/>
    <s v="Late"/>
    <x v="0"/>
    <n v="29.070000000000007"/>
  </r>
  <r>
    <x v="47"/>
    <s v="Valerie"/>
    <s v="Carr"/>
    <n v="26"/>
    <x v="1"/>
    <x v="2"/>
    <s v="valerie.carr@rediffmail.com"/>
    <s v="981 Emily Stream, South Brianna, CO 98063"/>
    <x v="487"/>
    <n v="45313"/>
    <s v="22:08:17"/>
    <x v="41"/>
    <n v="431.44"/>
    <n v="5"/>
    <x v="2"/>
    <n v="2"/>
    <n v="57"/>
    <n v="45318"/>
    <s v="06:23:07"/>
    <n v="5"/>
    <n v="2157.1999999999998"/>
    <n v="0.08"/>
    <n v="1984.6239999999998"/>
    <n v="2041.6239999999998"/>
    <x v="47"/>
    <s v="Late"/>
    <x v="4"/>
    <n v="34.3904"/>
  </r>
  <r>
    <x v="37"/>
    <s v="Brian"/>
    <s v="Kennedy"/>
    <n v="69"/>
    <x v="0"/>
    <x v="6"/>
    <s v="brian.kennedy@outlook.com"/>
    <s v="25126 Nancy Fort Suite 568, Alexandrachester, AZ 44823"/>
    <x v="488"/>
    <n v="45132"/>
    <s v="17:56:01"/>
    <x v="41"/>
    <n v="431.44"/>
    <n v="5"/>
    <x v="4"/>
    <n v="6"/>
    <n v="59"/>
    <n v="45139"/>
    <s v="15:52:42"/>
    <n v="7"/>
    <n v="2157.1999999999998"/>
    <n v="0.15"/>
    <n v="1833.62"/>
    <n v="1892.62"/>
    <x v="37"/>
    <s v="Late"/>
    <x v="5"/>
    <n v="176.41199999999998"/>
  </r>
  <r>
    <x v="55"/>
    <s v="Barbara"/>
    <s v="Fuller"/>
    <n v="43"/>
    <x v="1"/>
    <x v="7"/>
    <s v="barbara.fuller@rediffmail.com"/>
    <s v="134 Mcintosh Unions Suite 574, Lake Laura, DE 96577"/>
    <x v="489"/>
    <n v="45276"/>
    <s v="19:28:31"/>
    <x v="41"/>
    <n v="431.44"/>
    <n v="5"/>
    <x v="4"/>
    <n v="4"/>
    <n v="42"/>
    <n v="45280"/>
    <s v="16:45:09"/>
    <n v="4"/>
    <n v="2157.1999999999998"/>
    <n v="0.15"/>
    <n v="1833.62"/>
    <n v="1875.62"/>
    <x v="55"/>
    <s v="Intime"/>
    <x v="0"/>
    <n v="26.792000000000002"/>
  </r>
  <r>
    <x v="45"/>
    <s v="Mark"/>
    <s v="Summers"/>
    <n v="55"/>
    <x v="2"/>
    <x v="7"/>
    <s v="mark.summers@outlook.com"/>
    <s v="08413 Lynch Parkway, Calderonstad, NV 32697"/>
    <x v="490"/>
    <n v="45039"/>
    <s v="09:46:43"/>
    <x v="48"/>
    <n v="441.03"/>
    <n v="5"/>
    <x v="4"/>
    <n v="3"/>
    <n v="37"/>
    <n v="45044"/>
    <s v="06:31:08"/>
    <n v="5"/>
    <n v="2205.1499999999996"/>
    <n v="0.15"/>
    <n v="1874.3774999999996"/>
    <n v="1911.3774999999996"/>
    <x v="45"/>
    <s v="Late"/>
    <x v="8"/>
    <n v="5.0235000000000003"/>
  </r>
  <r>
    <x v="8"/>
    <s v="Erin"/>
    <s v="Miller"/>
    <n v="46"/>
    <x v="0"/>
    <x v="2"/>
    <s v="erin.miller@gmail.com"/>
    <s v="65972 Peterson Route, Port Andrewfurt, SD 32892"/>
    <x v="491"/>
    <n v="45010"/>
    <s v="15:06:18"/>
    <x v="48"/>
    <n v="441.03"/>
    <n v="5"/>
    <x v="3"/>
    <n v="7"/>
    <n v="36"/>
    <n v="45016"/>
    <s v="03:50:06"/>
    <n v="6"/>
    <n v="2205.1499999999996"/>
    <n v="0.2"/>
    <n v="1764.1199999999997"/>
    <n v="1800.1199999999997"/>
    <x v="8"/>
    <s v="BeforeTime"/>
    <x v="8"/>
    <n v="0"/>
  </r>
  <r>
    <x v="75"/>
    <s v="Aaron"/>
    <s v="Thompson"/>
    <n v="47"/>
    <x v="2"/>
    <x v="4"/>
    <s v="aaron.thompson@gmail.com"/>
    <s v="PSC 0550, Box 2737, APO AE 75772"/>
    <x v="492"/>
    <n v="45681"/>
    <s v="07:39:59"/>
    <x v="48"/>
    <n v="441.03"/>
    <n v="5"/>
    <x v="2"/>
    <n v="5"/>
    <n v="62"/>
    <n v="45682"/>
    <s v="04:52:06"/>
    <n v="1"/>
    <n v="2205.1499999999996"/>
    <n v="0.08"/>
    <n v="2028.7379999999996"/>
    <n v="2090.7379999999994"/>
    <x v="75"/>
    <s v="BeforeTime"/>
    <x v="8"/>
    <n v="10.38"/>
  </r>
  <r>
    <x v="48"/>
    <s v="Lauren"/>
    <s v="Long"/>
    <n v="44"/>
    <x v="0"/>
    <x v="1"/>
    <s v="lauren.long@gmail.com"/>
    <s v="258 Michael Brooks Suite 363, Arnoldview, PA 49438"/>
    <x v="493"/>
    <n v="45307"/>
    <s v="17:05:21"/>
    <x v="43"/>
    <n v="445.81"/>
    <n v="5"/>
    <x v="4"/>
    <n v="1"/>
    <n v="56"/>
    <n v="45313"/>
    <s v="06:56:06"/>
    <n v="6"/>
    <n v="2229.0500000000002"/>
    <n v="0.15"/>
    <n v="1894.6925000000001"/>
    <n v="1950.6925000000001"/>
    <x v="48"/>
    <s v="Late"/>
    <x v="4"/>
    <n v="16.559999999999999"/>
  </r>
  <r>
    <x v="58"/>
    <s v="Mary"/>
    <s v="Knight"/>
    <n v="28"/>
    <x v="1"/>
    <x v="5"/>
    <s v="mary.knight@yahoo.com"/>
    <s v="907 Kimberly Hill, Murrayfort, NH 88384"/>
    <x v="494"/>
    <n v="45610"/>
    <s v="10:04:46"/>
    <x v="43"/>
    <n v="445.81"/>
    <n v="5"/>
    <x v="2"/>
    <n v="6"/>
    <n v="70"/>
    <n v="45613"/>
    <s v="22:23:04"/>
    <n v="3"/>
    <n v="2229.0500000000002"/>
    <n v="0.08"/>
    <n v="2050.7260000000001"/>
    <n v="2120.7260000000001"/>
    <x v="58"/>
    <s v="BeforeTime"/>
    <x v="6"/>
    <n v="0"/>
  </r>
  <r>
    <x v="6"/>
    <s v="Lauren"/>
    <s v="Crane"/>
    <n v="62"/>
    <x v="2"/>
    <x v="0"/>
    <s v="lauren.crane@yahoo.com"/>
    <s v="30313 Reyes Parkways Suite 392, Port Bradley, SC 24078"/>
    <x v="495"/>
    <n v="45517"/>
    <s v="00:57:10"/>
    <x v="45"/>
    <n v="477.52"/>
    <n v="5"/>
    <x v="3"/>
    <n v="2"/>
    <n v="60"/>
    <n v="45520"/>
    <s v="03:55:32"/>
    <n v="3"/>
    <n v="2387.6"/>
    <n v="0.2"/>
    <n v="1910.08"/>
    <n v="1970.08"/>
    <x v="6"/>
    <s v="Late"/>
    <x v="3"/>
    <n v="69.379199999999997"/>
  </r>
  <r>
    <x v="11"/>
    <s v="Alexandra"/>
    <s v="Smith"/>
    <n v="70"/>
    <x v="0"/>
    <x v="6"/>
    <s v="alexandra.smith@rediffmail.com"/>
    <s v="48611 Clark Village, West Anne, GA 92865"/>
    <x v="496"/>
    <n v="45392"/>
    <s v="18:25:37"/>
    <x v="45"/>
    <n v="477.52"/>
    <n v="5"/>
    <x v="0"/>
    <n v="7"/>
    <n v="53"/>
    <n v="45394"/>
    <s v="09:32:58"/>
    <n v="2"/>
    <n v="2387.6"/>
    <n v="0.1"/>
    <n v="2148.84"/>
    <n v="2201.84"/>
    <x v="11"/>
    <s v="BeforeTime"/>
    <x v="9"/>
    <n v="30.753599999999999"/>
  </r>
  <r>
    <x v="87"/>
    <s v="Jodi"/>
    <s v="Whitney"/>
    <n v="33"/>
    <x v="1"/>
    <x v="2"/>
    <s v="jodi.whitney@yahoo.com"/>
    <s v="72876 Lara Key Suite 383, Gutierrezton, OR 71683"/>
    <x v="497"/>
    <n v="45609"/>
    <s v="22:34:39"/>
    <x v="46"/>
    <n v="481.48"/>
    <n v="5"/>
    <x v="2"/>
    <n v="6"/>
    <n v="44"/>
    <n v="45612"/>
    <s v="02:59:45"/>
    <n v="3"/>
    <n v="2407.4"/>
    <n v="0.08"/>
    <n v="2214.808"/>
    <n v="2258.808"/>
    <x v="87"/>
    <s v="BeforeTime"/>
    <x v="0"/>
    <n v="0"/>
  </r>
  <r>
    <x v="93"/>
    <s v="Bruce"/>
    <s v="Allen"/>
    <n v="32"/>
    <x v="2"/>
    <x v="6"/>
    <s v="bruce.allen@rediffmail.com"/>
    <s v="2417 Brown Ford, West Timothyside, RI 45629"/>
    <x v="498"/>
    <n v="45021"/>
    <s v="01:46:15"/>
    <x v="49"/>
    <n v="496.59"/>
    <n v="5"/>
    <x v="3"/>
    <n v="1"/>
    <n v="40"/>
    <n v="45025"/>
    <s v="22:28:20"/>
    <n v="4"/>
    <n v="2482.9499999999998"/>
    <n v="0.2"/>
    <n v="1986.36"/>
    <n v="2026.36"/>
    <x v="93"/>
    <s v="Late"/>
    <x v="6"/>
    <n v="0"/>
  </r>
  <r>
    <x v="32"/>
    <s v="Amy"/>
    <s v="Griffin"/>
    <n v="29"/>
    <x v="0"/>
    <x v="0"/>
    <s v="amy.griffin@rediffmail.com"/>
    <s v="07350 Aaron Meadow Suite 138, Kiaraberg, AL 79545"/>
    <x v="499"/>
    <n v="45423"/>
    <s v="12:43:07"/>
    <x v="49"/>
    <n v="496.59"/>
    <n v="5"/>
    <x v="2"/>
    <n v="3"/>
    <n v="61"/>
    <n v="45425"/>
    <s v="05:09:35"/>
    <n v="2"/>
    <n v="2482.9499999999998"/>
    <n v="0.08"/>
    <n v="2284.3139999999999"/>
    <n v="2345.3139999999999"/>
    <x v="32"/>
    <s v="BeforeTime"/>
    <x v="9"/>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CB9278-33E2-4C4E-A582-EF5646BFDC79}" name="PivotTable24" cacheId="9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1:G32" firstHeaderRow="1" firstDataRow="1" firstDataCol="0"/>
  <pivotFields count="28">
    <pivotField showAll="0"/>
    <pivotField showAll="0"/>
    <pivotField showAll="0"/>
    <pivotField showAll="0"/>
    <pivotField showAll="0">
      <items count="4">
        <item x="2"/>
        <item x="0"/>
        <item x="1"/>
        <item t="default"/>
      </items>
    </pivotField>
    <pivotField showAll="0">
      <items count="9">
        <item x="7"/>
        <item x="1"/>
        <item x="0"/>
        <item x="4"/>
        <item x="3"/>
        <item x="5"/>
        <item x="6"/>
        <item x="2"/>
        <item t="default"/>
      </items>
    </pivotField>
    <pivotField showAll="0"/>
    <pivotField showAll="0"/>
    <pivotField showAll="0"/>
    <pivotField showAll="0"/>
    <pivotField showAll="0"/>
    <pivotField showAll="0">
      <items count="51">
        <item x="33"/>
        <item x="8"/>
        <item x="1"/>
        <item x="49"/>
        <item x="43"/>
        <item x="45"/>
        <item x="22"/>
        <item x="44"/>
        <item x="6"/>
        <item x="3"/>
        <item x="27"/>
        <item x="12"/>
        <item x="21"/>
        <item x="23"/>
        <item x="17"/>
        <item x="13"/>
        <item x="40"/>
        <item x="5"/>
        <item x="26"/>
        <item x="41"/>
        <item x="11"/>
        <item x="28"/>
        <item x="19"/>
        <item x="7"/>
        <item x="36"/>
        <item x="10"/>
        <item x="46"/>
        <item x="9"/>
        <item x="35"/>
        <item x="25"/>
        <item x="37"/>
        <item x="39"/>
        <item x="4"/>
        <item x="24"/>
        <item x="47"/>
        <item x="16"/>
        <item x="15"/>
        <item x="38"/>
        <item x="42"/>
        <item x="20"/>
        <item x="34"/>
        <item x="31"/>
        <item x="30"/>
        <item x="0"/>
        <item x="2"/>
        <item x="32"/>
        <item x="18"/>
        <item x="14"/>
        <item x="48"/>
        <item x="29"/>
        <item t="default"/>
      </items>
    </pivotField>
    <pivotField showAll="0"/>
    <pivotField showAll="0"/>
    <pivotField showAll="0">
      <items count="6">
        <item x="1"/>
        <item x="0"/>
        <item x="4"/>
        <item x="3"/>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items count="13">
        <item x="5"/>
        <item x="1"/>
        <item x="0"/>
        <item x="3"/>
        <item x="2"/>
        <item x="6"/>
        <item x="9"/>
        <item x="10"/>
        <item x="4"/>
        <item x="8"/>
        <item x="11"/>
        <item x="7"/>
        <item t="default"/>
      </items>
    </pivotField>
    <pivotField showAll="0"/>
  </pivotFields>
  <rowItems count="1">
    <i/>
  </rowItems>
  <colItems count="1">
    <i/>
  </colItems>
  <dataFields count="1">
    <dataField name="Sum of Amount_with_Delivery_Charge"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56A561-854D-42EE-A7BC-F18FB8E0011E}" name="PivotTable18" cacheId="9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A18" firstHeaderRow="1" firstDataRow="1" firstDataCol="0"/>
  <pivotFields count="28">
    <pivotField showAll="0"/>
    <pivotField showAll="0"/>
    <pivotField showAll="0"/>
    <pivotField showAll="0"/>
    <pivotField showAll="0">
      <items count="4">
        <item x="2"/>
        <item x="0"/>
        <item x="1"/>
        <item t="default"/>
      </items>
    </pivotField>
    <pivotField showAll="0">
      <items count="9">
        <item x="7"/>
        <item x="1"/>
        <item x="0"/>
        <item x="4"/>
        <item x="3"/>
        <item x="5"/>
        <item x="6"/>
        <item x="2"/>
        <item t="default"/>
      </items>
    </pivotField>
    <pivotField showAll="0"/>
    <pivotField showAll="0"/>
    <pivotField dataField="1" showAll="0"/>
    <pivotField showAll="0"/>
    <pivotField showAll="0"/>
    <pivotField showAll="0"/>
    <pivotField showAll="0"/>
    <pivotField showAll="0"/>
    <pivotField showAll="0">
      <items count="6">
        <item x="1"/>
        <item x="0"/>
        <item x="4"/>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3">
        <item x="5"/>
        <item x="1"/>
        <item x="0"/>
        <item x="3"/>
        <item x="2"/>
        <item x="6"/>
        <item x="9"/>
        <item x="10"/>
        <item x="4"/>
        <item x="8"/>
        <item x="11"/>
        <item x="7"/>
        <item t="default"/>
      </items>
    </pivotField>
    <pivotField showAll="0"/>
  </pivotFields>
  <rowItems count="1">
    <i/>
  </rowItems>
  <colItems count="1">
    <i/>
  </colItems>
  <dataFields count="1">
    <dataField name="Count of Order_ID"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CA8459-FE21-4C62-9FAF-DE0FCFCD1C5A}" name="PivotTable23" cacheId="9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1:E32" firstHeaderRow="1" firstDataRow="1" firstDataCol="0"/>
  <pivotFields count="28">
    <pivotField showAll="0"/>
    <pivotField showAll="0"/>
    <pivotField showAll="0"/>
    <pivotField showAll="0"/>
    <pivotField showAll="0">
      <items count="4">
        <item x="2"/>
        <item x="0"/>
        <item x="1"/>
        <item t="default"/>
      </items>
    </pivotField>
    <pivotField showAll="0">
      <items count="9">
        <item x="7"/>
        <item x="1"/>
        <item x="0"/>
        <item x="4"/>
        <item x="3"/>
        <item x="5"/>
        <item x="6"/>
        <item x="2"/>
        <item t="default"/>
      </items>
    </pivotField>
    <pivotField showAll="0"/>
    <pivotField showAll="0"/>
    <pivotField showAll="0"/>
    <pivotField showAll="0"/>
    <pivotField showAll="0"/>
    <pivotField showAll="0">
      <items count="51">
        <item x="33"/>
        <item x="8"/>
        <item x="1"/>
        <item x="49"/>
        <item x="43"/>
        <item x="45"/>
        <item x="22"/>
        <item x="44"/>
        <item x="6"/>
        <item x="3"/>
        <item x="27"/>
        <item x="12"/>
        <item x="21"/>
        <item x="23"/>
        <item x="17"/>
        <item x="13"/>
        <item x="40"/>
        <item x="5"/>
        <item x="26"/>
        <item x="41"/>
        <item x="11"/>
        <item x="28"/>
        <item x="19"/>
        <item x="7"/>
        <item x="36"/>
        <item x="10"/>
        <item x="46"/>
        <item x="9"/>
        <item x="35"/>
        <item x="25"/>
        <item x="37"/>
        <item x="39"/>
        <item x="4"/>
        <item x="24"/>
        <item x="47"/>
        <item x="16"/>
        <item x="15"/>
        <item x="38"/>
        <item x="42"/>
        <item x="20"/>
        <item x="34"/>
        <item x="31"/>
        <item x="30"/>
        <item x="0"/>
        <item x="2"/>
        <item x="32"/>
        <item x="18"/>
        <item x="14"/>
        <item x="48"/>
        <item x="29"/>
        <item t="default"/>
      </items>
    </pivotField>
    <pivotField showAll="0"/>
    <pivotField showAll="0"/>
    <pivotField showAll="0">
      <items count="6">
        <item x="1"/>
        <item x="0"/>
        <item x="4"/>
        <item x="3"/>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items count="13">
        <item x="5"/>
        <item x="1"/>
        <item x="0"/>
        <item x="3"/>
        <item x="2"/>
        <item x="6"/>
        <item x="9"/>
        <item x="10"/>
        <item x="4"/>
        <item x="8"/>
        <item x="11"/>
        <item x="7"/>
        <item t="default"/>
      </items>
    </pivotField>
    <pivotField showAll="0"/>
  </pivotFields>
  <rowItems count="1">
    <i/>
  </rowItems>
  <colItems count="1">
    <i/>
  </colItems>
  <dataFields count="1">
    <dataField name="Sum of Discounted_Amount"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84BFED-F4DB-4E61-A889-3221BC53F3E2}" name="PivotTable29" cacheId="9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8:L59" firstHeaderRow="1" firstDataRow="1" firstDataCol="1"/>
  <pivotFields count="28">
    <pivotField showAll="0">
      <items count="101">
        <item x="80"/>
        <item x="86"/>
        <item x="15"/>
        <item x="56"/>
        <item x="27"/>
        <item x="85"/>
        <item x="28"/>
        <item x="66"/>
        <item x="51"/>
        <item x="60"/>
        <item x="21"/>
        <item x="37"/>
        <item x="12"/>
        <item x="38"/>
        <item x="6"/>
        <item x="64"/>
        <item x="26"/>
        <item x="39"/>
        <item x="4"/>
        <item x="32"/>
        <item x="40"/>
        <item x="29"/>
        <item x="41"/>
        <item x="20"/>
        <item x="83"/>
        <item x="77"/>
        <item x="42"/>
        <item x="97"/>
        <item x="24"/>
        <item x="9"/>
        <item x="17"/>
        <item x="99"/>
        <item x="46"/>
        <item x="16"/>
        <item x="57"/>
        <item x="13"/>
        <item x="73"/>
        <item x="10"/>
        <item x="44"/>
        <item x="89"/>
        <item x="52"/>
        <item x="81"/>
        <item x="1"/>
        <item x="35"/>
        <item x="91"/>
        <item x="54"/>
        <item x="82"/>
        <item x="2"/>
        <item x="8"/>
        <item x="36"/>
        <item x="43"/>
        <item x="95"/>
        <item x="19"/>
        <item x="65"/>
        <item x="14"/>
        <item x="74"/>
        <item x="7"/>
        <item x="76"/>
        <item x="61"/>
        <item x="98"/>
        <item x="92"/>
        <item x="18"/>
        <item x="45"/>
        <item x="79"/>
        <item x="22"/>
        <item x="58"/>
        <item x="25"/>
        <item x="90"/>
        <item x="96"/>
        <item x="33"/>
        <item x="93"/>
        <item x="69"/>
        <item x="3"/>
        <item x="71"/>
        <item x="87"/>
        <item x="5"/>
        <item x="63"/>
        <item x="30"/>
        <item x="67"/>
        <item x="23"/>
        <item x="62"/>
        <item x="11"/>
        <item x="49"/>
        <item x="68"/>
        <item x="75"/>
        <item x="31"/>
        <item x="78"/>
        <item x="53"/>
        <item x="0"/>
        <item x="94"/>
        <item x="47"/>
        <item x="48"/>
        <item x="59"/>
        <item x="70"/>
        <item x="55"/>
        <item x="34"/>
        <item x="50"/>
        <item x="84"/>
        <item x="72"/>
        <item x="88"/>
        <item t="default"/>
      </items>
    </pivotField>
    <pivotField showAll="0"/>
    <pivotField showAll="0"/>
    <pivotField showAll="0"/>
    <pivotField showAll="0">
      <items count="4">
        <item x="2"/>
        <item x="0"/>
        <item x="1"/>
        <item t="default"/>
      </items>
    </pivotField>
    <pivotField showAll="0">
      <items count="9">
        <item x="7"/>
        <item x="1"/>
        <item x="0"/>
        <item x="4"/>
        <item x="3"/>
        <item x="5"/>
        <item x="6"/>
        <item x="2"/>
        <item t="default"/>
      </items>
    </pivotField>
    <pivotField showAll="0"/>
    <pivotField showAll="0"/>
    <pivotField showAll="0"/>
    <pivotField showAll="0"/>
    <pivotField showAll="0"/>
    <pivotField axis="axisRow" showAll="0">
      <items count="51">
        <item x="33"/>
        <item x="8"/>
        <item x="1"/>
        <item x="49"/>
        <item x="43"/>
        <item x="45"/>
        <item x="22"/>
        <item x="44"/>
        <item x="6"/>
        <item x="3"/>
        <item x="27"/>
        <item x="12"/>
        <item x="21"/>
        <item x="23"/>
        <item x="17"/>
        <item x="13"/>
        <item x="40"/>
        <item x="5"/>
        <item x="26"/>
        <item x="41"/>
        <item x="11"/>
        <item x="28"/>
        <item x="19"/>
        <item x="7"/>
        <item x="36"/>
        <item x="10"/>
        <item x="46"/>
        <item x="9"/>
        <item x="35"/>
        <item x="25"/>
        <item x="37"/>
        <item x="39"/>
        <item x="4"/>
        <item x="24"/>
        <item x="47"/>
        <item x="16"/>
        <item x="15"/>
        <item x="38"/>
        <item x="42"/>
        <item x="20"/>
        <item x="34"/>
        <item x="31"/>
        <item x="30"/>
        <item x="0"/>
        <item x="2"/>
        <item x="32"/>
        <item x="18"/>
        <item x="14"/>
        <item x="48"/>
        <item x="29"/>
        <item t="default"/>
      </items>
    </pivotField>
    <pivotField showAll="0"/>
    <pivotField showAll="0"/>
    <pivotField showAll="0">
      <items count="6">
        <item x="1"/>
        <item x="0"/>
        <item x="4"/>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3">
        <item x="5"/>
        <item x="1"/>
        <item x="0"/>
        <item x="3"/>
        <item x="2"/>
        <item x="6"/>
        <item x="9"/>
        <item x="10"/>
        <item x="4"/>
        <item x="8"/>
        <item x="11"/>
        <item x="7"/>
        <item t="default"/>
      </items>
    </pivotField>
    <pivotField showAll="0"/>
  </pivotFields>
  <rowFields count="1">
    <field x="11"/>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56DB49-B11A-4827-95F4-29949C8AA300}" name="PivotTable28" cacheId="9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6:K107" firstHeaderRow="1" firstDataRow="1" firstDataCol="1"/>
  <pivotFields count="28">
    <pivotField axis="axisRow" showAll="0">
      <items count="101">
        <item x="80"/>
        <item x="86"/>
        <item x="15"/>
        <item x="56"/>
        <item x="27"/>
        <item x="85"/>
        <item x="28"/>
        <item x="66"/>
        <item x="51"/>
        <item x="60"/>
        <item x="21"/>
        <item x="37"/>
        <item x="12"/>
        <item x="38"/>
        <item x="6"/>
        <item x="64"/>
        <item x="26"/>
        <item x="39"/>
        <item x="4"/>
        <item x="32"/>
        <item x="40"/>
        <item x="29"/>
        <item x="41"/>
        <item x="20"/>
        <item x="83"/>
        <item x="77"/>
        <item x="42"/>
        <item x="97"/>
        <item x="24"/>
        <item x="9"/>
        <item x="17"/>
        <item x="99"/>
        <item x="46"/>
        <item x="16"/>
        <item x="57"/>
        <item x="13"/>
        <item x="73"/>
        <item x="10"/>
        <item x="44"/>
        <item x="89"/>
        <item x="52"/>
        <item x="81"/>
        <item x="1"/>
        <item x="35"/>
        <item x="91"/>
        <item x="54"/>
        <item x="82"/>
        <item x="2"/>
        <item x="8"/>
        <item x="36"/>
        <item x="43"/>
        <item x="95"/>
        <item x="19"/>
        <item x="65"/>
        <item x="14"/>
        <item x="74"/>
        <item x="7"/>
        <item x="76"/>
        <item x="61"/>
        <item x="98"/>
        <item x="92"/>
        <item x="18"/>
        <item x="45"/>
        <item x="79"/>
        <item x="22"/>
        <item x="58"/>
        <item x="25"/>
        <item x="90"/>
        <item x="96"/>
        <item x="33"/>
        <item x="93"/>
        <item x="69"/>
        <item x="3"/>
        <item x="71"/>
        <item x="87"/>
        <item x="5"/>
        <item x="63"/>
        <item x="30"/>
        <item x="67"/>
        <item x="23"/>
        <item x="62"/>
        <item x="11"/>
        <item x="49"/>
        <item x="68"/>
        <item x="75"/>
        <item x="31"/>
        <item x="78"/>
        <item x="53"/>
        <item x="0"/>
        <item x="94"/>
        <item x="47"/>
        <item x="48"/>
        <item x="59"/>
        <item x="70"/>
        <item x="55"/>
        <item x="34"/>
        <item x="50"/>
        <item x="84"/>
        <item x="72"/>
        <item x="88"/>
        <item t="default"/>
      </items>
    </pivotField>
    <pivotField showAll="0"/>
    <pivotField showAll="0"/>
    <pivotField showAll="0"/>
    <pivotField showAll="0">
      <items count="4">
        <item x="2"/>
        <item x="0"/>
        <item x="1"/>
        <item t="default"/>
      </items>
    </pivotField>
    <pivotField showAll="0">
      <items count="9">
        <item x="7"/>
        <item x="1"/>
        <item x="0"/>
        <item x="4"/>
        <item x="3"/>
        <item x="5"/>
        <item x="6"/>
        <item x="2"/>
        <item t="default"/>
      </items>
    </pivotField>
    <pivotField showAll="0"/>
    <pivotField showAll="0"/>
    <pivotField showAll="0"/>
    <pivotField showAll="0"/>
    <pivotField showAll="0"/>
    <pivotField showAll="0">
      <items count="51">
        <item x="33"/>
        <item x="8"/>
        <item x="1"/>
        <item x="49"/>
        <item x="43"/>
        <item x="45"/>
        <item x="22"/>
        <item x="44"/>
        <item x="6"/>
        <item x="3"/>
        <item x="27"/>
        <item x="12"/>
        <item x="21"/>
        <item x="23"/>
        <item x="17"/>
        <item x="13"/>
        <item x="40"/>
        <item x="5"/>
        <item x="26"/>
        <item x="41"/>
        <item x="11"/>
        <item x="28"/>
        <item x="19"/>
        <item x="7"/>
        <item x="36"/>
        <item x="10"/>
        <item x="46"/>
        <item x="9"/>
        <item x="35"/>
        <item x="25"/>
        <item x="37"/>
        <item x="39"/>
        <item x="4"/>
        <item x="24"/>
        <item x="47"/>
        <item x="16"/>
        <item x="15"/>
        <item x="38"/>
        <item x="42"/>
        <item x="20"/>
        <item x="34"/>
        <item x="31"/>
        <item x="30"/>
        <item x="0"/>
        <item x="2"/>
        <item x="32"/>
        <item x="18"/>
        <item x="14"/>
        <item x="48"/>
        <item x="29"/>
        <item t="default"/>
      </items>
    </pivotField>
    <pivotField showAll="0"/>
    <pivotField showAll="0"/>
    <pivotField showAll="0">
      <items count="6">
        <item x="1"/>
        <item x="0"/>
        <item x="4"/>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3">
        <item x="5"/>
        <item x="1"/>
        <item x="0"/>
        <item x="3"/>
        <item x="2"/>
        <item x="6"/>
        <item x="9"/>
        <item x="10"/>
        <item x="4"/>
        <item x="8"/>
        <item x="11"/>
        <item x="7"/>
        <item t="default"/>
      </items>
    </pivotField>
    <pivotField showAll="0"/>
  </pivotFields>
  <rowFields count="1">
    <field x="0"/>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BB919D-32E7-4D6D-A5F2-E10680BFA03F}" name="PivotTable17" cacheId="9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D5" firstHeaderRow="1" firstDataRow="1" firstDataCol="0"/>
  <pivotFields count="28">
    <pivotField showAll="0"/>
    <pivotField showAll="0"/>
    <pivotField showAll="0"/>
    <pivotField dataField="1" showAll="0"/>
    <pivotField showAll="0">
      <items count="4">
        <item x="2"/>
        <item x="0"/>
        <item x="1"/>
        <item t="default"/>
      </items>
    </pivotField>
    <pivotField showAll="0">
      <items count="9">
        <item x="7"/>
        <item x="1"/>
        <item x="0"/>
        <item x="4"/>
        <item x="3"/>
        <item x="5"/>
        <item x="6"/>
        <item x="2"/>
        <item t="default"/>
      </items>
    </pivotField>
    <pivotField showAll="0"/>
    <pivotField showAll="0"/>
    <pivotField showAll="0"/>
    <pivotField showAll="0"/>
    <pivotField showAll="0"/>
    <pivotField showAll="0"/>
    <pivotField showAll="0"/>
    <pivotField showAll="0"/>
    <pivotField showAll="0">
      <items count="6">
        <item x="1"/>
        <item x="0"/>
        <item x="4"/>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3">
        <item x="5"/>
        <item x="1"/>
        <item x="0"/>
        <item x="3"/>
        <item x="2"/>
        <item x="6"/>
        <item x="9"/>
        <item x="10"/>
        <item x="4"/>
        <item x="8"/>
        <item x="11"/>
        <item x="7"/>
        <item t="default"/>
      </items>
    </pivotField>
    <pivotField showAll="0"/>
  </pivotFields>
  <rowItems count="1">
    <i/>
  </rowItems>
  <colItems count="1">
    <i/>
  </colItems>
  <dataFields count="1">
    <dataField name="Average of Age"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6A6C47-D13D-4780-9B1E-92F44AF969AD}" name="PivotTable22" cacheId="9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1:C32" firstHeaderRow="1" firstDataRow="1" firstDataCol="0"/>
  <pivotFields count="28">
    <pivotField showAll="0"/>
    <pivotField showAll="0"/>
    <pivotField showAll="0"/>
    <pivotField showAll="0"/>
    <pivotField showAll="0">
      <items count="4">
        <item x="2"/>
        <item x="0"/>
        <item x="1"/>
        <item t="default"/>
      </items>
    </pivotField>
    <pivotField showAll="0">
      <items count="9">
        <item x="7"/>
        <item x="1"/>
        <item x="0"/>
        <item x="4"/>
        <item x="3"/>
        <item x="5"/>
        <item x="6"/>
        <item x="2"/>
        <item t="default"/>
      </items>
    </pivotField>
    <pivotField showAll="0"/>
    <pivotField showAll="0"/>
    <pivotField showAll="0"/>
    <pivotField showAll="0"/>
    <pivotField showAll="0"/>
    <pivotField showAll="0">
      <items count="51">
        <item x="33"/>
        <item x="8"/>
        <item x="1"/>
        <item x="49"/>
        <item x="43"/>
        <item x="45"/>
        <item x="22"/>
        <item x="44"/>
        <item x="6"/>
        <item x="3"/>
        <item x="27"/>
        <item x="12"/>
        <item x="21"/>
        <item x="23"/>
        <item x="17"/>
        <item x="13"/>
        <item x="40"/>
        <item x="5"/>
        <item x="26"/>
        <item x="41"/>
        <item x="11"/>
        <item x="28"/>
        <item x="19"/>
        <item x="7"/>
        <item x="36"/>
        <item x="10"/>
        <item x="46"/>
        <item x="9"/>
        <item x="35"/>
        <item x="25"/>
        <item x="37"/>
        <item x="39"/>
        <item x="4"/>
        <item x="24"/>
        <item x="47"/>
        <item x="16"/>
        <item x="15"/>
        <item x="38"/>
        <item x="42"/>
        <item x="20"/>
        <item x="34"/>
        <item x="31"/>
        <item x="30"/>
        <item x="0"/>
        <item x="2"/>
        <item x="32"/>
        <item x="18"/>
        <item x="14"/>
        <item x="48"/>
        <item x="29"/>
        <item t="default"/>
      </items>
    </pivotField>
    <pivotField showAll="0"/>
    <pivotField showAll="0"/>
    <pivotField showAll="0">
      <items count="6">
        <item x="1"/>
        <item x="0"/>
        <item x="4"/>
        <item x="3"/>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items count="13">
        <item x="5"/>
        <item x="1"/>
        <item x="0"/>
        <item x="3"/>
        <item x="2"/>
        <item x="6"/>
        <item x="9"/>
        <item x="10"/>
        <item x="4"/>
        <item x="8"/>
        <item x="11"/>
        <item x="7"/>
        <item t="default"/>
      </items>
    </pivotField>
    <pivotField showAll="0"/>
  </pivotFields>
  <rowItems count="1">
    <i/>
  </rowItems>
  <colItems count="1">
    <i/>
  </colItems>
  <dataFields count="1">
    <dataField name="Sum of Amoun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ACFD48-A630-4F95-B941-26FEAEB82DFC}" name="PivotTable27" cacheId="9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8:H44" firstHeaderRow="1" firstDataRow="1" firstDataCol="1"/>
  <pivotFields count="28">
    <pivotField showAll="0"/>
    <pivotField showAll="0"/>
    <pivotField showAll="0"/>
    <pivotField showAll="0"/>
    <pivotField showAll="0">
      <items count="4">
        <item x="2"/>
        <item x="0"/>
        <item x="1"/>
        <item t="default"/>
      </items>
    </pivotField>
    <pivotField showAll="0">
      <items count="9">
        <item x="7"/>
        <item x="1"/>
        <item x="0"/>
        <item x="4"/>
        <item x="3"/>
        <item x="5"/>
        <item x="6"/>
        <item x="2"/>
        <item t="default"/>
      </items>
    </pivotField>
    <pivotField showAll="0"/>
    <pivotField showAll="0"/>
    <pivotField showAll="0"/>
    <pivotField showAll="0"/>
    <pivotField showAll="0"/>
    <pivotField showAll="0">
      <items count="51">
        <item x="33"/>
        <item x="8"/>
        <item x="1"/>
        <item x="49"/>
        <item x="43"/>
        <item x="45"/>
        <item x="22"/>
        <item x="44"/>
        <item x="6"/>
        <item x="3"/>
        <item x="27"/>
        <item x="12"/>
        <item x="21"/>
        <item x="23"/>
        <item x="17"/>
        <item x="13"/>
        <item x="40"/>
        <item x="5"/>
        <item x="26"/>
        <item x="41"/>
        <item x="11"/>
        <item x="28"/>
        <item x="19"/>
        <item x="7"/>
        <item x="36"/>
        <item x="10"/>
        <item x="46"/>
        <item x="9"/>
        <item x="35"/>
        <item x="25"/>
        <item x="37"/>
        <item x="39"/>
        <item x="4"/>
        <item x="24"/>
        <item x="47"/>
        <item x="16"/>
        <item x="15"/>
        <item x="38"/>
        <item x="42"/>
        <item x="20"/>
        <item x="34"/>
        <item x="31"/>
        <item x="30"/>
        <item x="0"/>
        <item x="2"/>
        <item x="32"/>
        <item x="18"/>
        <item x="14"/>
        <item x="48"/>
        <item x="29"/>
        <item t="default"/>
      </items>
    </pivotField>
    <pivotField showAll="0"/>
    <pivotField showAll="0"/>
    <pivotField axis="axisRow" dataField="1" showAll="0">
      <items count="6">
        <item x="1"/>
        <item x="0"/>
        <item x="4"/>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3">
        <item x="5"/>
        <item x="1"/>
        <item x="0"/>
        <item x="3"/>
        <item x="2"/>
        <item x="6"/>
        <item x="9"/>
        <item x="10"/>
        <item x="4"/>
        <item x="8"/>
        <item x="11"/>
        <item x="7"/>
        <item t="default"/>
      </items>
    </pivotField>
    <pivotField showAll="0"/>
  </pivotFields>
  <rowFields count="1">
    <field x="14"/>
  </rowFields>
  <rowItems count="6">
    <i>
      <x/>
    </i>
    <i>
      <x v="1"/>
    </i>
    <i>
      <x v="2"/>
    </i>
    <i>
      <x v="3"/>
    </i>
    <i>
      <x v="4"/>
    </i>
    <i t="grand">
      <x/>
    </i>
  </rowItems>
  <colItems count="1">
    <i/>
  </colItems>
  <dataFields count="1">
    <dataField name="Count of Coupon_Code"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60492AA-5491-4849-9B65-8CBDE867D012}" name="PivotTable16" cacheId="9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7" firstHeaderRow="1" firstDataRow="1" firstDataCol="1"/>
  <pivotFields count="28">
    <pivotField showAll="0"/>
    <pivotField showAll="0"/>
    <pivotField showAll="0"/>
    <pivotField showAll="0"/>
    <pivotField showAll="0">
      <items count="4">
        <item x="2"/>
        <item x="0"/>
        <item x="1"/>
        <item t="default"/>
      </items>
    </pivotField>
    <pivotField showAll="0">
      <items count="9">
        <item x="7"/>
        <item x="1"/>
        <item x="0"/>
        <item x="4"/>
        <item x="3"/>
        <item x="5"/>
        <item x="6"/>
        <item x="2"/>
        <item t="default"/>
      </items>
    </pivotField>
    <pivotField showAll="0"/>
    <pivotField showAll="0"/>
    <pivotField showAll="0"/>
    <pivotField showAll="0"/>
    <pivotField showAll="0"/>
    <pivotField showAll="0"/>
    <pivotField showAll="0"/>
    <pivotField showAll="0"/>
    <pivotField showAll="0">
      <items count="6">
        <item x="1"/>
        <item x="0"/>
        <item x="4"/>
        <item x="3"/>
        <item x="2"/>
        <item t="default"/>
      </items>
    </pivotField>
    <pivotField showAll="0"/>
    <pivotField showAll="0"/>
    <pivotField showAll="0"/>
    <pivotField showAll="0"/>
    <pivotField showAll="0"/>
    <pivotField dataField="1" showAll="0"/>
    <pivotField showAll="0"/>
    <pivotField showAll="0"/>
    <pivotField showAll="0"/>
    <pivotField axis="axisRow" showAll="0" measureFilter="1">
      <items count="101">
        <item x="75"/>
        <item x="11"/>
        <item x="13"/>
        <item x="4"/>
        <item x="32"/>
        <item x="67"/>
        <item x="14"/>
        <item x="61"/>
        <item x="36"/>
        <item x="78"/>
        <item x="43"/>
        <item x="54"/>
        <item x="70"/>
        <item x="55"/>
        <item x="52"/>
        <item x="86"/>
        <item x="59"/>
        <item x="38"/>
        <item x="37"/>
        <item x="73"/>
        <item x="93"/>
        <item x="23"/>
        <item x="94"/>
        <item x="98"/>
        <item x="20"/>
        <item x="74"/>
        <item x="72"/>
        <item x="96"/>
        <item x="57"/>
        <item x="17"/>
        <item x="90"/>
        <item x="16"/>
        <item x="83"/>
        <item x="8"/>
        <item x="27"/>
        <item x="84"/>
        <item x="10"/>
        <item x="7"/>
        <item x="39"/>
        <item x="18"/>
        <item x="92"/>
        <item x="82"/>
        <item x="41"/>
        <item x="53"/>
        <item x="56"/>
        <item x="40"/>
        <item x="15"/>
        <item x="87"/>
        <item x="49"/>
        <item x="26"/>
        <item x="89"/>
        <item x="85"/>
        <item x="63"/>
        <item x="29"/>
        <item x="3"/>
        <item x="64"/>
        <item x="5"/>
        <item x="21"/>
        <item x="77"/>
        <item x="35"/>
        <item x="0"/>
        <item x="6"/>
        <item x="22"/>
        <item x="48"/>
        <item x="69"/>
        <item x="12"/>
        <item x="66"/>
        <item x="88"/>
        <item x="2"/>
        <item x="42"/>
        <item x="19"/>
        <item x="79"/>
        <item x="45"/>
        <item x="58"/>
        <item x="81"/>
        <item x="31"/>
        <item x="44"/>
        <item x="65"/>
        <item x="97"/>
        <item x="60"/>
        <item x="30"/>
        <item x="9"/>
        <item x="50"/>
        <item x="33"/>
        <item x="76"/>
        <item x="34"/>
        <item x="28"/>
        <item x="80"/>
        <item x="71"/>
        <item x="25"/>
        <item x="51"/>
        <item x="62"/>
        <item x="1"/>
        <item x="46"/>
        <item x="24"/>
        <item x="68"/>
        <item x="47"/>
        <item x="99"/>
        <item x="91"/>
        <item x="95"/>
        <item t="default"/>
      </items>
    </pivotField>
    <pivotField showAll="0"/>
    <pivotField showAll="0">
      <items count="13">
        <item x="5"/>
        <item x="1"/>
        <item x="0"/>
        <item x="3"/>
        <item x="2"/>
        <item x="6"/>
        <item x="9"/>
        <item x="10"/>
        <item x="4"/>
        <item x="8"/>
        <item x="11"/>
        <item x="7"/>
        <item t="default"/>
      </items>
    </pivotField>
    <pivotField showAll="0"/>
  </pivotFields>
  <rowFields count="1">
    <field x="24"/>
  </rowFields>
  <rowItems count="3">
    <i>
      <x v="4"/>
    </i>
    <i>
      <x v="20"/>
    </i>
    <i t="grand">
      <x/>
    </i>
  </rowItems>
  <colItems count="1">
    <i/>
  </colItems>
  <dataFields count="1">
    <dataField name="Max. of Amount" fld="20" subtotal="max" baseField="24" baseItem="0"/>
  </dataFields>
  <pivotTableStyleInfo name="PivotStyleLight16" showRowHeaders="1" showColHeaders="1" showRowStripes="0" showColStripes="0" showLastColumn="1"/>
  <filters count="1">
    <filter fld="24" type="count" evalOrder="-1" id="4"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D2F85AE-7AD9-42B5-A9F3-52AB83424A55}" name="PivotTable21" cacheId="9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4:G26" firstHeaderRow="1" firstDataRow="1" firstDataCol="1"/>
  <pivotFields count="28">
    <pivotField showAll="0"/>
    <pivotField showAll="0"/>
    <pivotField showAll="0"/>
    <pivotField showAll="0"/>
    <pivotField showAll="0">
      <items count="4">
        <item x="2"/>
        <item x="0"/>
        <item x="1"/>
        <item t="default"/>
      </items>
    </pivotField>
    <pivotField showAll="0">
      <items count="9">
        <item x="7"/>
        <item x="1"/>
        <item x="0"/>
        <item x="4"/>
        <item x="3"/>
        <item x="5"/>
        <item x="6"/>
        <item x="2"/>
        <item t="default"/>
      </items>
    </pivotField>
    <pivotField showAll="0"/>
    <pivotField showAll="0"/>
    <pivotField showAll="0"/>
    <pivotField showAll="0"/>
    <pivotField showAll="0"/>
    <pivotField axis="axisRow" showAll="0" measureFilter="1">
      <items count="51">
        <item x="33"/>
        <item x="8"/>
        <item x="1"/>
        <item x="49"/>
        <item x="43"/>
        <item x="45"/>
        <item x="22"/>
        <item x="44"/>
        <item x="6"/>
        <item x="3"/>
        <item x="27"/>
        <item x="12"/>
        <item x="21"/>
        <item x="23"/>
        <item x="17"/>
        <item x="13"/>
        <item x="40"/>
        <item x="5"/>
        <item x="26"/>
        <item x="41"/>
        <item x="11"/>
        <item x="28"/>
        <item x="19"/>
        <item x="7"/>
        <item x="36"/>
        <item x="10"/>
        <item x="46"/>
        <item x="9"/>
        <item x="35"/>
        <item x="25"/>
        <item x="37"/>
        <item x="39"/>
        <item x="4"/>
        <item x="24"/>
        <item x="47"/>
        <item x="16"/>
        <item x="15"/>
        <item x="38"/>
        <item x="42"/>
        <item x="20"/>
        <item x="34"/>
        <item x="31"/>
        <item x="30"/>
        <item x="0"/>
        <item x="2"/>
        <item x="32"/>
        <item x="18"/>
        <item x="14"/>
        <item x="48"/>
        <item x="29"/>
        <item t="default"/>
      </items>
    </pivotField>
    <pivotField showAll="0"/>
    <pivotField showAll="0"/>
    <pivotField showAll="0">
      <items count="6">
        <item x="1"/>
        <item x="0"/>
        <item x="4"/>
        <item x="3"/>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items count="13">
        <item x="5"/>
        <item x="1"/>
        <item x="0"/>
        <item x="3"/>
        <item x="2"/>
        <item x="6"/>
        <item x="9"/>
        <item x="10"/>
        <item x="4"/>
        <item x="8"/>
        <item x="11"/>
        <item x="7"/>
        <item t="default"/>
      </items>
    </pivotField>
    <pivotField showAll="0"/>
  </pivotFields>
  <rowFields count="1">
    <field x="11"/>
  </rowFields>
  <rowItems count="2">
    <i>
      <x v="26"/>
    </i>
    <i t="grand">
      <x/>
    </i>
  </rowItems>
  <colItems count="1">
    <i/>
  </colItems>
  <dataFields count="1">
    <dataField name="Sum of Amount_with_Delivery_Charge" fld="23" baseField="0" baseItem="0"/>
  </dataFields>
  <pivotTableStyleInfo name="PivotStyleLight16" showRowHeaders="1" showColHeaders="1" showRowStripes="0" showColStripes="0" showLastColumn="1"/>
  <filters count="1">
    <filter fld="11"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4D522BF-3651-418A-97AE-CF688C5C0A3A}" name="PivotTable20" cacheId="9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5:D27" firstHeaderRow="1" firstDataRow="1" firstDataCol="1"/>
  <pivotFields count="28">
    <pivotField showAll="0"/>
    <pivotField showAll="0"/>
    <pivotField showAll="0"/>
    <pivotField showAll="0"/>
    <pivotField showAll="0">
      <items count="4">
        <item x="2"/>
        <item x="0"/>
        <item x="1"/>
        <item t="default"/>
      </items>
    </pivotField>
    <pivotField showAll="0">
      <items count="9">
        <item x="7"/>
        <item x="1"/>
        <item x="0"/>
        <item x="4"/>
        <item x="3"/>
        <item x="5"/>
        <item x="6"/>
        <item x="2"/>
        <item t="default"/>
      </items>
    </pivotField>
    <pivotField showAll="0"/>
    <pivotField showAll="0"/>
    <pivotField dataField="1" showAll="0"/>
    <pivotField showAll="0"/>
    <pivotField showAll="0"/>
    <pivotField axis="axisRow" showAll="0" measureFilter="1">
      <items count="51">
        <item x="33"/>
        <item x="8"/>
        <item x="1"/>
        <item x="49"/>
        <item x="43"/>
        <item x="45"/>
        <item x="22"/>
        <item x="44"/>
        <item x="6"/>
        <item x="3"/>
        <item x="27"/>
        <item x="12"/>
        <item x="21"/>
        <item x="23"/>
        <item x="17"/>
        <item x="13"/>
        <item x="40"/>
        <item x="5"/>
        <item x="26"/>
        <item x="41"/>
        <item x="11"/>
        <item x="28"/>
        <item x="19"/>
        <item x="7"/>
        <item x="36"/>
        <item x="10"/>
        <item x="46"/>
        <item x="9"/>
        <item x="35"/>
        <item x="25"/>
        <item x="37"/>
        <item x="39"/>
        <item x="4"/>
        <item x="24"/>
        <item x="47"/>
        <item x="16"/>
        <item x="15"/>
        <item x="38"/>
        <item x="42"/>
        <item x="20"/>
        <item x="34"/>
        <item x="31"/>
        <item x="30"/>
        <item x="0"/>
        <item x="2"/>
        <item x="32"/>
        <item x="18"/>
        <item x="14"/>
        <item x="48"/>
        <item x="29"/>
        <item t="default"/>
      </items>
    </pivotField>
    <pivotField showAll="0"/>
    <pivotField showAll="0"/>
    <pivotField showAll="0">
      <items count="6">
        <item x="1"/>
        <item x="0"/>
        <item x="4"/>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3">
        <item x="5"/>
        <item x="1"/>
        <item x="0"/>
        <item x="3"/>
        <item x="2"/>
        <item x="6"/>
        <item x="9"/>
        <item x="10"/>
        <item x="4"/>
        <item x="8"/>
        <item x="11"/>
        <item x="7"/>
        <item t="default"/>
      </items>
    </pivotField>
    <pivotField showAll="0"/>
  </pivotFields>
  <rowFields count="1">
    <field x="11"/>
  </rowFields>
  <rowItems count="2">
    <i>
      <x v="35"/>
    </i>
    <i t="grand">
      <x/>
    </i>
  </rowItems>
  <colItems count="1">
    <i/>
  </colItems>
  <dataFields count="1">
    <dataField name="Count of Order_ID" fld="8" subtotal="count" baseField="0" baseItem="0"/>
  </dataFields>
  <pivotTableStyleInfo name="PivotStyleLight16" showRowHeaders="1" showColHeaders="1" showRowStripes="0" showColStripes="0" showLastColumn="1"/>
  <filters count="1">
    <filter fld="1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3AF2D70-6648-4F0F-A704-68C727DCE627}" name="PivotTable25" cacheId="9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5:E36" firstHeaderRow="1" firstDataRow="1" firstDataCol="0"/>
  <pivotFields count="28">
    <pivotField showAll="0"/>
    <pivotField showAll="0"/>
    <pivotField showAll="0"/>
    <pivotField showAll="0"/>
    <pivotField showAll="0">
      <items count="4">
        <item x="2"/>
        <item x="0"/>
        <item x="1"/>
        <item t="default"/>
      </items>
    </pivotField>
    <pivotField showAll="0">
      <items count="9">
        <item x="7"/>
        <item x="1"/>
        <item x="0"/>
        <item x="4"/>
        <item x="3"/>
        <item x="5"/>
        <item x="6"/>
        <item x="2"/>
        <item t="default"/>
      </items>
    </pivotField>
    <pivotField showAll="0"/>
    <pivotField showAll="0"/>
    <pivotField showAll="0"/>
    <pivotField showAll="0"/>
    <pivotField showAll="0"/>
    <pivotField showAll="0">
      <items count="51">
        <item x="33"/>
        <item x="8"/>
        <item x="1"/>
        <item x="49"/>
        <item x="43"/>
        <item x="45"/>
        <item x="22"/>
        <item x="44"/>
        <item x="6"/>
        <item x="3"/>
        <item x="27"/>
        <item x="12"/>
        <item x="21"/>
        <item x="23"/>
        <item x="17"/>
        <item x="13"/>
        <item x="40"/>
        <item x="5"/>
        <item x="26"/>
        <item x="41"/>
        <item x="11"/>
        <item x="28"/>
        <item x="19"/>
        <item x="7"/>
        <item x="36"/>
        <item x="10"/>
        <item x="46"/>
        <item x="9"/>
        <item x="35"/>
        <item x="25"/>
        <item x="37"/>
        <item x="39"/>
        <item x="4"/>
        <item x="24"/>
        <item x="47"/>
        <item x="16"/>
        <item x="15"/>
        <item x="38"/>
        <item x="42"/>
        <item x="20"/>
        <item x="34"/>
        <item x="31"/>
        <item x="30"/>
        <item x="0"/>
        <item x="2"/>
        <item x="32"/>
        <item x="18"/>
        <item x="14"/>
        <item x="48"/>
        <item x="29"/>
        <item t="default"/>
      </items>
    </pivotField>
    <pivotField showAll="0"/>
    <pivotField showAll="0"/>
    <pivotField showAll="0">
      <items count="6">
        <item x="1"/>
        <item x="0"/>
        <item x="4"/>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3">
        <item x="5"/>
        <item x="1"/>
        <item x="0"/>
        <item x="3"/>
        <item x="2"/>
        <item x="6"/>
        <item x="9"/>
        <item x="10"/>
        <item x="4"/>
        <item x="8"/>
        <item x="11"/>
        <item x="7"/>
        <item t="default"/>
      </items>
    </pivotField>
    <pivotField dataField="1" showAll="0"/>
  </pivotFields>
  <rowItems count="1">
    <i/>
  </rowItems>
  <colItems count="1">
    <i/>
  </colItems>
  <dataFields count="1">
    <dataField name="Sum of Discount Offered" fld="2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BE02AE6-F895-4EE2-88AA-864318D220D7}" name="PivotTable19" cacheId="9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7:C18" firstHeaderRow="1" firstDataRow="1" firstDataCol="0"/>
  <pivotFields count="28">
    <pivotField showAll="0"/>
    <pivotField showAll="0"/>
    <pivotField showAll="0"/>
    <pivotField showAll="0"/>
    <pivotField showAll="0">
      <items count="4">
        <item x="2"/>
        <item x="0"/>
        <item x="1"/>
        <item t="default"/>
      </items>
    </pivotField>
    <pivotField showAll="0">
      <items count="9">
        <item x="7"/>
        <item x="1"/>
        <item x="0"/>
        <item x="4"/>
        <item x="3"/>
        <item x="5"/>
        <item x="6"/>
        <item x="2"/>
        <item t="default"/>
      </items>
    </pivotField>
    <pivotField showAll="0"/>
    <pivotField showAll="0"/>
    <pivotField showAll="0"/>
    <pivotField showAll="0"/>
    <pivotField showAll="0"/>
    <pivotField showAll="0"/>
    <pivotField showAll="0"/>
    <pivotField showAll="0"/>
    <pivotField showAll="0">
      <items count="6">
        <item x="1"/>
        <item x="0"/>
        <item x="4"/>
        <item x="3"/>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13">
        <item x="5"/>
        <item x="1"/>
        <item x="0"/>
        <item x="3"/>
        <item x="2"/>
        <item x="6"/>
        <item x="9"/>
        <item x="10"/>
        <item x="4"/>
        <item x="8"/>
        <item x="11"/>
        <item x="7"/>
        <item t="default"/>
      </items>
    </pivotField>
    <pivotField showAll="0"/>
  </pivotFields>
  <rowItems count="1">
    <i/>
  </rowItems>
  <colItems count="1">
    <i/>
  </colItems>
  <dataFields count="1">
    <dataField name="Average of Days_to_Deliver" fld="1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AA22856-780C-4A15-AF60-7637276210E6}" name="PivotTable31" cacheId="97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23:B31" firstHeaderRow="1" firstDataRow="1" firstDataCol="1"/>
  <pivotFields count="28">
    <pivotField showAll="0"/>
    <pivotField showAll="0"/>
    <pivotField showAll="0"/>
    <pivotField showAll="0"/>
    <pivotField showAll="0">
      <items count="4">
        <item x="2"/>
        <item x="0"/>
        <item x="1"/>
        <item t="default"/>
      </items>
    </pivotField>
    <pivotField showAll="0">
      <items count="9">
        <item x="7"/>
        <item x="1"/>
        <item x="0"/>
        <item x="4"/>
        <item x="3"/>
        <item x="5"/>
        <item x="6"/>
        <item x="2"/>
        <item t="default"/>
      </items>
    </pivotField>
    <pivotField showAll="0"/>
    <pivotField showAll="0"/>
    <pivotField showAll="0"/>
    <pivotField showAll="0"/>
    <pivotField showAll="0"/>
    <pivotField axis="axisRow" dataField="1" showAll="0" measureFilter="1" sortType="descending">
      <items count="51">
        <item x="33"/>
        <item x="8"/>
        <item x="1"/>
        <item x="49"/>
        <item x="43"/>
        <item x="45"/>
        <item x="22"/>
        <item x="44"/>
        <item x="6"/>
        <item x="3"/>
        <item x="27"/>
        <item x="12"/>
        <item x="21"/>
        <item x="23"/>
        <item x="17"/>
        <item x="13"/>
        <item x="40"/>
        <item x="5"/>
        <item x="26"/>
        <item x="41"/>
        <item x="11"/>
        <item x="28"/>
        <item x="19"/>
        <item x="7"/>
        <item x="36"/>
        <item x="10"/>
        <item x="46"/>
        <item x="9"/>
        <item x="35"/>
        <item x="25"/>
        <item x="37"/>
        <item x="39"/>
        <item x="4"/>
        <item x="24"/>
        <item x="47"/>
        <item x="16"/>
        <item x="15"/>
        <item x="38"/>
        <item x="42"/>
        <item x="20"/>
        <item x="34"/>
        <item x="31"/>
        <item x="30"/>
        <item x="0"/>
        <item x="2"/>
        <item x="32"/>
        <item x="18"/>
        <item x="14"/>
        <item x="48"/>
        <item x="29"/>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1"/>
        <item x="0"/>
        <item x="4"/>
        <item x="3"/>
        <item x="2"/>
        <item t="default"/>
      </items>
    </pivotField>
    <pivotField showAll="0"/>
    <pivotField showAll="0"/>
    <pivotField showAll="0"/>
    <pivotField showAll="0"/>
    <pivotField showAll="0"/>
    <pivotField showAll="0"/>
    <pivotField showAll="0"/>
    <pivotField showAll="0"/>
    <pivotField showAll="0"/>
    <pivotField showAll="0">
      <items count="101">
        <item x="75"/>
        <item x="11"/>
        <item x="13"/>
        <item x="4"/>
        <item x="32"/>
        <item x="67"/>
        <item x="14"/>
        <item x="61"/>
        <item x="36"/>
        <item x="78"/>
        <item x="43"/>
        <item x="54"/>
        <item x="70"/>
        <item x="55"/>
        <item x="52"/>
        <item x="86"/>
        <item x="59"/>
        <item x="38"/>
        <item x="37"/>
        <item x="73"/>
        <item x="93"/>
        <item x="23"/>
        <item x="94"/>
        <item x="98"/>
        <item x="20"/>
        <item x="74"/>
        <item x="72"/>
        <item x="96"/>
        <item x="57"/>
        <item x="17"/>
        <item x="90"/>
        <item x="16"/>
        <item x="83"/>
        <item x="8"/>
        <item x="27"/>
        <item x="84"/>
        <item x="10"/>
        <item x="7"/>
        <item x="39"/>
        <item x="18"/>
        <item x="92"/>
        <item x="82"/>
        <item x="41"/>
        <item x="53"/>
        <item x="56"/>
        <item x="40"/>
        <item x="15"/>
        <item x="87"/>
        <item x="49"/>
        <item x="26"/>
        <item x="89"/>
        <item x="85"/>
        <item x="63"/>
        <item x="29"/>
        <item x="3"/>
        <item x="64"/>
        <item x="5"/>
        <item x="21"/>
        <item x="77"/>
        <item x="35"/>
        <item x="0"/>
        <item x="6"/>
        <item x="22"/>
        <item x="48"/>
        <item x="69"/>
        <item x="12"/>
        <item x="66"/>
        <item x="88"/>
        <item x="2"/>
        <item x="42"/>
        <item x="19"/>
        <item x="79"/>
        <item x="45"/>
        <item x="58"/>
        <item x="81"/>
        <item x="31"/>
        <item x="44"/>
        <item x="65"/>
        <item x="97"/>
        <item x="60"/>
        <item x="30"/>
        <item x="9"/>
        <item x="50"/>
        <item x="33"/>
        <item x="76"/>
        <item x="34"/>
        <item x="28"/>
        <item x="80"/>
        <item x="71"/>
        <item x="25"/>
        <item x="51"/>
        <item x="62"/>
        <item x="1"/>
        <item x="46"/>
        <item x="24"/>
        <item x="68"/>
        <item x="47"/>
        <item x="99"/>
        <item x="91"/>
        <item x="95"/>
        <item t="default"/>
      </items>
    </pivotField>
    <pivotField showAll="0"/>
    <pivotField showAll="0">
      <items count="13">
        <item x="5"/>
        <item x="1"/>
        <item x="0"/>
        <item x="3"/>
        <item x="2"/>
        <item x="6"/>
        <item x="9"/>
        <item x="10"/>
        <item x="4"/>
        <item x="8"/>
        <item x="11"/>
        <item x="7"/>
        <item t="default"/>
      </items>
    </pivotField>
    <pivotField showAll="0"/>
  </pivotFields>
  <rowFields count="1">
    <field x="11"/>
  </rowFields>
  <rowItems count="8">
    <i>
      <x v="35"/>
    </i>
    <i>
      <x v="45"/>
    </i>
    <i>
      <x v="47"/>
    </i>
    <i>
      <x v="26"/>
    </i>
    <i>
      <x v="17"/>
    </i>
    <i>
      <x v="40"/>
    </i>
    <i>
      <x v="1"/>
    </i>
    <i t="grand">
      <x/>
    </i>
  </rowItems>
  <colItems count="1">
    <i/>
  </colItems>
  <dataFields count="1">
    <dataField name="Count of Product_ID" fld="11" subtotal="count" baseField="0" baseItem="0"/>
  </dataFields>
  <chartFormats count="8">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1" count="1" selected="0">
            <x v="35"/>
          </reference>
        </references>
      </pivotArea>
    </chartFormat>
    <chartFormat chart="3" format="3">
      <pivotArea type="data" outline="0" fieldPosition="0">
        <references count="2">
          <reference field="4294967294" count="1" selected="0">
            <x v="0"/>
          </reference>
          <reference field="11" count="1" selected="0">
            <x v="45"/>
          </reference>
        </references>
      </pivotArea>
    </chartFormat>
    <chartFormat chart="3" format="4">
      <pivotArea type="data" outline="0" fieldPosition="0">
        <references count="2">
          <reference field="4294967294" count="1" selected="0">
            <x v="0"/>
          </reference>
          <reference field="11" count="1" selected="0">
            <x v="47"/>
          </reference>
        </references>
      </pivotArea>
    </chartFormat>
    <chartFormat chart="3" format="5">
      <pivotArea type="data" outline="0" fieldPosition="0">
        <references count="2">
          <reference field="4294967294" count="1" selected="0">
            <x v="0"/>
          </reference>
          <reference field="11" count="1" selected="0">
            <x v="26"/>
          </reference>
        </references>
      </pivotArea>
    </chartFormat>
    <chartFormat chart="3" format="6">
      <pivotArea type="data" outline="0" fieldPosition="0">
        <references count="2">
          <reference field="4294967294" count="1" selected="0">
            <x v="0"/>
          </reference>
          <reference field="11" count="1" selected="0">
            <x v="17"/>
          </reference>
        </references>
      </pivotArea>
    </chartFormat>
    <chartFormat chart="3" format="7">
      <pivotArea type="data" outline="0" fieldPosition="0">
        <references count="2">
          <reference field="4294967294" count="1" selected="0">
            <x v="0"/>
          </reference>
          <reference field="11" count="1" selected="0">
            <x v="40"/>
          </reference>
        </references>
      </pivotArea>
    </chartFormat>
    <chartFormat chart="3" format="8">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filters count="1">
    <filter fld="11" type="count" evalOrder="-1" id="3"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0D68DF9-48A5-4241-B744-D7AEB22CA04B}" name="PivotTable30" cacheId="9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B13" firstHeaderRow="1" firstDataRow="1" firstDataCol="1"/>
  <pivotFields count="28">
    <pivotField showAll="0"/>
    <pivotField showAll="0"/>
    <pivotField showAll="0"/>
    <pivotField showAll="0"/>
    <pivotField showAll="0">
      <items count="4">
        <item x="2"/>
        <item x="0"/>
        <item x="1"/>
        <item t="default"/>
      </items>
    </pivotField>
    <pivotField showAll="0">
      <items count="9">
        <item x="7"/>
        <item x="1"/>
        <item x="0"/>
        <item x="4"/>
        <item x="3"/>
        <item x="5"/>
        <item x="6"/>
        <item x="2"/>
        <item t="default"/>
      </items>
    </pivotField>
    <pivotField showAll="0"/>
    <pivotField showAll="0"/>
    <pivotField showAll="0"/>
    <pivotField showAll="0"/>
    <pivotField showAll="0"/>
    <pivotField showAll="0"/>
    <pivotField showAll="0"/>
    <pivotField showAll="0"/>
    <pivotField showAll="0">
      <items count="6">
        <item x="1"/>
        <item x="0"/>
        <item x="4"/>
        <item x="3"/>
        <item x="2"/>
        <item t="default"/>
      </items>
    </pivotField>
    <pivotField showAll="0"/>
    <pivotField showAll="0"/>
    <pivotField showAll="0"/>
    <pivotField showAll="0"/>
    <pivotField showAll="0"/>
    <pivotField showAll="0"/>
    <pivotField showAll="0"/>
    <pivotField showAll="0"/>
    <pivotField dataField="1" showAll="0"/>
    <pivotField axis="axisRow" showAll="0" measureFilter="1" sortType="ascending">
      <items count="101">
        <item x="75"/>
        <item x="11"/>
        <item x="13"/>
        <item x="4"/>
        <item x="32"/>
        <item x="67"/>
        <item x="14"/>
        <item x="61"/>
        <item x="36"/>
        <item x="78"/>
        <item x="43"/>
        <item x="54"/>
        <item x="70"/>
        <item x="55"/>
        <item x="52"/>
        <item x="86"/>
        <item x="59"/>
        <item x="38"/>
        <item x="37"/>
        <item x="73"/>
        <item x="93"/>
        <item x="23"/>
        <item x="94"/>
        <item x="98"/>
        <item x="20"/>
        <item x="74"/>
        <item x="72"/>
        <item x="96"/>
        <item x="57"/>
        <item x="17"/>
        <item x="90"/>
        <item x="16"/>
        <item x="83"/>
        <item x="8"/>
        <item x="27"/>
        <item x="84"/>
        <item x="10"/>
        <item x="7"/>
        <item x="39"/>
        <item x="18"/>
        <item x="92"/>
        <item x="82"/>
        <item x="41"/>
        <item x="53"/>
        <item x="56"/>
        <item x="40"/>
        <item x="15"/>
        <item x="87"/>
        <item x="49"/>
        <item x="26"/>
        <item x="89"/>
        <item x="85"/>
        <item x="63"/>
        <item x="29"/>
        <item x="3"/>
        <item x="64"/>
        <item x="5"/>
        <item x="21"/>
        <item x="77"/>
        <item x="35"/>
        <item x="0"/>
        <item x="6"/>
        <item x="22"/>
        <item x="48"/>
        <item x="69"/>
        <item x="12"/>
        <item x="66"/>
        <item x="88"/>
        <item x="2"/>
        <item x="42"/>
        <item x="19"/>
        <item x="79"/>
        <item x="45"/>
        <item x="58"/>
        <item x="81"/>
        <item x="31"/>
        <item x="44"/>
        <item x="65"/>
        <item x="97"/>
        <item x="60"/>
        <item x="30"/>
        <item x="9"/>
        <item x="50"/>
        <item x="33"/>
        <item x="76"/>
        <item x="34"/>
        <item x="28"/>
        <item x="80"/>
        <item x="71"/>
        <item x="25"/>
        <item x="51"/>
        <item x="62"/>
        <item x="1"/>
        <item x="46"/>
        <item x="24"/>
        <item x="68"/>
        <item x="47"/>
        <item x="99"/>
        <item x="91"/>
        <item x="95"/>
        <item t="default"/>
      </items>
      <autoSortScope>
        <pivotArea dataOnly="0" outline="0" fieldPosition="0">
          <references count="1">
            <reference field="4294967294" count="1" selected="0">
              <x v="0"/>
            </reference>
          </references>
        </pivotArea>
      </autoSortScope>
    </pivotField>
    <pivotField showAll="0"/>
    <pivotField showAll="0">
      <items count="13">
        <item x="5"/>
        <item x="1"/>
        <item x="0"/>
        <item x="3"/>
        <item x="2"/>
        <item x="6"/>
        <item x="9"/>
        <item x="10"/>
        <item x="4"/>
        <item x="8"/>
        <item x="11"/>
        <item x="7"/>
        <item t="default"/>
      </items>
    </pivotField>
    <pivotField showAll="0"/>
  </pivotFields>
  <rowFields count="1">
    <field x="24"/>
  </rowFields>
  <rowItems count="11">
    <i>
      <x v="56"/>
    </i>
    <i>
      <x v="17"/>
    </i>
    <i>
      <x v="48"/>
    </i>
    <i>
      <x v="7"/>
    </i>
    <i>
      <x v="63"/>
    </i>
    <i>
      <x v="46"/>
    </i>
    <i>
      <x v="73"/>
    </i>
    <i>
      <x v="72"/>
    </i>
    <i>
      <x v="61"/>
    </i>
    <i>
      <x v="47"/>
    </i>
    <i t="grand">
      <x/>
    </i>
  </rowItems>
  <colItems count="1">
    <i/>
  </colItems>
  <dataFields count="1">
    <dataField name="Sum of Amount_with_Delivery_Charge" fld="23"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E998C94-AD94-4ED8-B2EE-E6ACD20D4154}" name="PivotTable43" cacheId="9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U43:Y57" firstHeaderRow="1" firstDataRow="2" firstDataCol="1"/>
  <pivotFields count="28">
    <pivotField showAll="0"/>
    <pivotField showAll="0"/>
    <pivotField showAll="0"/>
    <pivotField showAll="0"/>
    <pivotField axis="axisCol" showAll="0">
      <items count="4">
        <item x="2"/>
        <item x="0"/>
        <item x="1"/>
        <item t="default"/>
      </items>
    </pivotField>
    <pivotField showAll="0">
      <items count="9">
        <item x="7"/>
        <item x="1"/>
        <item x="0"/>
        <item x="4"/>
        <item x="3"/>
        <item x="5"/>
        <item x="6"/>
        <item x="2"/>
        <item t="default"/>
      </items>
    </pivotField>
    <pivotField showAll="0"/>
    <pivotField showAll="0"/>
    <pivotField showAll="0"/>
    <pivotField showAll="0"/>
    <pivotField showAll="0"/>
    <pivotField showAll="0"/>
    <pivotField showAll="0"/>
    <pivotField showAll="0"/>
    <pivotField showAll="0">
      <items count="6">
        <item x="1"/>
        <item x="0"/>
        <item x="4"/>
        <item x="3"/>
        <item x="2"/>
        <item t="default"/>
      </items>
    </pivotField>
    <pivotField showAll="0"/>
    <pivotField showAll="0"/>
    <pivotField showAll="0"/>
    <pivotField showAll="0"/>
    <pivotField showAll="0"/>
    <pivotField showAll="0"/>
    <pivotField showAll="0"/>
    <pivotField showAll="0"/>
    <pivotField dataField="1" showAll="0"/>
    <pivotField showAll="0">
      <items count="101">
        <item x="75"/>
        <item x="11"/>
        <item x="13"/>
        <item x="4"/>
        <item x="32"/>
        <item x="67"/>
        <item x="14"/>
        <item x="61"/>
        <item x="36"/>
        <item x="78"/>
        <item x="43"/>
        <item x="54"/>
        <item x="70"/>
        <item x="55"/>
        <item x="52"/>
        <item x="86"/>
        <item x="59"/>
        <item x="38"/>
        <item x="37"/>
        <item x="73"/>
        <item x="93"/>
        <item x="23"/>
        <item x="94"/>
        <item x="98"/>
        <item x="20"/>
        <item x="74"/>
        <item x="72"/>
        <item x="96"/>
        <item x="57"/>
        <item x="17"/>
        <item x="90"/>
        <item x="16"/>
        <item x="83"/>
        <item x="8"/>
        <item x="27"/>
        <item x="84"/>
        <item x="10"/>
        <item x="7"/>
        <item x="39"/>
        <item x="18"/>
        <item x="92"/>
        <item x="82"/>
        <item x="41"/>
        <item x="53"/>
        <item x="56"/>
        <item x="40"/>
        <item x="15"/>
        <item x="87"/>
        <item x="49"/>
        <item x="26"/>
        <item x="89"/>
        <item x="85"/>
        <item x="63"/>
        <item x="29"/>
        <item x="3"/>
        <item x="64"/>
        <item x="5"/>
        <item x="21"/>
        <item x="77"/>
        <item x="35"/>
        <item x="0"/>
        <item x="6"/>
        <item x="22"/>
        <item x="48"/>
        <item x="69"/>
        <item x="12"/>
        <item x="66"/>
        <item x="88"/>
        <item x="2"/>
        <item x="42"/>
        <item x="19"/>
        <item x="79"/>
        <item x="45"/>
        <item x="58"/>
        <item x="81"/>
        <item x="31"/>
        <item x="44"/>
        <item x="65"/>
        <item x="97"/>
        <item x="60"/>
        <item x="30"/>
        <item x="9"/>
        <item x="50"/>
        <item x="33"/>
        <item x="76"/>
        <item x="34"/>
        <item x="28"/>
        <item x="80"/>
        <item x="71"/>
        <item x="25"/>
        <item x="51"/>
        <item x="62"/>
        <item x="1"/>
        <item x="46"/>
        <item x="24"/>
        <item x="68"/>
        <item x="47"/>
        <item x="99"/>
        <item x="91"/>
        <item x="95"/>
        <item t="default"/>
      </items>
    </pivotField>
    <pivotField showAll="0"/>
    <pivotField axis="axisRow" showAll="0">
      <items count="13">
        <item x="5"/>
        <item x="1"/>
        <item x="0"/>
        <item x="3"/>
        <item x="2"/>
        <item x="6"/>
        <item x="9"/>
        <item x="10"/>
        <item x="4"/>
        <item x="8"/>
        <item x="11"/>
        <item x="7"/>
        <item t="default"/>
      </items>
    </pivotField>
    <pivotField showAll="0"/>
  </pivotFields>
  <rowFields count="1">
    <field x="26"/>
  </rowFields>
  <rowItems count="13">
    <i>
      <x/>
    </i>
    <i>
      <x v="1"/>
    </i>
    <i>
      <x v="2"/>
    </i>
    <i>
      <x v="3"/>
    </i>
    <i>
      <x v="4"/>
    </i>
    <i>
      <x v="5"/>
    </i>
    <i>
      <x v="6"/>
    </i>
    <i>
      <x v="7"/>
    </i>
    <i>
      <x v="8"/>
    </i>
    <i>
      <x v="9"/>
    </i>
    <i>
      <x v="10"/>
    </i>
    <i>
      <x v="11"/>
    </i>
    <i t="grand">
      <x/>
    </i>
  </rowItems>
  <colFields count="1">
    <field x="4"/>
  </colFields>
  <colItems count="4">
    <i>
      <x/>
    </i>
    <i>
      <x v="1"/>
    </i>
    <i>
      <x v="2"/>
    </i>
    <i t="grand">
      <x/>
    </i>
  </colItems>
  <dataFields count="1">
    <dataField name="Sum of Amount_with_Delivery_Charge" fld="23" baseField="0" baseItem="0"/>
  </dataFields>
  <chartFormats count="3">
    <chartFormat chart="8" format="3" series="1">
      <pivotArea type="data" outline="0" fieldPosition="0">
        <references count="2">
          <reference field="4294967294" count="1" selected="0">
            <x v="0"/>
          </reference>
          <reference field="4" count="1" selected="0">
            <x v="0"/>
          </reference>
        </references>
      </pivotArea>
    </chartFormat>
    <chartFormat chart="8" format="4" series="1">
      <pivotArea type="data" outline="0" fieldPosition="0">
        <references count="2">
          <reference field="4294967294" count="1" selected="0">
            <x v="0"/>
          </reference>
          <reference field="4" count="1" selected="0">
            <x v="1"/>
          </reference>
        </references>
      </pivotArea>
    </chartFormat>
    <chartFormat chart="8" format="5"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5A52898-3540-45D2-A3C5-EBD494FC929D}" name="PivotTable42" cacheId="9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R24:S30" firstHeaderRow="1" firstDataRow="1" firstDataCol="1"/>
  <pivotFields count="28">
    <pivotField showAll="0"/>
    <pivotField showAll="0"/>
    <pivotField showAll="0"/>
    <pivotField showAll="0"/>
    <pivotField showAll="0">
      <items count="4">
        <item x="2"/>
        <item x="0"/>
        <item x="1"/>
        <item t="default"/>
      </items>
    </pivotField>
    <pivotField showAll="0">
      <items count="9">
        <item x="7"/>
        <item x="1"/>
        <item x="0"/>
        <item x="4"/>
        <item x="3"/>
        <item x="5"/>
        <item x="6"/>
        <item x="2"/>
        <item t="default"/>
      </items>
    </pivotField>
    <pivotField showAll="0"/>
    <pivotField showAll="0"/>
    <pivotField showAll="0"/>
    <pivotField showAll="0"/>
    <pivotField showAll="0"/>
    <pivotField showAll="0"/>
    <pivotField showAll="0"/>
    <pivotField showAll="0"/>
    <pivotField axis="axisRow" dataField="1" showAll="0" sortType="descending">
      <items count="6">
        <item x="1"/>
        <item x="0"/>
        <item x="4"/>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101">
        <item x="75"/>
        <item x="11"/>
        <item x="13"/>
        <item x="4"/>
        <item x="32"/>
        <item x="67"/>
        <item x="14"/>
        <item x="61"/>
        <item x="36"/>
        <item x="78"/>
        <item x="43"/>
        <item x="54"/>
        <item x="70"/>
        <item x="55"/>
        <item x="52"/>
        <item x="86"/>
        <item x="59"/>
        <item x="38"/>
        <item x="37"/>
        <item x="73"/>
        <item x="93"/>
        <item x="23"/>
        <item x="94"/>
        <item x="98"/>
        <item x="20"/>
        <item x="74"/>
        <item x="72"/>
        <item x="96"/>
        <item x="57"/>
        <item x="17"/>
        <item x="90"/>
        <item x="16"/>
        <item x="83"/>
        <item x="8"/>
        <item x="27"/>
        <item x="84"/>
        <item x="10"/>
        <item x="7"/>
        <item x="39"/>
        <item x="18"/>
        <item x="92"/>
        <item x="82"/>
        <item x="41"/>
        <item x="53"/>
        <item x="56"/>
        <item x="40"/>
        <item x="15"/>
        <item x="87"/>
        <item x="49"/>
        <item x="26"/>
        <item x="89"/>
        <item x="85"/>
        <item x="63"/>
        <item x="29"/>
        <item x="3"/>
        <item x="64"/>
        <item x="5"/>
        <item x="21"/>
        <item x="77"/>
        <item x="35"/>
        <item x="0"/>
        <item x="6"/>
        <item x="22"/>
        <item x="48"/>
        <item x="69"/>
        <item x="12"/>
        <item x="66"/>
        <item x="88"/>
        <item x="2"/>
        <item x="42"/>
        <item x="19"/>
        <item x="79"/>
        <item x="45"/>
        <item x="58"/>
        <item x="81"/>
        <item x="31"/>
        <item x="44"/>
        <item x="65"/>
        <item x="97"/>
        <item x="60"/>
        <item x="30"/>
        <item x="9"/>
        <item x="50"/>
        <item x="33"/>
        <item x="76"/>
        <item x="34"/>
        <item x="28"/>
        <item x="80"/>
        <item x="71"/>
        <item x="25"/>
        <item x="51"/>
        <item x="62"/>
        <item x="1"/>
        <item x="46"/>
        <item x="24"/>
        <item x="68"/>
        <item x="47"/>
        <item x="99"/>
        <item x="91"/>
        <item x="95"/>
        <item t="default"/>
      </items>
    </pivotField>
    <pivotField showAll="0"/>
    <pivotField showAll="0">
      <items count="13">
        <item x="5"/>
        <item x="1"/>
        <item x="0"/>
        <item x="3"/>
        <item x="2"/>
        <item x="6"/>
        <item x="9"/>
        <item x="10"/>
        <item x="4"/>
        <item x="8"/>
        <item x="11"/>
        <item x="7"/>
        <item t="default"/>
      </items>
    </pivotField>
    <pivotField showAll="0"/>
  </pivotFields>
  <rowFields count="1">
    <field x="14"/>
  </rowFields>
  <rowItems count="6">
    <i>
      <x v="4"/>
    </i>
    <i>
      <x v="3"/>
    </i>
    <i>
      <x/>
    </i>
    <i>
      <x v="1"/>
    </i>
    <i>
      <x v="2"/>
    </i>
    <i t="grand">
      <x/>
    </i>
  </rowItems>
  <colItems count="1">
    <i/>
  </colItems>
  <dataFields count="1">
    <dataField name="Count of Coupon_Code" fld="14" subtotal="count" baseField="0" baseItem="0"/>
  </dataFields>
  <chartFormats count="6">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14" count="1" selected="0">
            <x v="4"/>
          </reference>
        </references>
      </pivotArea>
    </chartFormat>
    <chartFormat chart="7" format="3">
      <pivotArea type="data" outline="0" fieldPosition="0">
        <references count="2">
          <reference field="4294967294" count="1" selected="0">
            <x v="0"/>
          </reference>
          <reference field="14" count="1" selected="0">
            <x v="3"/>
          </reference>
        </references>
      </pivotArea>
    </chartFormat>
    <chartFormat chart="7" format="4">
      <pivotArea type="data" outline="0" fieldPosition="0">
        <references count="2">
          <reference field="4294967294" count="1" selected="0">
            <x v="0"/>
          </reference>
          <reference field="14" count="1" selected="0">
            <x v="0"/>
          </reference>
        </references>
      </pivotArea>
    </chartFormat>
    <chartFormat chart="7" format="5">
      <pivotArea type="data" outline="0" fieldPosition="0">
        <references count="2">
          <reference field="4294967294" count="1" selected="0">
            <x v="0"/>
          </reference>
          <reference field="14" count="1" selected="0">
            <x v="1"/>
          </reference>
        </references>
      </pivotArea>
    </chartFormat>
    <chartFormat chart="7" format="6">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39F4D6B-7E8D-480C-85CC-EC06AF10F6A7}" name="PivotTable41" cacheId="9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R2:S11" firstHeaderRow="1" firstDataRow="1" firstDataCol="1"/>
  <pivotFields count="28">
    <pivotField showAll="0"/>
    <pivotField showAll="0"/>
    <pivotField showAll="0"/>
    <pivotField showAll="0"/>
    <pivotField showAll="0">
      <items count="4">
        <item x="2"/>
        <item x="0"/>
        <item x="1"/>
        <item t="default"/>
      </items>
    </pivotField>
    <pivotField axis="axisRow" showAll="0" sortType="descending">
      <items count="9">
        <item x="7"/>
        <item x="1"/>
        <item x="0"/>
        <item x="4"/>
        <item x="3"/>
        <item x="5"/>
        <item x="6"/>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6">
        <item x="1"/>
        <item x="0"/>
        <item x="4"/>
        <item x="3"/>
        <item x="2"/>
        <item t="default"/>
      </items>
    </pivotField>
    <pivotField showAll="0"/>
    <pivotField showAll="0"/>
    <pivotField showAll="0"/>
    <pivotField showAll="0"/>
    <pivotField showAll="0"/>
    <pivotField dataField="1" showAll="0"/>
    <pivotField showAll="0"/>
    <pivotField showAll="0"/>
    <pivotField showAll="0"/>
    <pivotField showAll="0">
      <items count="101">
        <item x="75"/>
        <item x="11"/>
        <item x="13"/>
        <item x="4"/>
        <item x="32"/>
        <item x="67"/>
        <item x="14"/>
        <item x="61"/>
        <item x="36"/>
        <item x="78"/>
        <item x="43"/>
        <item x="54"/>
        <item x="70"/>
        <item x="55"/>
        <item x="52"/>
        <item x="86"/>
        <item x="59"/>
        <item x="38"/>
        <item x="37"/>
        <item x="73"/>
        <item x="93"/>
        <item x="23"/>
        <item x="94"/>
        <item x="98"/>
        <item x="20"/>
        <item x="74"/>
        <item x="72"/>
        <item x="96"/>
        <item x="57"/>
        <item x="17"/>
        <item x="90"/>
        <item x="16"/>
        <item x="83"/>
        <item x="8"/>
        <item x="27"/>
        <item x="84"/>
        <item x="10"/>
        <item x="7"/>
        <item x="39"/>
        <item x="18"/>
        <item x="92"/>
        <item x="82"/>
        <item x="41"/>
        <item x="53"/>
        <item x="56"/>
        <item x="40"/>
        <item x="15"/>
        <item x="87"/>
        <item x="49"/>
        <item x="26"/>
        <item x="89"/>
        <item x="85"/>
        <item x="63"/>
        <item x="29"/>
        <item x="3"/>
        <item x="64"/>
        <item x="5"/>
        <item x="21"/>
        <item x="77"/>
        <item x="35"/>
        <item x="0"/>
        <item x="6"/>
        <item x="22"/>
        <item x="48"/>
        <item x="69"/>
        <item x="12"/>
        <item x="66"/>
        <item x="88"/>
        <item x="2"/>
        <item x="42"/>
        <item x="19"/>
        <item x="79"/>
        <item x="45"/>
        <item x="58"/>
        <item x="81"/>
        <item x="31"/>
        <item x="44"/>
        <item x="65"/>
        <item x="97"/>
        <item x="60"/>
        <item x="30"/>
        <item x="9"/>
        <item x="50"/>
        <item x="33"/>
        <item x="76"/>
        <item x="34"/>
        <item x="28"/>
        <item x="80"/>
        <item x="71"/>
        <item x="25"/>
        <item x="51"/>
        <item x="62"/>
        <item x="1"/>
        <item x="46"/>
        <item x="24"/>
        <item x="68"/>
        <item x="47"/>
        <item x="99"/>
        <item x="91"/>
        <item x="95"/>
        <item t="default"/>
      </items>
    </pivotField>
    <pivotField showAll="0"/>
    <pivotField showAll="0">
      <items count="13">
        <item x="5"/>
        <item x="1"/>
        <item x="0"/>
        <item x="3"/>
        <item x="2"/>
        <item x="6"/>
        <item x="9"/>
        <item x="10"/>
        <item x="4"/>
        <item x="8"/>
        <item x="11"/>
        <item x="7"/>
        <item t="default"/>
      </items>
    </pivotField>
    <pivotField showAll="0"/>
  </pivotFields>
  <rowFields count="1">
    <field x="5"/>
  </rowFields>
  <rowItems count="9">
    <i>
      <x v="2"/>
    </i>
    <i>
      <x v="7"/>
    </i>
    <i>
      <x v="3"/>
    </i>
    <i>
      <x v="1"/>
    </i>
    <i>
      <x v="6"/>
    </i>
    <i>
      <x v="5"/>
    </i>
    <i>
      <x/>
    </i>
    <i>
      <x v="4"/>
    </i>
    <i t="grand">
      <x/>
    </i>
  </rowItems>
  <colItems count="1">
    <i/>
  </colItems>
  <dataFields count="1">
    <dataField name="Sum of Amount" fld="20"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824CBB6-EAD4-4436-8DED-1F1636B85CB9}" name="PivotTable32" cacheId="9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0:B49" firstHeaderRow="1" firstDataRow="1" firstDataCol="1"/>
  <pivotFields count="28">
    <pivotField showAll="0"/>
    <pivotField showAll="0"/>
    <pivotField showAll="0"/>
    <pivotField showAll="0"/>
    <pivotField showAll="0">
      <items count="4">
        <item x="2"/>
        <item x="0"/>
        <item x="1"/>
        <item t="default"/>
      </items>
    </pivotField>
    <pivotField axis="axisRow" showAll="0" sortType="descending">
      <items count="9">
        <item x="7"/>
        <item x="1"/>
        <item x="0"/>
        <item x="4"/>
        <item x="3"/>
        <item x="5"/>
        <item x="6"/>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501">
        <item x="110"/>
        <item x="167"/>
        <item x="13"/>
        <item x="436"/>
        <item x="409"/>
        <item x="471"/>
        <item x="309"/>
        <item x="152"/>
        <item x="168"/>
        <item x="160"/>
        <item x="381"/>
        <item x="233"/>
        <item x="336"/>
        <item x="142"/>
        <item x="221"/>
        <item x="85"/>
        <item x="359"/>
        <item x="462"/>
        <item x="410"/>
        <item x="27"/>
        <item x="482"/>
        <item x="228"/>
        <item x="387"/>
        <item x="425"/>
        <item x="197"/>
        <item x="199"/>
        <item x="218"/>
        <item x="102"/>
        <item x="457"/>
        <item x="137"/>
        <item x="63"/>
        <item x="311"/>
        <item x="413"/>
        <item x="226"/>
        <item x="49"/>
        <item x="148"/>
        <item x="477"/>
        <item x="72"/>
        <item x="158"/>
        <item x="111"/>
        <item x="277"/>
        <item x="82"/>
        <item x="103"/>
        <item x="315"/>
        <item x="93"/>
        <item x="216"/>
        <item x="94"/>
        <item x="268"/>
        <item x="128"/>
        <item x="261"/>
        <item x="52"/>
        <item x="394"/>
        <item x="112"/>
        <item x="424"/>
        <item x="416"/>
        <item x="303"/>
        <item x="421"/>
        <item x="286"/>
        <item x="172"/>
        <item x="432"/>
        <item x="414"/>
        <item x="84"/>
        <item x="429"/>
        <item x="79"/>
        <item x="61"/>
        <item x="34"/>
        <item x="388"/>
        <item x="320"/>
        <item x="321"/>
        <item x="196"/>
        <item x="350"/>
        <item x="125"/>
        <item x="341"/>
        <item x="134"/>
        <item x="239"/>
        <item x="392"/>
        <item x="484"/>
        <item x="472"/>
        <item x="354"/>
        <item x="105"/>
        <item x="475"/>
        <item x="271"/>
        <item x="447"/>
        <item x="203"/>
        <item x="339"/>
        <item x="489"/>
        <item x="123"/>
        <item x="404"/>
        <item x="174"/>
        <item x="77"/>
        <item x="417"/>
        <item x="251"/>
        <item x="452"/>
        <item x="338"/>
        <item x="53"/>
        <item x="383"/>
        <item x="138"/>
        <item x="151"/>
        <item x="129"/>
        <item x="78"/>
        <item x="287"/>
        <item x="80"/>
        <item x="117"/>
        <item x="164"/>
        <item x="120"/>
        <item x="192"/>
        <item x="423"/>
        <item x="265"/>
        <item x="47"/>
        <item x="12"/>
        <item x="236"/>
        <item x="259"/>
        <item x="73"/>
        <item x="435"/>
        <item x="298"/>
        <item x="18"/>
        <item x="180"/>
        <item x="451"/>
        <item x="242"/>
        <item x="113"/>
        <item x="56"/>
        <item x="54"/>
        <item x="493"/>
        <item x="46"/>
        <item x="422"/>
        <item x="121"/>
        <item x="365"/>
        <item x="131"/>
        <item x="190"/>
        <item x="399"/>
        <item x="66"/>
        <item x="40"/>
        <item x="91"/>
        <item x="16"/>
        <item x="143"/>
        <item x="300"/>
        <item x="441"/>
        <item x="470"/>
        <item x="445"/>
        <item x="375"/>
        <item x="337"/>
        <item x="11"/>
        <item x="30"/>
        <item x="109"/>
        <item x="213"/>
        <item x="264"/>
        <item x="205"/>
        <item x="212"/>
        <item x="340"/>
        <item x="39"/>
        <item x="75"/>
        <item x="163"/>
        <item x="230"/>
        <item x="397"/>
        <item x="444"/>
        <item x="106"/>
        <item x="89"/>
        <item x="310"/>
        <item x="81"/>
        <item x="182"/>
        <item x="280"/>
        <item x="57"/>
        <item x="420"/>
        <item x="201"/>
        <item x="247"/>
        <item x="296"/>
        <item x="382"/>
        <item x="448"/>
        <item x="9"/>
        <item x="370"/>
        <item x="453"/>
        <item x="434"/>
        <item x="249"/>
        <item x="377"/>
        <item x="234"/>
        <item x="426"/>
        <item x="238"/>
        <item x="376"/>
        <item x="473"/>
        <item x="372"/>
        <item x="351"/>
        <item x="193"/>
        <item x="217"/>
        <item x="301"/>
        <item x="252"/>
        <item x="244"/>
        <item x="373"/>
        <item x="428"/>
        <item x="166"/>
        <item x="288"/>
        <item x="240"/>
        <item x="401"/>
        <item x="317"/>
        <item x="491"/>
        <item x="294"/>
        <item x="10"/>
        <item x="58"/>
        <item x="250"/>
        <item x="393"/>
        <item x="232"/>
        <item x="363"/>
        <item x="405"/>
        <item x="273"/>
        <item x="224"/>
        <item x="25"/>
        <item x="391"/>
        <item x="440"/>
        <item x="498"/>
        <item x="185"/>
        <item x="237"/>
        <item x="48"/>
        <item x="290"/>
        <item x="207"/>
        <item x="446"/>
        <item x="466"/>
        <item x="70"/>
        <item x="385"/>
        <item x="415"/>
        <item x="312"/>
        <item x="71"/>
        <item x="314"/>
        <item x="159"/>
        <item x="355"/>
        <item x="67"/>
        <item x="189"/>
        <item x="418"/>
        <item x="463"/>
        <item x="115"/>
        <item x="419"/>
        <item x="299"/>
        <item x="65"/>
        <item x="42"/>
        <item x="361"/>
        <item x="442"/>
        <item x="3"/>
        <item x="396"/>
        <item x="332"/>
        <item x="386"/>
        <item x="101"/>
        <item x="36"/>
        <item x="304"/>
        <item x="222"/>
        <item x="465"/>
        <item x="246"/>
        <item x="323"/>
        <item x="270"/>
        <item x="41"/>
        <item x="214"/>
        <item x="403"/>
        <item x="488"/>
        <item x="33"/>
        <item x="14"/>
        <item x="464"/>
        <item x="165"/>
        <item x="169"/>
        <item x="328"/>
        <item x="330"/>
        <item x="443"/>
        <item x="345"/>
        <item x="100"/>
        <item x="490"/>
        <item x="492"/>
        <item x="229"/>
        <item x="126"/>
        <item x="306"/>
        <item x="433"/>
        <item x="179"/>
        <item x="481"/>
        <item x="295"/>
        <item x="62"/>
        <item x="96"/>
        <item x="97"/>
        <item x="362"/>
        <item x="347"/>
        <item x="144"/>
        <item x="324"/>
        <item x="400"/>
        <item x="215"/>
        <item x="74"/>
        <item x="195"/>
        <item x="496"/>
        <item x="178"/>
        <item x="8"/>
        <item x="187"/>
        <item x="407"/>
        <item x="183"/>
        <item x="357"/>
        <item x="114"/>
        <item x="346"/>
        <item x="153"/>
        <item x="449"/>
        <item x="412"/>
        <item x="468"/>
        <item x="276"/>
        <item x="6"/>
        <item x="371"/>
        <item x="50"/>
        <item x="469"/>
        <item x="485"/>
        <item x="141"/>
        <item x="380"/>
        <item x="0"/>
        <item x="69"/>
        <item x="258"/>
        <item x="7"/>
        <item x="497"/>
        <item x="202"/>
        <item x="176"/>
        <item x="149"/>
        <item x="313"/>
        <item x="59"/>
        <item x="20"/>
        <item x="486"/>
        <item x="86"/>
        <item x="83"/>
        <item x="37"/>
        <item x="278"/>
        <item x="282"/>
        <item x="186"/>
        <item x="487"/>
        <item x="200"/>
        <item x="348"/>
        <item x="305"/>
        <item x="467"/>
        <item x="331"/>
        <item x="450"/>
        <item x="384"/>
        <item x="87"/>
        <item x="411"/>
        <item x="156"/>
        <item x="140"/>
        <item x="51"/>
        <item x="275"/>
        <item x="99"/>
        <item x="211"/>
        <item x="478"/>
        <item x="402"/>
        <item x="408"/>
        <item x="327"/>
        <item x="122"/>
        <item x="157"/>
        <item x="2"/>
        <item x="130"/>
        <item x="55"/>
        <item x="146"/>
        <item x="116"/>
        <item x="1"/>
        <item x="154"/>
        <item x="147"/>
        <item x="367"/>
        <item x="88"/>
        <item x="335"/>
        <item x="427"/>
        <item x="155"/>
        <item x="76"/>
        <item x="188"/>
        <item x="398"/>
        <item x="145"/>
        <item x="456"/>
        <item x="297"/>
        <item x="293"/>
        <item x="325"/>
        <item x="334"/>
        <item x="206"/>
        <item x="38"/>
        <item x="95"/>
        <item x="358"/>
        <item x="29"/>
        <item x="254"/>
        <item x="263"/>
        <item x="235"/>
        <item x="329"/>
        <item x="344"/>
        <item x="479"/>
        <item x="256"/>
        <item x="135"/>
        <item x="390"/>
        <item x="494"/>
        <item x="283"/>
        <item x="318"/>
        <item x="170"/>
        <item x="245"/>
        <item x="495"/>
        <item x="127"/>
        <item x="260"/>
        <item x="181"/>
        <item x="173"/>
        <item x="326"/>
        <item x="458"/>
        <item x="198"/>
        <item x="5"/>
        <item x="21"/>
        <item x="480"/>
        <item x="194"/>
        <item x="32"/>
        <item x="439"/>
        <item x="64"/>
        <item x="307"/>
        <item x="267"/>
        <item x="378"/>
        <item x="225"/>
        <item x="406"/>
        <item x="284"/>
        <item x="364"/>
        <item x="343"/>
        <item x="374"/>
        <item x="308"/>
        <item x="4"/>
        <item x="68"/>
        <item x="26"/>
        <item x="437"/>
        <item x="90"/>
        <item x="366"/>
        <item x="92"/>
        <item x="379"/>
        <item x="319"/>
        <item x="43"/>
        <item x="389"/>
        <item x="430"/>
        <item x="227"/>
        <item x="266"/>
        <item x="302"/>
        <item x="219"/>
        <item x="352"/>
        <item x="438"/>
        <item x="274"/>
        <item x="253"/>
        <item x="322"/>
        <item x="285"/>
        <item x="356"/>
        <item x="333"/>
        <item x="184"/>
        <item x="291"/>
        <item x="281"/>
        <item x="220"/>
        <item x="108"/>
        <item x="474"/>
        <item x="243"/>
        <item x="209"/>
        <item x="223"/>
        <item x="191"/>
        <item x="360"/>
        <item x="44"/>
        <item x="28"/>
        <item x="459"/>
        <item x="22"/>
        <item x="454"/>
        <item x="161"/>
        <item x="292"/>
        <item x="257"/>
        <item x="460"/>
        <item x="272"/>
        <item x="369"/>
        <item x="132"/>
        <item x="476"/>
        <item x="171"/>
        <item x="19"/>
        <item x="455"/>
        <item x="104"/>
        <item x="231"/>
        <item x="162"/>
        <item x="342"/>
        <item x="124"/>
        <item x="368"/>
        <item x="204"/>
        <item x="262"/>
        <item x="15"/>
        <item x="98"/>
        <item x="241"/>
        <item x="107"/>
        <item x="431"/>
        <item x="177"/>
        <item x="17"/>
        <item x="499"/>
        <item x="45"/>
        <item x="136"/>
        <item x="23"/>
        <item x="139"/>
        <item x="255"/>
        <item x="279"/>
        <item x="349"/>
        <item x="483"/>
        <item x="353"/>
        <item x="133"/>
        <item x="35"/>
        <item x="395"/>
        <item x="289"/>
        <item x="60"/>
        <item x="461"/>
        <item x="210"/>
        <item x="208"/>
        <item x="269"/>
        <item x="175"/>
        <item x="119"/>
        <item x="31"/>
        <item x="118"/>
        <item x="24"/>
        <item x="316"/>
        <item x="150"/>
        <item x="248"/>
        <item t="default"/>
      </items>
    </pivotField>
    <pivotField showAll="0"/>
    <pivotField showAll="0"/>
    <pivotField showAll="0">
      <items count="51">
        <item x="33"/>
        <item x="8"/>
        <item x="1"/>
        <item x="49"/>
        <item x="43"/>
        <item x="45"/>
        <item x="22"/>
        <item x="44"/>
        <item x="6"/>
        <item x="3"/>
        <item x="27"/>
        <item x="12"/>
        <item x="21"/>
        <item x="23"/>
        <item x="17"/>
        <item x="13"/>
        <item x="40"/>
        <item x="5"/>
        <item x="26"/>
        <item x="41"/>
        <item x="11"/>
        <item x="28"/>
        <item x="19"/>
        <item x="7"/>
        <item x="36"/>
        <item x="10"/>
        <item x="46"/>
        <item x="9"/>
        <item x="35"/>
        <item x="25"/>
        <item x="37"/>
        <item x="39"/>
        <item x="4"/>
        <item x="24"/>
        <item x="47"/>
        <item x="16"/>
        <item x="15"/>
        <item x="38"/>
        <item x="42"/>
        <item x="20"/>
        <item x="34"/>
        <item x="31"/>
        <item x="30"/>
        <item x="0"/>
        <item x="2"/>
        <item x="32"/>
        <item x="18"/>
        <item x="14"/>
        <item x="48"/>
        <item x="29"/>
        <item t="default"/>
      </items>
    </pivotField>
    <pivotField showAll="0"/>
    <pivotField showAll="0"/>
    <pivotField showAll="0">
      <items count="6">
        <item x="1"/>
        <item x="0"/>
        <item x="4"/>
        <item x="3"/>
        <item x="2"/>
        <item t="default"/>
      </items>
    </pivotField>
    <pivotField showAll="0"/>
    <pivotField showAll="0"/>
    <pivotField showAll="0"/>
    <pivotField showAll="0"/>
    <pivotField showAll="0"/>
    <pivotField showAll="0"/>
    <pivotField showAll="0"/>
    <pivotField showAll="0"/>
    <pivotField showAll="0"/>
    <pivotField showAll="0">
      <items count="101">
        <item x="75"/>
        <item x="11"/>
        <item x="13"/>
        <item x="4"/>
        <item x="32"/>
        <item x="67"/>
        <item x="14"/>
        <item x="61"/>
        <item x="36"/>
        <item x="78"/>
        <item x="43"/>
        <item x="54"/>
        <item x="70"/>
        <item x="55"/>
        <item x="52"/>
        <item x="86"/>
        <item x="59"/>
        <item x="38"/>
        <item x="37"/>
        <item x="73"/>
        <item x="93"/>
        <item x="23"/>
        <item x="94"/>
        <item x="98"/>
        <item x="20"/>
        <item x="74"/>
        <item x="72"/>
        <item x="96"/>
        <item x="57"/>
        <item x="17"/>
        <item x="90"/>
        <item x="16"/>
        <item x="83"/>
        <item x="8"/>
        <item x="27"/>
        <item x="84"/>
        <item x="10"/>
        <item x="7"/>
        <item x="39"/>
        <item x="18"/>
        <item x="92"/>
        <item x="82"/>
        <item x="41"/>
        <item x="53"/>
        <item x="56"/>
        <item x="40"/>
        <item x="15"/>
        <item x="87"/>
        <item x="49"/>
        <item x="26"/>
        <item x="89"/>
        <item x="85"/>
        <item x="63"/>
        <item x="29"/>
        <item x="3"/>
        <item x="64"/>
        <item x="5"/>
        <item x="21"/>
        <item x="77"/>
        <item x="35"/>
        <item x="0"/>
        <item x="6"/>
        <item x="22"/>
        <item x="48"/>
        <item x="69"/>
        <item x="12"/>
        <item x="66"/>
        <item x="88"/>
        <item x="2"/>
        <item x="42"/>
        <item x="19"/>
        <item x="79"/>
        <item x="45"/>
        <item x="58"/>
        <item x="81"/>
        <item x="31"/>
        <item x="44"/>
        <item x="65"/>
        <item x="97"/>
        <item x="60"/>
        <item x="30"/>
        <item x="9"/>
        <item x="50"/>
        <item x="33"/>
        <item x="76"/>
        <item x="34"/>
        <item x="28"/>
        <item x="80"/>
        <item x="71"/>
        <item x="25"/>
        <item x="51"/>
        <item x="62"/>
        <item x="1"/>
        <item x="46"/>
        <item x="24"/>
        <item x="68"/>
        <item x="47"/>
        <item x="99"/>
        <item x="91"/>
        <item x="95"/>
        <item t="default"/>
      </items>
    </pivotField>
    <pivotField showAll="0"/>
    <pivotField showAll="0">
      <items count="13">
        <item x="5"/>
        <item x="1"/>
        <item x="0"/>
        <item x="3"/>
        <item x="2"/>
        <item x="6"/>
        <item x="9"/>
        <item x="10"/>
        <item x="4"/>
        <item x="8"/>
        <item x="11"/>
        <item x="7"/>
        <item t="default"/>
      </items>
    </pivotField>
    <pivotField showAll="0"/>
  </pivotFields>
  <rowFields count="1">
    <field x="5"/>
  </rowFields>
  <rowItems count="9">
    <i>
      <x v="2"/>
    </i>
    <i>
      <x v="7"/>
    </i>
    <i>
      <x v="3"/>
    </i>
    <i>
      <x v="6"/>
    </i>
    <i>
      <x v="1"/>
    </i>
    <i>
      <x/>
    </i>
    <i>
      <x v="5"/>
    </i>
    <i>
      <x v="4"/>
    </i>
    <i t="grand">
      <x/>
    </i>
  </rowItems>
  <colItems count="1">
    <i/>
  </colItems>
  <dataFields count="1">
    <dataField name="Count of Order_ID"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11034A4-C6AF-4476-B559-F823AD57BBF0}" sourceName="Gender">
  <pivotTables>
    <pivotTable tabId="3" name="PivotTable27"/>
    <pivotTable tabId="8" name="PivotTable30"/>
    <pivotTable tabId="8" name="PivotTable31"/>
    <pivotTable tabId="8" name="PivotTable32"/>
    <pivotTable tabId="8" name="PivotTable41"/>
    <pivotTable tabId="8" name="PivotTable42"/>
    <pivotTable tabId="8" name="PivotTable43"/>
    <pivotTable tabId="3" name="PivotTable16"/>
    <pivotTable tabId="3" name="PivotTable17"/>
    <pivotTable tabId="3" name="PivotTable18"/>
    <pivotTable tabId="3" name="PivotTable19"/>
    <pivotTable tabId="3" name="PivotTable20"/>
    <pivotTable tabId="3" name="PivotTable21"/>
    <pivotTable tabId="3" name="PivotTable22"/>
    <pivotTable tabId="3" name="PivotTable23"/>
    <pivotTable tabId="3" name="PivotTable24"/>
    <pivotTable tabId="3" name="PivotTable25"/>
    <pivotTable tabId="3" name="PivotTable28"/>
    <pivotTable tabId="3" name="PivotTable29"/>
  </pivotTables>
  <data>
    <tabular pivotCacheId="136184552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735FB68-2A4C-42BA-A949-F820F8563221}" sourceName="City">
  <pivotTables>
    <pivotTable tabId="3" name="PivotTable27"/>
    <pivotTable tabId="8" name="PivotTable30"/>
    <pivotTable tabId="8" name="PivotTable31"/>
    <pivotTable tabId="8" name="PivotTable32"/>
    <pivotTable tabId="8" name="PivotTable41"/>
    <pivotTable tabId="8" name="PivotTable42"/>
    <pivotTable tabId="8" name="PivotTable43"/>
    <pivotTable tabId="3" name="PivotTable16"/>
    <pivotTable tabId="3" name="PivotTable17"/>
    <pivotTable tabId="3" name="PivotTable18"/>
    <pivotTable tabId="3" name="PivotTable19"/>
    <pivotTable tabId="3" name="PivotTable20"/>
    <pivotTable tabId="3" name="PivotTable21"/>
    <pivotTable tabId="3" name="PivotTable22"/>
    <pivotTable tabId="3" name="PivotTable23"/>
    <pivotTable tabId="3" name="PivotTable24"/>
    <pivotTable tabId="3" name="PivotTable25"/>
    <pivotTable tabId="3" name="PivotTable28"/>
    <pivotTable tabId="3" name="PivotTable29"/>
  </pivotTables>
  <data>
    <tabular pivotCacheId="1361845524">
      <items count="8">
        <i x="7" s="1"/>
        <i x="1" s="1"/>
        <i x="0" s="1"/>
        <i x="4" s="1"/>
        <i x="3" s="1"/>
        <i x="5" s="1"/>
        <i x="6"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pon_Code" xr10:uid="{D65DF8C3-EBF5-498F-9F7B-122B03A9204F}" sourceName="Coupon_Code">
  <pivotTables>
    <pivotTable tabId="3" name="PivotTable27"/>
    <pivotTable tabId="8" name="PivotTable30"/>
    <pivotTable tabId="8" name="PivotTable31"/>
    <pivotTable tabId="8" name="PivotTable32"/>
    <pivotTable tabId="8" name="PivotTable41"/>
    <pivotTable tabId="8" name="PivotTable42"/>
    <pivotTable tabId="8" name="PivotTable43"/>
    <pivotTable tabId="3" name="PivotTable16"/>
    <pivotTable tabId="3" name="PivotTable17"/>
    <pivotTable tabId="3" name="PivotTable18"/>
    <pivotTable tabId="3" name="PivotTable19"/>
    <pivotTable tabId="3" name="PivotTable20"/>
    <pivotTable tabId="3" name="PivotTable21"/>
    <pivotTable tabId="3" name="PivotTable22"/>
    <pivotTable tabId="3" name="PivotTable23"/>
    <pivotTable tabId="3" name="PivotTable24"/>
    <pivotTable tabId="3" name="PivotTable25"/>
    <pivotTable tabId="3" name="PivotTable28"/>
    <pivotTable tabId="3" name="PivotTable29"/>
  </pivotTables>
  <data>
    <tabular pivotCacheId="1361845524">
      <items count="5">
        <i x="1" s="1"/>
        <i x="0" s="1"/>
        <i x="4"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184EA38-38A0-493A-AAFF-CFC6698F9B87}" sourceName="month">
  <pivotTables>
    <pivotTable tabId="3" name="PivotTable27"/>
    <pivotTable tabId="8" name="PivotTable30"/>
    <pivotTable tabId="8" name="PivotTable31"/>
    <pivotTable tabId="8" name="PivotTable32"/>
    <pivotTable tabId="8" name="PivotTable41"/>
    <pivotTable tabId="8" name="PivotTable42"/>
    <pivotTable tabId="8" name="PivotTable43"/>
    <pivotTable tabId="3" name="PivotTable16"/>
    <pivotTable tabId="3" name="PivotTable17"/>
    <pivotTable tabId="3" name="PivotTable18"/>
    <pivotTable tabId="3" name="PivotTable19"/>
    <pivotTable tabId="3" name="PivotTable20"/>
    <pivotTable tabId="3" name="PivotTable21"/>
    <pivotTable tabId="3" name="PivotTable22"/>
    <pivotTable tabId="3" name="PivotTable23"/>
    <pivotTable tabId="3" name="PivotTable24"/>
    <pivotTable tabId="3" name="PivotTable25"/>
    <pivotTable tabId="3" name="PivotTable28"/>
    <pivotTable tabId="3" name="PivotTable29"/>
  </pivotTables>
  <data>
    <tabular pivotCacheId="1361845524">
      <items count="12">
        <i x="5" s="1"/>
        <i x="1" s="1"/>
        <i x="0" s="1"/>
        <i x="3" s="1"/>
        <i x="2" s="1"/>
        <i x="6" s="1"/>
        <i x="9" s="1"/>
        <i x="10" s="1"/>
        <i x="4" s="1"/>
        <i x="8" s="1"/>
        <i x="11"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A8DAF9A-4DB8-4AF3-A1FE-7E7ED730A3E0}" cache="Slicer_month" caption="month" columnCount="12"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8D8480D-D338-4E4D-B091-484F8E45A425}" cache="Slicer_Gender" caption="Gender" style="SlicerStyleLight6" rowHeight="234950"/>
  <slicer name="City 1" xr10:uid="{17B4613C-6012-4E20-B032-E8120061EA5D}" cache="Slicer_City" caption="City" style="SlicerStyleLight6" rowHeight="234950"/>
  <slicer name="Coupon_Code 1" xr10:uid="{EE0DD2CB-AE35-4AAB-AF10-BA4B1E7D6B19}" cache="Slicer_Coupon_Code" caption="Coupon_Code" style="SlicerStyleLight6" rowHeight="234950"/>
  <slicer name="month 1" xr10:uid="{9890B49B-6549-4E05-BBE1-DA9296C96BBE}" cache="Slicer_month" caption="month" columnCount="12"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CA376F-3459-4854-A470-52F698E78435}" name="Table1" displayName="Table1" ref="A1:AB501" totalsRowShown="0" headerRowDxfId="61" dataDxfId="60" headerRowBorderDxfId="58" tableBorderDxfId="59">
  <autoFilter ref="A1:AB501" xr:uid="{00000000-0009-0000-0000-000000000000}"/>
  <tableColumns count="28">
    <tableColumn id="1" xr3:uid="{A2289ED5-A987-4090-BD1C-A24862615673}" name="Customer_ID" dataDxfId="57"/>
    <tableColumn id="2" xr3:uid="{1561A06A-80D8-4335-88E7-FA6EE759CD32}" name="First_Name" dataDxfId="56"/>
    <tableColumn id="3" xr3:uid="{06CC0A5A-0563-45B1-8202-465A7E9D1175}" name="Last_Name" dataDxfId="55"/>
    <tableColumn id="4" xr3:uid="{FF7A9374-08AF-4307-84D2-CFC967AF5815}" name="Age" dataDxfId="54"/>
    <tableColumn id="5" xr3:uid="{BDAA0DDB-8524-4A57-BB76-AF142918601E}" name="Gender" dataDxfId="53"/>
    <tableColumn id="6" xr3:uid="{A51F3190-2073-42E7-ABFB-9AE4962013D4}" name="City" dataDxfId="52"/>
    <tableColumn id="7" xr3:uid="{E6DD6C68-8767-412A-9AA9-27A116227E1A}" name="Email" dataDxfId="51"/>
    <tableColumn id="8" xr3:uid="{B17E6337-CEFC-4D5A-9EA4-8FB4DE328A0F}" name="Address" dataDxfId="50"/>
    <tableColumn id="9" xr3:uid="{62E3372A-2F63-4C1C-B862-33AC01376C4A}" name="Order_ID" dataDxfId="49"/>
    <tableColumn id="10" xr3:uid="{35FAFBDD-794E-469A-A859-8411F802648B}" name="Order_Date" dataDxfId="48"/>
    <tableColumn id="11" xr3:uid="{DBEA783C-49DD-49B7-9889-5D85C5E12442}" name="Order_Time" dataDxfId="47"/>
    <tableColumn id="12" xr3:uid="{93D80F2F-D844-40E0-8690-DCF844A7825C}" name="Product_ID" dataDxfId="46"/>
    <tableColumn id="13" xr3:uid="{E0DB6CA9-1513-459B-8645-D945CBFF223C}" name="Price" dataDxfId="45"/>
    <tableColumn id="14" xr3:uid="{3C835B03-5832-4AE6-AE0C-CE8B014FA3C5}" name="Quantity" dataDxfId="44"/>
    <tableColumn id="15" xr3:uid="{DA7EBA45-AAB6-4698-9EE1-07F9FE85C4B6}" name="Coupon_Code" dataDxfId="43"/>
    <tableColumn id="16" xr3:uid="{2E78EDA7-7069-435C-AEEE-343368F6F3BF}" name="Estimated_Days_to_Deliver" dataDxfId="42"/>
    <tableColumn id="17" xr3:uid="{39007173-6BCB-412E-8800-5AA5BAA8DBAD}" name="Delivery_Charge" dataDxfId="41"/>
    <tableColumn id="18" xr3:uid="{227521FB-9141-4C5D-B744-1251903EC680}" name="Delivery_Date" dataDxfId="40"/>
    <tableColumn id="19" xr3:uid="{D4C9AAF2-F9E3-4D4D-904C-13AB02B3F5AF}" name="Delivery_Time" dataDxfId="39"/>
    <tableColumn id="20" xr3:uid="{0A71ABB2-FF58-44A6-9735-887BD0C1B009}" name="Days_to_Deliver" dataDxfId="38">
      <calculatedColumnFormula>Table1[[#This Row],[Delivery_Date]]-Table1[[#This Row],[Order_Date]]</calculatedColumnFormula>
    </tableColumn>
    <tableColumn id="21" xr3:uid="{659DAC9A-B4C6-4730-84FB-46D3246F6D1B}" name="Amount" dataDxfId="37">
      <calculatedColumnFormula>Table1[[#This Row],[Price]]*Table1[[#This Row],[Quantity]]</calculatedColumnFormula>
    </tableColumn>
    <tableColumn id="22" xr3:uid="{5CE3EE17-CC1A-47A7-A7EA-BA0BE680F6EA}" name="Discount_Percent" dataDxfId="36" dataCellStyle="Per cent">
      <calculatedColumnFormula>IF(O2="FLAT8",8%,IF(O2="FLAT10",10%,IF(O2="FLAT15",15%,IF(O2="FLAT20",20%,0))))</calculatedColumnFormula>
    </tableColumn>
    <tableColumn id="23" xr3:uid="{FE46CB9E-75CD-4BD9-BE24-4B9C289BEAFA}" name="Discounted_Amount" dataDxfId="35">
      <calculatedColumnFormula>Table1[[#This Row],[Amount]]-(Table1[[#This Row],[Amount]]*Table1[[#This Row],[Discount_Percent]])</calculatedColumnFormula>
    </tableColumn>
    <tableColumn id="24" xr3:uid="{E1AA4B6C-1CA0-4E99-9675-98E6E4969763}" name="Amount_with_Delivery_Charge" dataDxfId="34">
      <calculatedColumnFormula>IF(O2="DEL0", Table1[[#This Row],[Discounted_Amount]],Table1[[#This Row],[Discounted_Amount]]+Table1[[#This Row],[Delivery_Charge]])</calculatedColumnFormula>
    </tableColumn>
    <tableColumn id="25" xr3:uid="{47960DE1-43F4-4859-8803-C21096DBE6FC}" name="Full_Name" dataDxfId="33">
      <calculatedColumnFormula>Table1[[#This Row],[First_Name]]&amp;" "&amp;Table1[[#This Row],[Last_Name]]</calculatedColumnFormula>
    </tableColumn>
    <tableColumn id="26" xr3:uid="{B62FAE04-0C72-4D20-AC11-401A8660AD67}" name="Delivery_Status" dataDxfId="32">
      <calculatedColumnFormula>IF(T:T&gt;Table1[[#This Row],[Estimated_Days_to_Deliver]],"Late",IF(T:T=Table1[[#This Row],[Estimated_Days_to_Deliver]],"Intime","BeforeTime"))</calculatedColumnFormula>
    </tableColumn>
    <tableColumn id="27" xr3:uid="{3439E5FC-183E-4156-94E1-88B5E339843B}" name="month" dataDxfId="31">
      <calculatedColumnFormula>MONTH(Table1[[#This Row],[Order_Date]])</calculatedColumnFormula>
    </tableColumn>
    <tableColumn id="28" xr3:uid="{D2018753-39C8-466E-93E5-749FED98E1F7}" name="Discount Offered" dataDxfId="30">
      <calculatedColumnFormula>Table1[[#This Row],[Amount]]*Table1[[#This Row],[Discount_Percent]]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36B6F0E-8FA9-4A5F-A425-0B740D2586EF}" name="Table35" displayName="Table35" ref="A1:AB501" totalsRowShown="0" headerRowDxfId="29" dataDxfId="28" tableBorderDxfId="27">
  <autoFilter ref="A1:AB501" xr:uid="{436B6F0E-8FA9-4A5F-A425-0B740D2586EF}"/>
  <tableColumns count="28">
    <tableColumn id="1" xr3:uid="{379DE94E-62F3-401F-A0FD-FA053AFFD982}" name="Customer_ID" dataDxfId="26"/>
    <tableColumn id="2" xr3:uid="{746FCE68-1E6B-45D8-BF21-1C0A41BA44F9}" name="First_Name" dataDxfId="25"/>
    <tableColumn id="3" xr3:uid="{90823844-2369-424C-8AD3-1CEA51DB4D5F}" name="Last_Name" dataDxfId="24"/>
    <tableColumn id="4" xr3:uid="{D7072B6E-5D99-4D98-9EAE-854326181532}" name="Age" dataDxfId="23"/>
    <tableColumn id="5" xr3:uid="{4DECDE0F-7CE5-4B3E-8936-B89757383151}" name="Gender" dataDxfId="22"/>
    <tableColumn id="6" xr3:uid="{ED0DEB07-CD62-4A30-995B-F3C4783D22DD}" name="City" dataDxfId="21"/>
    <tableColumn id="7" xr3:uid="{818C10C9-7EF8-40B4-8004-B8AEF556F330}" name="Email" dataDxfId="20"/>
    <tableColumn id="8" xr3:uid="{82B00F83-4753-4696-AD51-24D0BA21F5BA}" name="Address" dataDxfId="19"/>
    <tableColumn id="9" xr3:uid="{20CAC120-4FA2-46E1-B046-B36ABA5ECBCB}" name="Order_ID" dataDxfId="18"/>
    <tableColumn id="10" xr3:uid="{AE99DDE3-59D7-446B-AAA0-B6853CCA9110}" name="Order_Date" dataDxfId="17"/>
    <tableColumn id="11" xr3:uid="{6DBEC3D4-3F9F-4D2F-8F29-1679D58647AF}" name="Order_Time" dataDxfId="16"/>
    <tableColumn id="12" xr3:uid="{2DD15809-F9F9-4567-AAF3-D84BE934EA43}" name="Product_ID" dataDxfId="15"/>
    <tableColumn id="13" xr3:uid="{E1CD4401-9B2C-448B-BD1E-B9F5F8ACA8B1}" name="Price" dataDxfId="14"/>
    <tableColumn id="14" xr3:uid="{46A3E6A4-8B56-49D4-BA76-B9A498A70B06}" name="Quantity" dataDxfId="13"/>
    <tableColumn id="15" xr3:uid="{8B196E96-0001-495D-A232-58A6B49E0EB3}" name="Coupon_Code" dataDxfId="12"/>
    <tableColumn id="16" xr3:uid="{31EACB40-209C-48E4-9032-8C2935615C6A}" name="Estimated_Days_to_Deliver" dataDxfId="11"/>
    <tableColumn id="17" xr3:uid="{A30F019A-7DBB-4EA4-9F96-9053622A2C5A}" name="Delivery_Charge" dataDxfId="10"/>
    <tableColumn id="18" xr3:uid="{29CDEC1E-B05D-46EC-AF98-FF909FBD463A}" name="Delivery_Date" dataDxfId="9"/>
    <tableColumn id="19" xr3:uid="{F8211458-A58B-4BFF-9261-690B4FDF95BB}" name="Delivery_Time" dataDxfId="8"/>
    <tableColumn id="20" xr3:uid="{B61E692C-3926-4F71-B938-B5AD830CE372}" name="Days_to_Deliver" dataDxfId="7"/>
    <tableColumn id="21" xr3:uid="{CCC8FE6B-909C-4056-8D96-55DD7355906A}" name="Amount" dataDxfId="6"/>
    <tableColumn id="22" xr3:uid="{BECD5814-6AFB-464E-B95A-3C723A8BFC1E}" name="Discount_Percent" dataDxfId="5" dataCellStyle="Per cent"/>
    <tableColumn id="23" xr3:uid="{3FF4575F-7666-4990-AD4A-375C3D58A9C3}" name="Discounted_Amount" dataDxfId="4"/>
    <tableColumn id="24" xr3:uid="{AD569FF4-45B7-450A-8D62-D393297B62D8}" name="Amount_with_Delivery_Charge" dataDxfId="3"/>
    <tableColumn id="25" xr3:uid="{5F4641C7-0DE2-4431-9C9E-C2FFF93FE20C}" name="Full_Name" dataDxfId="2"/>
    <tableColumn id="26" xr3:uid="{AC140F48-C6C9-4C4D-A044-4D16C12DBD88}" name="Delivery_Status" dataDxfId="1"/>
    <tableColumn id="27" xr3:uid="{8035A985-C027-4612-A499-D1957340B26C}" name="month" dataDxfId="0"/>
    <tableColumn id="28" xr3:uid="{CCCC1CE7-AE67-4B50-8320-13991FB1BD04}" name="Discount Offered"/>
  </tableColumns>
  <tableStyleInfo name="TableStyleLight2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5" Type="http://schemas.openxmlformats.org/officeDocument/2006/relationships/pivotTable" Target="../pivotTables/pivotTable18.xml"/><Relationship Id="rId4" Type="http://schemas.openxmlformats.org/officeDocument/2006/relationships/pivotTable" Target="../pivotTables/pivotTable17.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00"/>
  <sheetViews>
    <sheetView topLeftCell="U1" workbookViewId="0">
      <selection activeCell="AB1" sqref="AB1:AB1048576"/>
    </sheetView>
  </sheetViews>
  <sheetFormatPr defaultColWidth="14.42578125" defaultRowHeight="15" customHeight="1"/>
  <cols>
    <col min="1" max="1" width="16.28515625" bestFit="1" customWidth="1"/>
    <col min="2" max="2" width="14.85546875" bestFit="1" customWidth="1"/>
    <col min="3" max="3" width="14.7109375" bestFit="1" customWidth="1"/>
    <col min="4" max="4" width="8.7109375" customWidth="1"/>
    <col min="5" max="5" width="11.5703125" bestFit="1" customWidth="1"/>
    <col min="6" max="6" width="12" bestFit="1" customWidth="1"/>
    <col min="7" max="7" width="28.85546875" bestFit="1" customWidth="1"/>
    <col min="8" max="8" width="49.5703125" bestFit="1" customWidth="1"/>
    <col min="9" max="9" width="13" bestFit="1" customWidth="1"/>
    <col min="10" max="10" width="15.140625" bestFit="1" customWidth="1"/>
    <col min="11" max="11" width="15.28515625" bestFit="1" customWidth="1"/>
    <col min="12" max="12" width="14.85546875" bestFit="1" customWidth="1"/>
    <col min="13" max="13" width="9.5703125" bestFit="1" customWidth="1"/>
    <col min="14" max="14" width="12.7109375" bestFit="1" customWidth="1"/>
    <col min="15" max="15" width="17.5703125" bestFit="1" customWidth="1"/>
    <col min="16" max="16" width="28.7109375" bestFit="1" customWidth="1"/>
    <col min="17" max="17" width="19.28515625" bestFit="1" customWidth="1"/>
    <col min="18" max="18" width="17.140625" bestFit="1" customWidth="1"/>
    <col min="19" max="19" width="17.28515625" bestFit="1" customWidth="1"/>
    <col min="20" max="20" width="19.140625" bestFit="1" customWidth="1"/>
    <col min="21" max="21" width="12.28515625" bestFit="1" customWidth="1"/>
    <col min="22" max="22" width="20.28515625" style="9" bestFit="1" customWidth="1"/>
    <col min="23" max="23" width="23" bestFit="1" customWidth="1"/>
    <col min="24" max="24" width="32.140625" bestFit="1" customWidth="1"/>
    <col min="25" max="25" width="14.28515625" bestFit="1" customWidth="1"/>
    <col min="26" max="26" width="18.5703125" bestFit="1" customWidth="1"/>
  </cols>
  <sheetData>
    <row r="1" spans="1:40" s="3" customFormat="1" ht="14.25"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10" t="s">
        <v>21</v>
      </c>
      <c r="W1" s="2" t="s">
        <v>22</v>
      </c>
      <c r="X1" s="2" t="s">
        <v>23</v>
      </c>
      <c r="Y1" s="2" t="s">
        <v>24</v>
      </c>
      <c r="Z1" s="2" t="s">
        <v>25</v>
      </c>
      <c r="AA1" s="2" t="s">
        <v>26</v>
      </c>
      <c r="AB1" s="2" t="s">
        <v>27</v>
      </c>
      <c r="AJ1"/>
      <c r="AL1"/>
      <c r="AN1"/>
    </row>
    <row r="2" spans="1:40" ht="14.25" customHeight="1">
      <c r="A2" s="1" t="s">
        <v>28</v>
      </c>
      <c r="B2" s="1" t="s">
        <v>29</v>
      </c>
      <c r="C2" s="1" t="s">
        <v>30</v>
      </c>
      <c r="D2" s="1">
        <v>37</v>
      </c>
      <c r="E2" s="1" t="s">
        <v>31</v>
      </c>
      <c r="F2" s="1" t="s">
        <v>32</v>
      </c>
      <c r="G2" s="1" t="s">
        <v>33</v>
      </c>
      <c r="H2" s="1" t="s">
        <v>34</v>
      </c>
      <c r="I2" s="1" t="s">
        <v>35</v>
      </c>
      <c r="J2" s="24">
        <v>45358</v>
      </c>
      <c r="K2" s="1" t="s">
        <v>36</v>
      </c>
      <c r="L2" s="1" t="s">
        <v>37</v>
      </c>
      <c r="M2" s="1">
        <v>308.88</v>
      </c>
      <c r="N2" s="1">
        <v>5</v>
      </c>
      <c r="O2" s="1" t="s">
        <v>38</v>
      </c>
      <c r="P2" s="1">
        <v>4</v>
      </c>
      <c r="Q2" s="1">
        <v>60</v>
      </c>
      <c r="R2" s="24">
        <v>45361</v>
      </c>
      <c r="S2" s="1" t="s">
        <v>39</v>
      </c>
      <c r="T2" s="4">
        <f>Table1[[#This Row],[Delivery_Date]]-Table1[[#This Row],[Order_Date]]</f>
        <v>3</v>
      </c>
      <c r="U2" s="4">
        <f>Table1[[#This Row],[Price]]*Table1[[#This Row],[Quantity]]</f>
        <v>1544.4</v>
      </c>
      <c r="V2" s="11">
        <f t="shared" ref="V2:V65" si="0">IF(O2="FLAT8",8%,IF(O2="FLAT10",10%,IF(O2="FLAT15",15%,IF(O2="FLAT20",20%,0))))</f>
        <v>0.08</v>
      </c>
      <c r="W2" s="4">
        <f>Table1[[#This Row],[Amount]]-(Table1[[#This Row],[Amount]]*Table1[[#This Row],[Discount_Percent]])</f>
        <v>1420.8480000000002</v>
      </c>
      <c r="X2" s="4">
        <f>IF(O2="DEL0", Table1[[#This Row],[Discounted_Amount]],Table1[[#This Row],[Discounted_Amount]]+Table1[[#This Row],[Delivery_Charge]])</f>
        <v>1480.8480000000002</v>
      </c>
      <c r="Y2" s="4" t="str">
        <f>Table1[[#This Row],[First_Name]]&amp;" "&amp;Table1[[#This Row],[Last_Name]]</f>
        <v>Anne Oconnell</v>
      </c>
      <c r="Z2" s="4" t="str">
        <f>IF(T:T&gt;Table1[[#This Row],[Estimated_Days_to_Deliver]],"Late",IF(T:T=Table1[[#This Row],[Estimated_Days_to_Deliver]],"Intime","BeforeTime"))</f>
        <v>BeforeTime</v>
      </c>
      <c r="AA2" s="4">
        <f>MONTH(Table1[[#This Row],[Order_Date]])</f>
        <v>3</v>
      </c>
      <c r="AB2" s="13">
        <f>Table1[[#This Row],[Amount]]*Table1[[#This Row],[Discount_Percent]]</f>
        <v>123.55200000000001</v>
      </c>
    </row>
    <row r="3" spans="1:40" ht="14.25" customHeight="1">
      <c r="A3" s="1" t="s">
        <v>40</v>
      </c>
      <c r="B3" s="1" t="s">
        <v>41</v>
      </c>
      <c r="C3" s="1" t="s">
        <v>42</v>
      </c>
      <c r="D3" s="1">
        <v>53</v>
      </c>
      <c r="E3" s="1" t="s">
        <v>43</v>
      </c>
      <c r="F3" s="1" t="s">
        <v>44</v>
      </c>
      <c r="G3" s="1" t="s">
        <v>45</v>
      </c>
      <c r="H3" s="1" t="s">
        <v>46</v>
      </c>
      <c r="I3" s="1" t="s">
        <v>47</v>
      </c>
      <c r="J3" s="24">
        <v>45378</v>
      </c>
      <c r="K3" s="1" t="s">
        <v>48</v>
      </c>
      <c r="L3" s="1" t="s">
        <v>49</v>
      </c>
      <c r="M3" s="1">
        <v>166.28</v>
      </c>
      <c r="N3" s="1">
        <v>4</v>
      </c>
      <c r="O3" s="1" t="s">
        <v>38</v>
      </c>
      <c r="P3" s="1">
        <v>7</v>
      </c>
      <c r="Q3" s="1">
        <v>66</v>
      </c>
      <c r="R3" s="24">
        <v>45381</v>
      </c>
      <c r="S3" s="1" t="s">
        <v>50</v>
      </c>
      <c r="T3" s="4">
        <f>Table1[[#This Row],[Delivery_Date]]-Table1[[#This Row],[Order_Date]]</f>
        <v>3</v>
      </c>
      <c r="U3" s="4">
        <f>Table1[[#This Row],[Price]]*Table1[[#This Row],[Quantity]]</f>
        <v>665.12</v>
      </c>
      <c r="V3" s="11">
        <f t="shared" si="0"/>
        <v>0.08</v>
      </c>
      <c r="W3" s="4">
        <f>Table1[[#This Row],[Amount]]-(Table1[[#This Row],[Amount]]*Table1[[#This Row],[Discount_Percent]])</f>
        <v>611.91039999999998</v>
      </c>
      <c r="X3" s="4">
        <f>IF(O3="DEL0", Table1[[#This Row],[Discounted_Amount]],Table1[[#This Row],[Discounted_Amount]]+Table1[[#This Row],[Delivery_Charge]])</f>
        <v>677.91039999999998</v>
      </c>
      <c r="Y3" s="4" t="str">
        <f>Table1[[#This Row],[First_Name]]&amp;" "&amp;Table1[[#This Row],[Last_Name]]</f>
        <v>Anthony Thomas</v>
      </c>
      <c r="Z3" s="4" t="str">
        <f>IF(T:T&gt;Table1[[#This Row],[Estimated_Days_to_Deliver]],"Late",IF(T:T=Table1[[#This Row],[Estimated_Days_to_Deliver]],"Intime","BeforeTime"))</f>
        <v>BeforeTime</v>
      </c>
      <c r="AA3" s="4">
        <f>MONTH(Table1[[#This Row],[Order_Date]])</f>
        <v>3</v>
      </c>
      <c r="AB3" s="13">
        <f>Table1[[#This Row],[Amount]]*Table1[[#This Row],[Discount_Percent]]</f>
        <v>53.209600000000002</v>
      </c>
    </row>
    <row r="4" spans="1:40" ht="14.25" customHeight="1">
      <c r="A4" s="1" t="s">
        <v>51</v>
      </c>
      <c r="B4" s="1" t="s">
        <v>52</v>
      </c>
      <c r="C4" s="1" t="s">
        <v>53</v>
      </c>
      <c r="D4" s="1">
        <v>60</v>
      </c>
      <c r="E4" s="1" t="s">
        <v>54</v>
      </c>
      <c r="F4" s="1" t="s">
        <v>32</v>
      </c>
      <c r="G4" s="1" t="s">
        <v>55</v>
      </c>
      <c r="H4" s="1" t="s">
        <v>56</v>
      </c>
      <c r="I4" s="1" t="s">
        <v>57</v>
      </c>
      <c r="J4" s="24">
        <v>45342</v>
      </c>
      <c r="K4" s="1" t="s">
        <v>58</v>
      </c>
      <c r="L4" s="1" t="s">
        <v>59</v>
      </c>
      <c r="M4" s="1">
        <v>202.54</v>
      </c>
      <c r="N4" s="1">
        <v>1</v>
      </c>
      <c r="O4" s="1" t="s">
        <v>60</v>
      </c>
      <c r="P4" s="1">
        <v>3</v>
      </c>
      <c r="Q4" s="1">
        <v>47</v>
      </c>
      <c r="R4" s="24">
        <v>45344</v>
      </c>
      <c r="S4" s="1" t="s">
        <v>61</v>
      </c>
      <c r="T4" s="4">
        <f>Table1[[#This Row],[Delivery_Date]]-Table1[[#This Row],[Order_Date]]</f>
        <v>2</v>
      </c>
      <c r="U4" s="4">
        <f>Table1[[#This Row],[Price]]*Table1[[#This Row],[Quantity]]</f>
        <v>202.54</v>
      </c>
      <c r="V4" s="11">
        <f t="shared" si="0"/>
        <v>0.15</v>
      </c>
      <c r="W4" s="4">
        <f>Table1[[#This Row],[Amount]]-(Table1[[#This Row],[Amount]]*Table1[[#This Row],[Discount_Percent]])</f>
        <v>172.15899999999999</v>
      </c>
      <c r="X4" s="4">
        <f>IF(O4="DEL0", Table1[[#This Row],[Discounted_Amount]],Table1[[#This Row],[Discounted_Amount]]+Table1[[#This Row],[Delivery_Charge]])</f>
        <v>219.15899999999999</v>
      </c>
      <c r="Y4" s="4" t="str">
        <f>Table1[[#This Row],[First_Name]]&amp;" "&amp;Table1[[#This Row],[Last_Name]]</f>
        <v>Karl Gallagher</v>
      </c>
      <c r="Z4" s="4" t="str">
        <f>IF(T:T&gt;Table1[[#This Row],[Estimated_Days_to_Deliver]],"Late",IF(T:T=Table1[[#This Row],[Estimated_Days_to_Deliver]],"Intime","BeforeTime"))</f>
        <v>BeforeTime</v>
      </c>
      <c r="AA4" s="4">
        <f>MONTH(Table1[[#This Row],[Order_Date]])</f>
        <v>2</v>
      </c>
      <c r="AB4" s="13">
        <f>Table1[[#This Row],[Amount]]*Table1[[#This Row],[Discount_Percent]]</f>
        <v>30.380999999999997</v>
      </c>
    </row>
    <row r="5" spans="1:40" ht="14.25" customHeight="1">
      <c r="A5" s="1" t="s">
        <v>51</v>
      </c>
      <c r="B5" s="1" t="s">
        <v>52</v>
      </c>
      <c r="C5" s="1" t="s">
        <v>53</v>
      </c>
      <c r="D5" s="1">
        <v>60</v>
      </c>
      <c r="E5" s="1" t="s">
        <v>54</v>
      </c>
      <c r="F5" s="1" t="s">
        <v>32</v>
      </c>
      <c r="G5" s="1" t="s">
        <v>55</v>
      </c>
      <c r="H5" s="1" t="s">
        <v>56</v>
      </c>
      <c r="I5" s="1" t="s">
        <v>62</v>
      </c>
      <c r="J5" s="24">
        <v>45426</v>
      </c>
      <c r="K5" s="1" t="s">
        <v>63</v>
      </c>
      <c r="L5" s="1" t="s">
        <v>64</v>
      </c>
      <c r="M5" s="1">
        <v>405</v>
      </c>
      <c r="N5" s="1">
        <v>5</v>
      </c>
      <c r="O5" s="1" t="s">
        <v>65</v>
      </c>
      <c r="P5" s="1">
        <v>6</v>
      </c>
      <c r="Q5" s="1">
        <v>47</v>
      </c>
      <c r="R5" s="24">
        <v>45430</v>
      </c>
      <c r="S5" s="1" t="s">
        <v>66</v>
      </c>
      <c r="T5" s="4">
        <f>Table1[[#This Row],[Delivery_Date]]-Table1[[#This Row],[Order_Date]]</f>
        <v>4</v>
      </c>
      <c r="U5" s="4">
        <f>Table1[[#This Row],[Price]]*Table1[[#This Row],[Quantity]]</f>
        <v>2025</v>
      </c>
      <c r="V5" s="11">
        <f t="shared" si="0"/>
        <v>0</v>
      </c>
      <c r="W5" s="4">
        <f>Table1[[#This Row],[Amount]]-(Table1[[#This Row],[Amount]]*Table1[[#This Row],[Discount_Percent]])</f>
        <v>2025</v>
      </c>
      <c r="X5" s="4">
        <f>IF(O5="DEL0", Table1[[#This Row],[Discounted_Amount]],Table1[[#This Row],[Discounted_Amount]]+Table1[[#This Row],[Delivery_Charge]])</f>
        <v>2025</v>
      </c>
      <c r="Y5" s="4" t="str">
        <f>Table1[[#This Row],[First_Name]]&amp;" "&amp;Table1[[#This Row],[Last_Name]]</f>
        <v>Karl Gallagher</v>
      </c>
      <c r="Z5" s="4" t="str">
        <f>IF(T:T&gt;Table1[[#This Row],[Estimated_Days_to_Deliver]],"Late",IF(T:T=Table1[[#This Row],[Estimated_Days_to_Deliver]],"Intime","BeforeTime"))</f>
        <v>BeforeTime</v>
      </c>
      <c r="AA5" s="4">
        <f>MONTH(Table1[[#This Row],[Order_Date]])</f>
        <v>5</v>
      </c>
      <c r="AB5" s="13">
        <f>Table1[[#This Row],[Amount]]*Table1[[#This Row],[Discount_Percent]]</f>
        <v>0</v>
      </c>
    </row>
    <row r="6" spans="1:40" ht="14.25" customHeight="1">
      <c r="A6" s="1" t="s">
        <v>67</v>
      </c>
      <c r="B6" s="1" t="s">
        <v>68</v>
      </c>
      <c r="C6" s="1" t="s">
        <v>69</v>
      </c>
      <c r="D6" s="1">
        <v>49</v>
      </c>
      <c r="E6" s="1" t="s">
        <v>54</v>
      </c>
      <c r="F6" s="1" t="s">
        <v>32</v>
      </c>
      <c r="G6" s="1" t="s">
        <v>70</v>
      </c>
      <c r="H6" s="1" t="s">
        <v>71</v>
      </c>
      <c r="I6" s="1" t="s">
        <v>72</v>
      </c>
      <c r="J6" s="24">
        <v>45391</v>
      </c>
      <c r="K6" s="1" t="s">
        <v>73</v>
      </c>
      <c r="L6" s="1" t="s">
        <v>49</v>
      </c>
      <c r="M6" s="1">
        <v>166.28</v>
      </c>
      <c r="N6" s="1">
        <v>1</v>
      </c>
      <c r="O6" s="1" t="s">
        <v>38</v>
      </c>
      <c r="P6" s="1">
        <v>2</v>
      </c>
      <c r="Q6" s="1">
        <v>54</v>
      </c>
      <c r="R6" s="24">
        <v>45395</v>
      </c>
      <c r="S6" s="1" t="s">
        <v>74</v>
      </c>
      <c r="T6" s="4">
        <f>Table1[[#This Row],[Delivery_Date]]-Table1[[#This Row],[Order_Date]]</f>
        <v>4</v>
      </c>
      <c r="U6" s="4">
        <f>Table1[[#This Row],[Price]]*Table1[[#This Row],[Quantity]]</f>
        <v>166.28</v>
      </c>
      <c r="V6" s="11">
        <f t="shared" si="0"/>
        <v>0.08</v>
      </c>
      <c r="W6" s="4">
        <f>Table1[[#This Row],[Amount]]-(Table1[[#This Row],[Amount]]*Table1[[#This Row],[Discount_Percent]])</f>
        <v>152.9776</v>
      </c>
      <c r="X6" s="4">
        <f>IF(O6="DEL0", Table1[[#This Row],[Discounted_Amount]],Table1[[#This Row],[Discounted_Amount]]+Table1[[#This Row],[Delivery_Charge]])</f>
        <v>206.9776</v>
      </c>
      <c r="Y6" s="4" t="str">
        <f>Table1[[#This Row],[First_Name]]&amp;" "&amp;Table1[[#This Row],[Last_Name]]</f>
        <v>Angela Horne</v>
      </c>
      <c r="Z6" s="4" t="str">
        <f>IF(T:T&gt;Table1[[#This Row],[Estimated_Days_to_Deliver]],"Late",IF(T:T=Table1[[#This Row],[Estimated_Days_to_Deliver]],"Intime","BeforeTime"))</f>
        <v>Late</v>
      </c>
      <c r="AA6" s="4">
        <f>MONTH(Table1[[#This Row],[Order_Date]])</f>
        <v>4</v>
      </c>
      <c r="AB6" s="13">
        <f>Table1[[#This Row],[Amount]]*Table1[[#This Row],[Discount_Percent]]</f>
        <v>13.3024</v>
      </c>
    </row>
    <row r="7" spans="1:40" ht="14.25" customHeight="1">
      <c r="A7" s="1" t="s">
        <v>75</v>
      </c>
      <c r="B7" s="1" t="s">
        <v>76</v>
      </c>
      <c r="C7" s="1" t="s">
        <v>77</v>
      </c>
      <c r="D7" s="1">
        <v>53</v>
      </c>
      <c r="E7" s="1" t="s">
        <v>54</v>
      </c>
      <c r="F7" s="1" t="s">
        <v>78</v>
      </c>
      <c r="G7" s="1" t="s">
        <v>79</v>
      </c>
      <c r="H7" s="1" t="s">
        <v>80</v>
      </c>
      <c r="I7" s="1" t="s">
        <v>81</v>
      </c>
      <c r="J7" s="24">
        <v>45543</v>
      </c>
      <c r="K7" s="1" t="s">
        <v>82</v>
      </c>
      <c r="L7" s="1" t="s">
        <v>83</v>
      </c>
      <c r="M7" s="1">
        <v>330.11</v>
      </c>
      <c r="N7" s="1">
        <v>4</v>
      </c>
      <c r="O7" s="1" t="s">
        <v>60</v>
      </c>
      <c r="P7" s="1">
        <v>6</v>
      </c>
      <c r="Q7" s="1">
        <v>39</v>
      </c>
      <c r="R7" s="24">
        <v>45547</v>
      </c>
      <c r="S7" s="1" t="s">
        <v>84</v>
      </c>
      <c r="T7" s="4">
        <f>Table1[[#This Row],[Delivery_Date]]-Table1[[#This Row],[Order_Date]]</f>
        <v>4</v>
      </c>
      <c r="U7" s="4">
        <f>Table1[[#This Row],[Price]]*Table1[[#This Row],[Quantity]]</f>
        <v>1320.44</v>
      </c>
      <c r="V7" s="11">
        <f t="shared" si="0"/>
        <v>0.15</v>
      </c>
      <c r="W7" s="4">
        <f>Table1[[#This Row],[Amount]]-(Table1[[#This Row],[Amount]]*Table1[[#This Row],[Discount_Percent]])</f>
        <v>1122.374</v>
      </c>
      <c r="X7" s="4">
        <f>IF(O7="DEL0", Table1[[#This Row],[Discounted_Amount]],Table1[[#This Row],[Discounted_Amount]]+Table1[[#This Row],[Delivery_Charge]])</f>
        <v>1161.374</v>
      </c>
      <c r="Y7" s="4" t="str">
        <f>Table1[[#This Row],[First_Name]]&amp;" "&amp;Table1[[#This Row],[Last_Name]]</f>
        <v>Christine West</v>
      </c>
      <c r="Z7" s="4" t="str">
        <f>IF(T:T&gt;Table1[[#This Row],[Estimated_Days_to_Deliver]],"Late",IF(T:T=Table1[[#This Row],[Estimated_Days_to_Deliver]],"Intime","BeforeTime"))</f>
        <v>BeforeTime</v>
      </c>
      <c r="AA7" s="4">
        <f>MONTH(Table1[[#This Row],[Order_Date]])</f>
        <v>9</v>
      </c>
      <c r="AB7" s="13">
        <f>Table1[[#This Row],[Amount]]*Table1[[#This Row],[Discount_Percent]]</f>
        <v>198.066</v>
      </c>
    </row>
    <row r="8" spans="1:40" ht="14.25" customHeight="1">
      <c r="A8" s="1" t="s">
        <v>51</v>
      </c>
      <c r="B8" s="1" t="s">
        <v>52</v>
      </c>
      <c r="C8" s="1" t="s">
        <v>53</v>
      </c>
      <c r="D8" s="1">
        <v>60</v>
      </c>
      <c r="E8" s="1" t="s">
        <v>54</v>
      </c>
      <c r="F8" s="1" t="s">
        <v>32</v>
      </c>
      <c r="G8" s="1" t="s">
        <v>55</v>
      </c>
      <c r="H8" s="1" t="s">
        <v>56</v>
      </c>
      <c r="I8" s="1" t="s">
        <v>85</v>
      </c>
      <c r="J8" s="24">
        <v>45662</v>
      </c>
      <c r="K8" s="1" t="s">
        <v>86</v>
      </c>
      <c r="L8" s="1" t="s">
        <v>37</v>
      </c>
      <c r="M8" s="1">
        <v>308.88</v>
      </c>
      <c r="N8" s="1">
        <v>5</v>
      </c>
      <c r="O8" s="1" t="s">
        <v>87</v>
      </c>
      <c r="P8" s="1">
        <v>5</v>
      </c>
      <c r="Q8" s="1">
        <v>47</v>
      </c>
      <c r="R8" s="24">
        <v>45665</v>
      </c>
      <c r="S8" s="1" t="s">
        <v>88</v>
      </c>
      <c r="T8" s="4">
        <f>Table1[[#This Row],[Delivery_Date]]-Table1[[#This Row],[Order_Date]]</f>
        <v>3</v>
      </c>
      <c r="U8" s="4">
        <f>Table1[[#This Row],[Price]]*Table1[[#This Row],[Quantity]]</f>
        <v>1544.4</v>
      </c>
      <c r="V8" s="11">
        <f t="shared" si="0"/>
        <v>0.2</v>
      </c>
      <c r="W8" s="4">
        <f>Table1[[#This Row],[Amount]]-(Table1[[#This Row],[Amount]]*Table1[[#This Row],[Discount_Percent]])</f>
        <v>1235.52</v>
      </c>
      <c r="X8" s="4">
        <f>IF(O8="DEL0", Table1[[#This Row],[Discounted_Amount]],Table1[[#This Row],[Discounted_Amount]]+Table1[[#This Row],[Delivery_Charge]])</f>
        <v>1282.52</v>
      </c>
      <c r="Y8" s="4" t="str">
        <f>Table1[[#This Row],[First_Name]]&amp;" "&amp;Table1[[#This Row],[Last_Name]]</f>
        <v>Karl Gallagher</v>
      </c>
      <c r="Z8" s="4" t="str">
        <f>IF(T:T&gt;Table1[[#This Row],[Estimated_Days_to_Deliver]],"Late",IF(T:T=Table1[[#This Row],[Estimated_Days_to_Deliver]],"Intime","BeforeTime"))</f>
        <v>BeforeTime</v>
      </c>
      <c r="AA8" s="4">
        <f>MONTH(Table1[[#This Row],[Order_Date]])</f>
        <v>1</v>
      </c>
      <c r="AB8" s="13">
        <f>Table1[[#This Row],[Amount]]*Table1[[#This Row],[Discount_Percent]]</f>
        <v>308.88000000000005</v>
      </c>
    </row>
    <row r="9" spans="1:40" ht="14.25" customHeight="1">
      <c r="A9" s="1" t="s">
        <v>89</v>
      </c>
      <c r="B9" s="1" t="s">
        <v>90</v>
      </c>
      <c r="C9" s="1" t="s">
        <v>91</v>
      </c>
      <c r="D9" s="1">
        <v>26</v>
      </c>
      <c r="E9" s="1" t="s">
        <v>43</v>
      </c>
      <c r="F9" s="1" t="s">
        <v>92</v>
      </c>
      <c r="G9" s="1" t="s">
        <v>93</v>
      </c>
      <c r="H9" s="1" t="s">
        <v>94</v>
      </c>
      <c r="I9" s="1" t="s">
        <v>95</v>
      </c>
      <c r="J9" s="24">
        <v>45459</v>
      </c>
      <c r="K9" s="1" t="s">
        <v>96</v>
      </c>
      <c r="L9" s="1" t="s">
        <v>97</v>
      </c>
      <c r="M9" s="1">
        <v>363.64</v>
      </c>
      <c r="N9" s="1">
        <v>3</v>
      </c>
      <c r="O9" s="1" t="s">
        <v>98</v>
      </c>
      <c r="P9" s="1">
        <v>5</v>
      </c>
      <c r="Q9" s="1">
        <v>70</v>
      </c>
      <c r="R9" s="24">
        <v>45464</v>
      </c>
      <c r="S9" s="1" t="s">
        <v>99</v>
      </c>
      <c r="T9" s="4">
        <f>Table1[[#This Row],[Delivery_Date]]-Table1[[#This Row],[Order_Date]]</f>
        <v>5</v>
      </c>
      <c r="U9" s="4">
        <f>Table1[[#This Row],[Price]]*Table1[[#This Row],[Quantity]]</f>
        <v>1090.92</v>
      </c>
      <c r="V9" s="11">
        <f t="shared" si="0"/>
        <v>0.1</v>
      </c>
      <c r="W9" s="4">
        <f>Table1[[#This Row],[Amount]]-(Table1[[#This Row],[Amount]]*Table1[[#This Row],[Discount_Percent]])</f>
        <v>981.82800000000009</v>
      </c>
      <c r="X9" s="4">
        <f>IF(O9="DEL0", Table1[[#This Row],[Discounted_Amount]],Table1[[#This Row],[Discounted_Amount]]+Table1[[#This Row],[Delivery_Charge]])</f>
        <v>1051.828</v>
      </c>
      <c r="Y9" s="4" t="str">
        <f>Table1[[#This Row],[First_Name]]&amp;" "&amp;Table1[[#This Row],[Last_Name]]</f>
        <v>David Delacruz</v>
      </c>
      <c r="Z9" s="4" t="str">
        <f>IF(T:T&gt;Table1[[#This Row],[Estimated_Days_to_Deliver]],"Late",IF(T:T=Table1[[#This Row],[Estimated_Days_to_Deliver]],"Intime","BeforeTime"))</f>
        <v>Intime</v>
      </c>
      <c r="AA9" s="4">
        <f>MONTH(Table1[[#This Row],[Order_Date]])</f>
        <v>6</v>
      </c>
      <c r="AB9" s="13">
        <f>Table1[[#This Row],[Amount]]*Table1[[#This Row],[Discount_Percent]]</f>
        <v>109.09200000000001</v>
      </c>
    </row>
    <row r="10" spans="1:40" ht="14.25" customHeight="1">
      <c r="A10" s="1" t="s">
        <v>100</v>
      </c>
      <c r="B10" s="1" t="s">
        <v>101</v>
      </c>
      <c r="C10" s="1" t="s">
        <v>102</v>
      </c>
      <c r="D10" s="1">
        <v>39</v>
      </c>
      <c r="E10" s="1" t="s">
        <v>31</v>
      </c>
      <c r="F10" s="1" t="s">
        <v>32</v>
      </c>
      <c r="G10" s="1" t="s">
        <v>103</v>
      </c>
      <c r="H10" s="1" t="s">
        <v>104</v>
      </c>
      <c r="I10" s="1" t="s">
        <v>105</v>
      </c>
      <c r="J10" s="24">
        <v>45040</v>
      </c>
      <c r="K10" s="1" t="s">
        <v>106</v>
      </c>
      <c r="L10" s="1" t="s">
        <v>107</v>
      </c>
      <c r="M10" s="1">
        <v>275.44</v>
      </c>
      <c r="N10" s="1">
        <v>1</v>
      </c>
      <c r="O10" s="1" t="s">
        <v>38</v>
      </c>
      <c r="P10" s="1">
        <v>5</v>
      </c>
      <c r="Q10" s="1">
        <v>63</v>
      </c>
      <c r="R10" s="24">
        <v>45042</v>
      </c>
      <c r="S10" s="1" t="s">
        <v>108</v>
      </c>
      <c r="T10" s="4">
        <f>Table1[[#This Row],[Delivery_Date]]-Table1[[#This Row],[Order_Date]]</f>
        <v>2</v>
      </c>
      <c r="U10" s="4">
        <f>Table1[[#This Row],[Price]]*Table1[[#This Row],[Quantity]]</f>
        <v>275.44</v>
      </c>
      <c r="V10" s="11">
        <f t="shared" si="0"/>
        <v>0.08</v>
      </c>
      <c r="W10" s="4">
        <f>Table1[[#This Row],[Amount]]-(Table1[[#This Row],[Amount]]*Table1[[#This Row],[Discount_Percent]])</f>
        <v>253.40479999999999</v>
      </c>
      <c r="X10" s="4">
        <f>IF(O10="DEL0", Table1[[#This Row],[Discounted_Amount]],Table1[[#This Row],[Discounted_Amount]]+Table1[[#This Row],[Delivery_Charge]])</f>
        <v>316.40480000000002</v>
      </c>
      <c r="Y10" s="4" t="str">
        <f>Table1[[#This Row],[First_Name]]&amp;" "&amp;Table1[[#This Row],[Last_Name]]</f>
        <v>Marcus Valenzuela</v>
      </c>
      <c r="Z10" s="4" t="str">
        <f>IF(T:T&gt;Table1[[#This Row],[Estimated_Days_to_Deliver]],"Late",IF(T:T=Table1[[#This Row],[Estimated_Days_to_Deliver]],"Intime","BeforeTime"))</f>
        <v>BeforeTime</v>
      </c>
      <c r="AA10" s="4">
        <f>MONTH(Table1[[#This Row],[Order_Date]])</f>
        <v>4</v>
      </c>
      <c r="AB10" s="13">
        <f>Table1[[#This Row],[Amount]]*Table1[[#This Row],[Discount_Percent]]</f>
        <v>22.0352</v>
      </c>
    </row>
    <row r="11" spans="1:40" ht="14.25" customHeight="1">
      <c r="A11" s="1" t="s">
        <v>109</v>
      </c>
      <c r="B11" s="1" t="s">
        <v>110</v>
      </c>
      <c r="C11" s="1" t="s">
        <v>111</v>
      </c>
      <c r="D11" s="1">
        <v>48</v>
      </c>
      <c r="E11" s="1" t="s">
        <v>54</v>
      </c>
      <c r="F11" s="1" t="s">
        <v>44</v>
      </c>
      <c r="G11" s="1" t="s">
        <v>112</v>
      </c>
      <c r="H11" s="1" t="s">
        <v>113</v>
      </c>
      <c r="I11" s="1" t="s">
        <v>114</v>
      </c>
      <c r="J11" s="24">
        <v>45282</v>
      </c>
      <c r="K11" s="1" t="s">
        <v>115</v>
      </c>
      <c r="L11" s="1" t="s">
        <v>116</v>
      </c>
      <c r="M11" s="1">
        <v>48.45</v>
      </c>
      <c r="N11" s="1">
        <v>1</v>
      </c>
      <c r="O11" s="1" t="s">
        <v>60</v>
      </c>
      <c r="P11" s="1">
        <v>5</v>
      </c>
      <c r="Q11" s="1">
        <v>59</v>
      </c>
      <c r="R11" s="24">
        <v>45287</v>
      </c>
      <c r="S11" s="1" t="s">
        <v>117</v>
      </c>
      <c r="T11" s="4">
        <f>Table1[[#This Row],[Delivery_Date]]-Table1[[#This Row],[Order_Date]]</f>
        <v>5</v>
      </c>
      <c r="U11" s="4">
        <f>Table1[[#This Row],[Price]]*Table1[[#This Row],[Quantity]]</f>
        <v>48.45</v>
      </c>
      <c r="V11" s="11">
        <f t="shared" si="0"/>
        <v>0.15</v>
      </c>
      <c r="W11" s="4">
        <f>Table1[[#This Row],[Amount]]-(Table1[[#This Row],[Amount]]*Table1[[#This Row],[Discount_Percent]])</f>
        <v>41.182500000000005</v>
      </c>
      <c r="X11" s="4">
        <f>IF(O11="DEL0", Table1[[#This Row],[Discounted_Amount]],Table1[[#This Row],[Discounted_Amount]]+Table1[[#This Row],[Delivery_Charge]])</f>
        <v>100.1825</v>
      </c>
      <c r="Y11" s="4" t="str">
        <f>Table1[[#This Row],[First_Name]]&amp;" "&amp;Table1[[#This Row],[Last_Name]]</f>
        <v>Debra Rodriguez</v>
      </c>
      <c r="Z11" s="4" t="str">
        <f>IF(T:T&gt;Table1[[#This Row],[Estimated_Days_to_Deliver]],"Late",IF(T:T=Table1[[#This Row],[Estimated_Days_to_Deliver]],"Intime","BeforeTime"))</f>
        <v>Intime</v>
      </c>
      <c r="AA11" s="4">
        <f>MONTH(Table1[[#This Row],[Order_Date]])</f>
        <v>12</v>
      </c>
      <c r="AB11" s="13">
        <f>Table1[[#This Row],[Amount]]*Table1[[#This Row],[Discount_Percent]]</f>
        <v>7.2675000000000001</v>
      </c>
    </row>
    <row r="12" spans="1:40" ht="14.25" customHeight="1">
      <c r="A12" s="1" t="s">
        <v>51</v>
      </c>
      <c r="B12" s="1" t="s">
        <v>52</v>
      </c>
      <c r="C12" s="1" t="s">
        <v>53</v>
      </c>
      <c r="D12" s="1">
        <v>60</v>
      </c>
      <c r="E12" s="1" t="s">
        <v>54</v>
      </c>
      <c r="F12" s="1" t="s">
        <v>32</v>
      </c>
      <c r="G12" s="1" t="s">
        <v>55</v>
      </c>
      <c r="H12" s="1" t="s">
        <v>56</v>
      </c>
      <c r="I12" s="1" t="s">
        <v>118</v>
      </c>
      <c r="J12" s="24">
        <v>45588</v>
      </c>
      <c r="K12" s="1" t="s">
        <v>119</v>
      </c>
      <c r="L12" s="1" t="s">
        <v>97</v>
      </c>
      <c r="M12" s="1">
        <v>363.64</v>
      </c>
      <c r="N12" s="1">
        <v>4</v>
      </c>
      <c r="O12" s="1" t="s">
        <v>65</v>
      </c>
      <c r="P12" s="1">
        <v>5</v>
      </c>
      <c r="Q12" s="1">
        <v>35</v>
      </c>
      <c r="R12" s="24">
        <v>45590</v>
      </c>
      <c r="S12" s="1" t="s">
        <v>120</v>
      </c>
      <c r="T12" s="4">
        <f>Table1[[#This Row],[Delivery_Date]]-Table1[[#This Row],[Order_Date]]</f>
        <v>2</v>
      </c>
      <c r="U12" s="4">
        <f>Table1[[#This Row],[Price]]*Table1[[#This Row],[Quantity]]</f>
        <v>1454.56</v>
      </c>
      <c r="V12" s="11">
        <f t="shared" si="0"/>
        <v>0</v>
      </c>
      <c r="W12" s="4">
        <f>Table1[[#This Row],[Amount]]-(Table1[[#This Row],[Amount]]*Table1[[#This Row],[Discount_Percent]])</f>
        <v>1454.56</v>
      </c>
      <c r="X12" s="4">
        <f>IF(O12="DEL0", Table1[[#This Row],[Discounted_Amount]],Table1[[#This Row],[Discounted_Amount]]+Table1[[#This Row],[Delivery_Charge]])</f>
        <v>1454.56</v>
      </c>
      <c r="Y12" s="4" t="str">
        <f>Table1[[#This Row],[First_Name]]&amp;" "&amp;Table1[[#This Row],[Last_Name]]</f>
        <v>Karl Gallagher</v>
      </c>
      <c r="Z12" s="4" t="str">
        <f>IF(T:T&gt;Table1[[#This Row],[Estimated_Days_to_Deliver]],"Late",IF(T:T=Table1[[#This Row],[Estimated_Days_to_Deliver]],"Intime","BeforeTime"))</f>
        <v>BeforeTime</v>
      </c>
      <c r="AA12" s="4">
        <f>MONTH(Table1[[#This Row],[Order_Date]])</f>
        <v>10</v>
      </c>
      <c r="AB12" s="13">
        <f>Table1[[#This Row],[Amount]]*Table1[[#This Row],[Discount_Percent]]</f>
        <v>0</v>
      </c>
    </row>
    <row r="13" spans="1:40" ht="14.25" customHeight="1">
      <c r="A13" s="1" t="s">
        <v>121</v>
      </c>
      <c r="B13" s="1" t="s">
        <v>122</v>
      </c>
      <c r="C13" s="1" t="s">
        <v>123</v>
      </c>
      <c r="D13" s="1">
        <v>20</v>
      </c>
      <c r="E13" s="1" t="s">
        <v>31</v>
      </c>
      <c r="F13" s="1" t="s">
        <v>92</v>
      </c>
      <c r="G13" s="1" t="s">
        <v>124</v>
      </c>
      <c r="H13" s="1" t="s">
        <v>125</v>
      </c>
      <c r="I13" s="1" t="s">
        <v>126</v>
      </c>
      <c r="J13" s="24">
        <v>45498</v>
      </c>
      <c r="K13" s="1" t="s">
        <v>127</v>
      </c>
      <c r="L13" s="1" t="s">
        <v>128</v>
      </c>
      <c r="M13" s="1">
        <v>257.06</v>
      </c>
      <c r="N13" s="1">
        <v>3</v>
      </c>
      <c r="O13" s="1" t="s">
        <v>65</v>
      </c>
      <c r="P13" s="1">
        <v>5</v>
      </c>
      <c r="Q13" s="1">
        <v>62</v>
      </c>
      <c r="R13" s="24">
        <v>45499</v>
      </c>
      <c r="S13" s="1" t="s">
        <v>129</v>
      </c>
      <c r="T13" s="4">
        <f>Table1[[#This Row],[Delivery_Date]]-Table1[[#This Row],[Order_Date]]</f>
        <v>1</v>
      </c>
      <c r="U13" s="4">
        <f>Table1[[#This Row],[Price]]*Table1[[#This Row],[Quantity]]</f>
        <v>771.18000000000006</v>
      </c>
      <c r="V13" s="11">
        <f t="shared" si="0"/>
        <v>0</v>
      </c>
      <c r="W13" s="4">
        <f>Table1[[#This Row],[Amount]]-(Table1[[#This Row],[Amount]]*Table1[[#This Row],[Discount_Percent]])</f>
        <v>771.18000000000006</v>
      </c>
      <c r="X13" s="4">
        <f>IF(O13="DEL0", Table1[[#This Row],[Discounted_Amount]],Table1[[#This Row],[Discounted_Amount]]+Table1[[#This Row],[Delivery_Charge]])</f>
        <v>771.18000000000006</v>
      </c>
      <c r="Y13" s="4" t="str">
        <f>Table1[[#This Row],[First_Name]]&amp;" "&amp;Table1[[#This Row],[Last_Name]]</f>
        <v>Bobby Forbes</v>
      </c>
      <c r="Z13" s="4" t="str">
        <f>IF(T:T&gt;Table1[[#This Row],[Estimated_Days_to_Deliver]],"Late",IF(T:T=Table1[[#This Row],[Estimated_Days_to_Deliver]],"Intime","BeforeTime"))</f>
        <v>BeforeTime</v>
      </c>
      <c r="AA13" s="4">
        <f>MONTH(Table1[[#This Row],[Order_Date]])</f>
        <v>7</v>
      </c>
      <c r="AB13" s="13">
        <f>Table1[[#This Row],[Amount]]*Table1[[#This Row],[Discount_Percent]]</f>
        <v>0</v>
      </c>
    </row>
    <row r="14" spans="1:40" ht="14.25" customHeight="1">
      <c r="A14" s="1" t="s">
        <v>130</v>
      </c>
      <c r="B14" s="1" t="s">
        <v>131</v>
      </c>
      <c r="C14" s="1" t="s">
        <v>132</v>
      </c>
      <c r="D14" s="1">
        <v>30</v>
      </c>
      <c r="E14" s="1" t="s">
        <v>43</v>
      </c>
      <c r="F14" s="1" t="s">
        <v>44</v>
      </c>
      <c r="G14" s="1" t="s">
        <v>133</v>
      </c>
      <c r="H14" s="1" t="s">
        <v>134</v>
      </c>
      <c r="I14" s="1" t="s">
        <v>135</v>
      </c>
      <c r="J14" s="24">
        <v>44997</v>
      </c>
      <c r="K14" s="1" t="s">
        <v>136</v>
      </c>
      <c r="L14" s="1" t="s">
        <v>137</v>
      </c>
      <c r="M14" s="1">
        <v>175.93</v>
      </c>
      <c r="N14" s="1">
        <v>4</v>
      </c>
      <c r="O14" s="1" t="s">
        <v>38</v>
      </c>
      <c r="P14" s="1">
        <v>5</v>
      </c>
      <c r="Q14" s="1">
        <v>65</v>
      </c>
      <c r="R14" s="24">
        <v>44999</v>
      </c>
      <c r="S14" s="1" t="s">
        <v>138</v>
      </c>
      <c r="T14" s="4">
        <f>Table1[[#This Row],[Delivery_Date]]-Table1[[#This Row],[Order_Date]]</f>
        <v>2</v>
      </c>
      <c r="U14" s="4">
        <f>Table1[[#This Row],[Price]]*Table1[[#This Row],[Quantity]]</f>
        <v>703.72</v>
      </c>
      <c r="V14" s="11">
        <f t="shared" si="0"/>
        <v>0.08</v>
      </c>
      <c r="W14" s="4">
        <f>Table1[[#This Row],[Amount]]-(Table1[[#This Row],[Amount]]*Table1[[#This Row],[Discount_Percent]])</f>
        <v>647.42240000000004</v>
      </c>
      <c r="X14" s="4">
        <f>IF(O14="DEL0", Table1[[#This Row],[Discounted_Amount]],Table1[[#This Row],[Discounted_Amount]]+Table1[[#This Row],[Delivery_Charge]])</f>
        <v>712.42240000000004</v>
      </c>
      <c r="Y14" s="4" t="str">
        <f>Table1[[#This Row],[First_Name]]&amp;" "&amp;Table1[[#This Row],[Last_Name]]</f>
        <v>Joseph Stewart</v>
      </c>
      <c r="Z14" s="4" t="str">
        <f>IF(T:T&gt;Table1[[#This Row],[Estimated_Days_to_Deliver]],"Late",IF(T:T=Table1[[#This Row],[Estimated_Days_to_Deliver]],"Intime","BeforeTime"))</f>
        <v>BeforeTime</v>
      </c>
      <c r="AA14" s="4">
        <f>MONTH(Table1[[#This Row],[Order_Date]])</f>
        <v>3</v>
      </c>
      <c r="AB14" s="13">
        <f>Table1[[#This Row],[Amount]]*Table1[[#This Row],[Discount_Percent]]</f>
        <v>56.297600000000003</v>
      </c>
    </row>
    <row r="15" spans="1:40" ht="14.25" customHeight="1">
      <c r="A15" s="1" t="s">
        <v>139</v>
      </c>
      <c r="B15" s="1" t="s">
        <v>140</v>
      </c>
      <c r="C15" s="1" t="s">
        <v>141</v>
      </c>
      <c r="D15" s="1">
        <v>25</v>
      </c>
      <c r="E15" s="1" t="s">
        <v>54</v>
      </c>
      <c r="F15" s="1" t="s">
        <v>142</v>
      </c>
      <c r="G15" s="1" t="s">
        <v>143</v>
      </c>
      <c r="H15" s="1" t="s">
        <v>144</v>
      </c>
      <c r="I15" s="1" t="s">
        <v>145</v>
      </c>
      <c r="J15" s="24">
        <v>45267</v>
      </c>
      <c r="K15" s="1" t="s">
        <v>146</v>
      </c>
      <c r="L15" s="1" t="s">
        <v>147</v>
      </c>
      <c r="M15" s="1">
        <v>190.1</v>
      </c>
      <c r="N15" s="1">
        <v>1</v>
      </c>
      <c r="O15" s="1" t="s">
        <v>65</v>
      </c>
      <c r="P15" s="1">
        <v>5</v>
      </c>
      <c r="Q15" s="1">
        <v>70</v>
      </c>
      <c r="R15" s="24">
        <v>45270</v>
      </c>
      <c r="S15" s="1" t="s">
        <v>148</v>
      </c>
      <c r="T15" s="4">
        <f>Table1[[#This Row],[Delivery_Date]]-Table1[[#This Row],[Order_Date]]</f>
        <v>3</v>
      </c>
      <c r="U15" s="4">
        <f>Table1[[#This Row],[Price]]*Table1[[#This Row],[Quantity]]</f>
        <v>190.1</v>
      </c>
      <c r="V15" s="11">
        <f t="shared" si="0"/>
        <v>0</v>
      </c>
      <c r="W15" s="4">
        <f>Table1[[#This Row],[Amount]]-(Table1[[#This Row],[Amount]]*Table1[[#This Row],[Discount_Percent]])</f>
        <v>190.1</v>
      </c>
      <c r="X15" s="4">
        <f>IF(O15="DEL0", Table1[[#This Row],[Discounted_Amount]],Table1[[#This Row],[Discounted_Amount]]+Table1[[#This Row],[Delivery_Charge]])</f>
        <v>190.1</v>
      </c>
      <c r="Y15" s="4" t="str">
        <f>Table1[[#This Row],[First_Name]]&amp;" "&amp;Table1[[#This Row],[Last_Name]]</f>
        <v>Kara Brennan</v>
      </c>
      <c r="Z15" s="4" t="str">
        <f>IF(T:T&gt;Table1[[#This Row],[Estimated_Days_to_Deliver]],"Late",IF(T:T=Table1[[#This Row],[Estimated_Days_to_Deliver]],"Intime","BeforeTime"))</f>
        <v>BeforeTime</v>
      </c>
      <c r="AA15" s="4">
        <f>MONTH(Table1[[#This Row],[Order_Date]])</f>
        <v>12</v>
      </c>
      <c r="AB15" s="13">
        <f>Table1[[#This Row],[Amount]]*Table1[[#This Row],[Discount_Percent]]</f>
        <v>0</v>
      </c>
    </row>
    <row r="16" spans="1:40" ht="14.25" customHeight="1">
      <c r="A16" s="1" t="s">
        <v>149</v>
      </c>
      <c r="B16" s="1" t="s">
        <v>150</v>
      </c>
      <c r="C16" s="1" t="s">
        <v>151</v>
      </c>
      <c r="D16" s="1">
        <v>44</v>
      </c>
      <c r="E16" s="1" t="s">
        <v>43</v>
      </c>
      <c r="F16" s="1" t="s">
        <v>92</v>
      </c>
      <c r="G16" s="1" t="s">
        <v>152</v>
      </c>
      <c r="H16" s="1" t="s">
        <v>153</v>
      </c>
      <c r="I16" s="1" t="s">
        <v>154</v>
      </c>
      <c r="J16" s="24">
        <v>45377</v>
      </c>
      <c r="K16" s="1" t="s">
        <v>155</v>
      </c>
      <c r="L16" s="1" t="s">
        <v>156</v>
      </c>
      <c r="M16" s="1">
        <v>220.27</v>
      </c>
      <c r="N16" s="1">
        <v>2</v>
      </c>
      <c r="O16" s="1" t="s">
        <v>65</v>
      </c>
      <c r="P16" s="1">
        <v>5</v>
      </c>
      <c r="Q16" s="1">
        <v>39</v>
      </c>
      <c r="R16" s="24">
        <v>45382</v>
      </c>
      <c r="S16" s="1" t="s">
        <v>157</v>
      </c>
      <c r="T16" s="4">
        <f>Table1[[#This Row],[Delivery_Date]]-Table1[[#This Row],[Order_Date]]</f>
        <v>5</v>
      </c>
      <c r="U16" s="4">
        <f>Table1[[#This Row],[Price]]*Table1[[#This Row],[Quantity]]</f>
        <v>440.54</v>
      </c>
      <c r="V16" s="11">
        <f t="shared" si="0"/>
        <v>0</v>
      </c>
      <c r="W16" s="4">
        <f>Table1[[#This Row],[Amount]]-(Table1[[#This Row],[Amount]]*Table1[[#This Row],[Discount_Percent]])</f>
        <v>440.54</v>
      </c>
      <c r="X16" s="4">
        <f>IF(O16="DEL0", Table1[[#This Row],[Discounted_Amount]],Table1[[#This Row],[Discounted_Amount]]+Table1[[#This Row],[Delivery_Charge]])</f>
        <v>440.54</v>
      </c>
      <c r="Y16" s="4" t="str">
        <f>Table1[[#This Row],[First_Name]]&amp;" "&amp;Table1[[#This Row],[Last_Name]]</f>
        <v>Amy Reid</v>
      </c>
      <c r="Z16" s="4" t="str">
        <f>IF(T:T&gt;Table1[[#This Row],[Estimated_Days_to_Deliver]],"Late",IF(T:T=Table1[[#This Row],[Estimated_Days_to_Deliver]],"Intime","BeforeTime"))</f>
        <v>Intime</v>
      </c>
      <c r="AA16" s="4">
        <f>MONTH(Table1[[#This Row],[Order_Date]])</f>
        <v>3</v>
      </c>
      <c r="AB16" s="13">
        <f>Table1[[#This Row],[Amount]]*Table1[[#This Row],[Discount_Percent]]</f>
        <v>0</v>
      </c>
    </row>
    <row r="17" spans="1:29" ht="14.25" customHeight="1">
      <c r="A17" s="1" t="s">
        <v>158</v>
      </c>
      <c r="B17" s="1" t="s">
        <v>159</v>
      </c>
      <c r="C17" s="1" t="s">
        <v>160</v>
      </c>
      <c r="D17" s="1">
        <v>24</v>
      </c>
      <c r="E17" s="1" t="s">
        <v>31</v>
      </c>
      <c r="F17" s="1" t="s">
        <v>161</v>
      </c>
      <c r="G17" s="1" t="s">
        <v>162</v>
      </c>
      <c r="H17" s="1" t="s">
        <v>163</v>
      </c>
      <c r="I17" s="1" t="s">
        <v>164</v>
      </c>
      <c r="J17" s="24">
        <v>45079</v>
      </c>
      <c r="K17" s="1" t="s">
        <v>165</v>
      </c>
      <c r="L17" s="1" t="s">
        <v>83</v>
      </c>
      <c r="M17" s="1">
        <v>330.11</v>
      </c>
      <c r="N17" s="1">
        <v>4</v>
      </c>
      <c r="O17" s="1" t="s">
        <v>65</v>
      </c>
      <c r="P17" s="1">
        <v>5</v>
      </c>
      <c r="Q17" s="1">
        <v>58</v>
      </c>
      <c r="R17" s="24">
        <v>45080</v>
      </c>
      <c r="S17" s="1" t="s">
        <v>166</v>
      </c>
      <c r="T17" s="4">
        <f>Table1[[#This Row],[Delivery_Date]]-Table1[[#This Row],[Order_Date]]</f>
        <v>1</v>
      </c>
      <c r="U17" s="4">
        <f>Table1[[#This Row],[Price]]*Table1[[#This Row],[Quantity]]</f>
        <v>1320.44</v>
      </c>
      <c r="V17" s="11">
        <f t="shared" si="0"/>
        <v>0</v>
      </c>
      <c r="W17" s="4">
        <f>Table1[[#This Row],[Amount]]-(Table1[[#This Row],[Amount]]*Table1[[#This Row],[Discount_Percent]])</f>
        <v>1320.44</v>
      </c>
      <c r="X17" s="4">
        <f>IF(O17="DEL0", Table1[[#This Row],[Discounted_Amount]],Table1[[#This Row],[Discounted_Amount]]+Table1[[#This Row],[Delivery_Charge]])</f>
        <v>1320.44</v>
      </c>
      <c r="Y17" s="4" t="str">
        <f>Table1[[#This Row],[First_Name]]&amp;" "&amp;Table1[[#This Row],[Last_Name]]</f>
        <v>Joshua Campbell</v>
      </c>
      <c r="Z17" s="4" t="str">
        <f>IF(T:T&gt;Table1[[#This Row],[Estimated_Days_to_Deliver]],"Late",IF(T:T=Table1[[#This Row],[Estimated_Days_to_Deliver]],"Intime","BeforeTime"))</f>
        <v>BeforeTime</v>
      </c>
      <c r="AA17" s="4">
        <f>MONTH(Table1[[#This Row],[Order_Date]])</f>
        <v>6</v>
      </c>
      <c r="AB17" s="13">
        <f>Table1[[#This Row],[Amount]]*Table1[[#This Row],[Discount_Percent]]</f>
        <v>0</v>
      </c>
    </row>
    <row r="18" spans="1:29" ht="14.25" customHeight="1">
      <c r="A18" s="1" t="s">
        <v>167</v>
      </c>
      <c r="B18" s="1" t="s">
        <v>168</v>
      </c>
      <c r="C18" s="1" t="s">
        <v>169</v>
      </c>
      <c r="D18" s="1">
        <v>46</v>
      </c>
      <c r="E18" s="1" t="s">
        <v>31</v>
      </c>
      <c r="F18" s="1" t="s">
        <v>170</v>
      </c>
      <c r="G18" s="1" t="s">
        <v>171</v>
      </c>
      <c r="H18" s="1" t="s">
        <v>172</v>
      </c>
      <c r="I18" s="1" t="s">
        <v>173</v>
      </c>
      <c r="J18" s="24">
        <v>44966</v>
      </c>
      <c r="K18" s="1" t="s">
        <v>174</v>
      </c>
      <c r="L18" s="1" t="s">
        <v>175</v>
      </c>
      <c r="M18" s="1">
        <v>272.51</v>
      </c>
      <c r="N18" s="1">
        <v>4</v>
      </c>
      <c r="O18" s="1" t="s">
        <v>98</v>
      </c>
      <c r="P18" s="1">
        <v>5</v>
      </c>
      <c r="Q18" s="1">
        <v>40</v>
      </c>
      <c r="R18" s="24">
        <v>44970</v>
      </c>
      <c r="S18" s="1" t="s">
        <v>176</v>
      </c>
      <c r="T18" s="4">
        <f>Table1[[#This Row],[Delivery_Date]]-Table1[[#This Row],[Order_Date]]</f>
        <v>4</v>
      </c>
      <c r="U18" s="4">
        <f>Table1[[#This Row],[Price]]*Table1[[#This Row],[Quantity]]</f>
        <v>1090.04</v>
      </c>
      <c r="V18" s="11">
        <f t="shared" si="0"/>
        <v>0.1</v>
      </c>
      <c r="W18" s="4">
        <f>Table1[[#This Row],[Amount]]-(Table1[[#This Row],[Amount]]*Table1[[#This Row],[Discount_Percent]])</f>
        <v>981.03599999999994</v>
      </c>
      <c r="X18" s="4">
        <f>IF(O18="DEL0", Table1[[#This Row],[Discounted_Amount]],Table1[[#This Row],[Discounted_Amount]]+Table1[[#This Row],[Delivery_Charge]])</f>
        <v>1021.0359999999999</v>
      </c>
      <c r="Y18" s="4" t="str">
        <f>Table1[[#This Row],[First_Name]]&amp;" "&amp;Table1[[#This Row],[Last_Name]]</f>
        <v>Erin Miller</v>
      </c>
      <c r="Z18" s="4" t="str">
        <f>IF(T:T&gt;Table1[[#This Row],[Estimated_Days_to_Deliver]],"Late",IF(T:T=Table1[[#This Row],[Estimated_Days_to_Deliver]],"Intime","BeforeTime"))</f>
        <v>BeforeTime</v>
      </c>
      <c r="AA18" s="4">
        <f>MONTH(Table1[[#This Row],[Order_Date]])</f>
        <v>2</v>
      </c>
      <c r="AB18" s="13">
        <f>Table1[[#This Row],[Amount]]*Table1[[#This Row],[Discount_Percent]]</f>
        <v>109.004</v>
      </c>
      <c r="AC18" s="25" t="s">
        <v>177</v>
      </c>
    </row>
    <row r="19" spans="1:29" ht="14.25" customHeight="1">
      <c r="A19" s="1" t="s">
        <v>178</v>
      </c>
      <c r="B19" s="1" t="s">
        <v>179</v>
      </c>
      <c r="C19" s="1" t="s">
        <v>180</v>
      </c>
      <c r="D19" s="1">
        <v>36</v>
      </c>
      <c r="E19" s="1" t="s">
        <v>54</v>
      </c>
      <c r="F19" s="1" t="s">
        <v>142</v>
      </c>
      <c r="G19" s="1" t="s">
        <v>181</v>
      </c>
      <c r="H19" s="1" t="s">
        <v>182</v>
      </c>
      <c r="I19" s="1" t="s">
        <v>183</v>
      </c>
      <c r="J19" s="24">
        <v>45542</v>
      </c>
      <c r="K19" s="1" t="s">
        <v>184</v>
      </c>
      <c r="L19" s="1" t="s">
        <v>185</v>
      </c>
      <c r="M19" s="1">
        <v>104.18</v>
      </c>
      <c r="N19" s="1">
        <v>2</v>
      </c>
      <c r="O19" s="1" t="s">
        <v>65</v>
      </c>
      <c r="P19" s="1">
        <v>5</v>
      </c>
      <c r="Q19" s="1">
        <v>44</v>
      </c>
      <c r="R19" s="24">
        <v>45545</v>
      </c>
      <c r="S19" s="1" t="s">
        <v>186</v>
      </c>
      <c r="T19" s="4">
        <f>Table1[[#This Row],[Delivery_Date]]-Table1[[#This Row],[Order_Date]]</f>
        <v>3</v>
      </c>
      <c r="U19" s="4">
        <f>Table1[[#This Row],[Price]]*Table1[[#This Row],[Quantity]]</f>
        <v>208.36</v>
      </c>
      <c r="V19" s="11">
        <f t="shared" si="0"/>
        <v>0</v>
      </c>
      <c r="W19" s="4">
        <f>Table1[[#This Row],[Amount]]-(Table1[[#This Row],[Amount]]*Table1[[#This Row],[Discount_Percent]])</f>
        <v>208.36</v>
      </c>
      <c r="X19" s="4">
        <f>IF(O19="DEL0", Table1[[#This Row],[Discounted_Amount]],Table1[[#This Row],[Discounted_Amount]]+Table1[[#This Row],[Delivery_Charge]])</f>
        <v>208.36</v>
      </c>
      <c r="Y19" s="4" t="str">
        <f>Table1[[#This Row],[First_Name]]&amp;" "&amp;Table1[[#This Row],[Last_Name]]</f>
        <v>Gina Moreno</v>
      </c>
      <c r="Z19" s="4" t="str">
        <f>IF(T:T&gt;Table1[[#This Row],[Estimated_Days_to_Deliver]],"Late",IF(T:T=Table1[[#This Row],[Estimated_Days_to_Deliver]],"Intime","BeforeTime"))</f>
        <v>BeforeTime</v>
      </c>
      <c r="AA19" s="4">
        <f>MONTH(Table1[[#This Row],[Order_Date]])</f>
        <v>9</v>
      </c>
      <c r="AB19" s="13">
        <f>Table1[[#This Row],[Amount]]*Table1[[#This Row],[Discount_Percent]]</f>
        <v>0</v>
      </c>
    </row>
    <row r="20" spans="1:29" ht="14.25" customHeight="1">
      <c r="A20" s="1" t="s">
        <v>187</v>
      </c>
      <c r="B20" s="1" t="s">
        <v>188</v>
      </c>
      <c r="C20" s="1" t="s">
        <v>189</v>
      </c>
      <c r="D20" s="1">
        <v>42</v>
      </c>
      <c r="E20" s="1" t="s">
        <v>43</v>
      </c>
      <c r="F20" s="1" t="s">
        <v>170</v>
      </c>
      <c r="G20" s="1" t="s">
        <v>190</v>
      </c>
      <c r="H20" s="1" t="s">
        <v>191</v>
      </c>
      <c r="I20" s="1" t="s">
        <v>192</v>
      </c>
      <c r="J20" s="24">
        <v>45665</v>
      </c>
      <c r="K20" s="1" t="s">
        <v>193</v>
      </c>
      <c r="L20" s="1" t="s">
        <v>116</v>
      </c>
      <c r="M20" s="1">
        <v>48.45</v>
      </c>
      <c r="N20" s="1">
        <v>4</v>
      </c>
      <c r="O20" s="1" t="s">
        <v>98</v>
      </c>
      <c r="P20" s="1">
        <v>5</v>
      </c>
      <c r="Q20" s="1">
        <v>70</v>
      </c>
      <c r="R20" s="24">
        <v>45670</v>
      </c>
      <c r="S20" s="1" t="s">
        <v>194</v>
      </c>
      <c r="T20" s="4">
        <f>Table1[[#This Row],[Delivery_Date]]-Table1[[#This Row],[Order_Date]]</f>
        <v>5</v>
      </c>
      <c r="U20" s="4">
        <f>Table1[[#This Row],[Price]]*Table1[[#This Row],[Quantity]]</f>
        <v>193.8</v>
      </c>
      <c r="V20" s="11">
        <f t="shared" si="0"/>
        <v>0.1</v>
      </c>
      <c r="W20" s="4">
        <f>Table1[[#This Row],[Amount]]-(Table1[[#This Row],[Amount]]*Table1[[#This Row],[Discount_Percent]])</f>
        <v>174.42000000000002</v>
      </c>
      <c r="X20" s="4">
        <f>IF(O20="DEL0", Table1[[#This Row],[Discounted_Amount]],Table1[[#This Row],[Discounted_Amount]]+Table1[[#This Row],[Delivery_Charge]])</f>
        <v>244.42000000000002</v>
      </c>
      <c r="Y20" s="4" t="str">
        <f>Table1[[#This Row],[First_Name]]&amp;" "&amp;Table1[[#This Row],[Last_Name]]</f>
        <v>Mallory Mitchell</v>
      </c>
      <c r="Z20" s="4" t="str">
        <f>IF(T:T&gt;Table1[[#This Row],[Estimated_Days_to_Deliver]],"Late",IF(T:T=Table1[[#This Row],[Estimated_Days_to_Deliver]],"Intime","BeforeTime"))</f>
        <v>Intime</v>
      </c>
      <c r="AA20" s="4">
        <f>MONTH(Table1[[#This Row],[Order_Date]])</f>
        <v>1</v>
      </c>
      <c r="AB20" s="13">
        <f>Table1[[#This Row],[Amount]]*Table1[[#This Row],[Discount_Percent]]</f>
        <v>19.380000000000003</v>
      </c>
    </row>
    <row r="21" spans="1:29" ht="14.25" customHeight="1">
      <c r="A21" s="1" t="s">
        <v>195</v>
      </c>
      <c r="B21" s="1" t="s">
        <v>196</v>
      </c>
      <c r="C21" s="1" t="s">
        <v>197</v>
      </c>
      <c r="D21" s="1">
        <v>34</v>
      </c>
      <c r="E21" s="1" t="s">
        <v>31</v>
      </c>
      <c r="F21" s="1" t="s">
        <v>92</v>
      </c>
      <c r="G21" s="1" t="s">
        <v>198</v>
      </c>
      <c r="H21" s="1" t="s">
        <v>199</v>
      </c>
      <c r="I21" s="1" t="s">
        <v>200</v>
      </c>
      <c r="J21" s="24">
        <v>45556</v>
      </c>
      <c r="K21" s="1" t="s">
        <v>201</v>
      </c>
      <c r="L21" s="1" t="s">
        <v>202</v>
      </c>
      <c r="M21" s="1">
        <v>20.7</v>
      </c>
      <c r="N21" s="1">
        <v>5</v>
      </c>
      <c r="O21" s="1" t="s">
        <v>65</v>
      </c>
      <c r="P21" s="1">
        <v>5</v>
      </c>
      <c r="Q21" s="1">
        <v>38</v>
      </c>
      <c r="R21" s="24">
        <v>45561</v>
      </c>
      <c r="S21" s="1" t="s">
        <v>203</v>
      </c>
      <c r="T21" s="4">
        <f>Table1[[#This Row],[Delivery_Date]]-Table1[[#This Row],[Order_Date]]</f>
        <v>5</v>
      </c>
      <c r="U21" s="4">
        <f>Table1[[#This Row],[Price]]*Table1[[#This Row],[Quantity]]</f>
        <v>103.5</v>
      </c>
      <c r="V21" s="11">
        <f t="shared" si="0"/>
        <v>0</v>
      </c>
      <c r="W21" s="4">
        <f>Table1[[#This Row],[Amount]]-(Table1[[#This Row],[Amount]]*Table1[[#This Row],[Discount_Percent]])</f>
        <v>103.5</v>
      </c>
      <c r="X21" s="4">
        <f>IF(O21="DEL0", Table1[[#This Row],[Discounted_Amount]],Table1[[#This Row],[Discounted_Amount]]+Table1[[#This Row],[Delivery_Charge]])</f>
        <v>103.5</v>
      </c>
      <c r="Y21" s="4" t="str">
        <f>Table1[[#This Row],[First_Name]]&amp;" "&amp;Table1[[#This Row],[Last_Name]]</f>
        <v>Traci Jones</v>
      </c>
      <c r="Z21" s="4" t="str">
        <f>IF(T:T&gt;Table1[[#This Row],[Estimated_Days_to_Deliver]],"Late",IF(T:T=Table1[[#This Row],[Estimated_Days_to_Deliver]],"Intime","BeforeTime"))</f>
        <v>Intime</v>
      </c>
      <c r="AA21" s="4">
        <f>MONTH(Table1[[#This Row],[Order_Date]])</f>
        <v>9</v>
      </c>
      <c r="AB21" s="13">
        <f>Table1[[#This Row],[Amount]]*Table1[[#This Row],[Discount_Percent]]</f>
        <v>0</v>
      </c>
    </row>
    <row r="22" spans="1:29" ht="14.25" customHeight="1">
      <c r="A22" s="1" t="s">
        <v>204</v>
      </c>
      <c r="B22" s="1" t="s">
        <v>205</v>
      </c>
      <c r="C22" s="1" t="s">
        <v>206</v>
      </c>
      <c r="D22" s="1">
        <v>23</v>
      </c>
      <c r="E22" s="1" t="s">
        <v>31</v>
      </c>
      <c r="F22" s="1" t="s">
        <v>92</v>
      </c>
      <c r="G22" s="1" t="s">
        <v>207</v>
      </c>
      <c r="H22" s="1" t="s">
        <v>208</v>
      </c>
      <c r="I22" s="1" t="s">
        <v>209</v>
      </c>
      <c r="J22" s="24">
        <v>45520</v>
      </c>
      <c r="K22" s="1" t="s">
        <v>210</v>
      </c>
      <c r="L22" s="1" t="s">
        <v>37</v>
      </c>
      <c r="M22" s="1">
        <v>308.88</v>
      </c>
      <c r="N22" s="1">
        <v>3</v>
      </c>
      <c r="O22" s="1" t="s">
        <v>98</v>
      </c>
      <c r="P22" s="1">
        <v>5</v>
      </c>
      <c r="Q22" s="1">
        <v>43</v>
      </c>
      <c r="R22" s="24">
        <v>45521</v>
      </c>
      <c r="S22" s="1" t="s">
        <v>211</v>
      </c>
      <c r="T22" s="4">
        <f>Table1[[#This Row],[Delivery_Date]]-Table1[[#This Row],[Order_Date]]</f>
        <v>1</v>
      </c>
      <c r="U22" s="4">
        <f>Table1[[#This Row],[Price]]*Table1[[#This Row],[Quantity]]</f>
        <v>926.64</v>
      </c>
      <c r="V22" s="11">
        <f t="shared" si="0"/>
        <v>0.1</v>
      </c>
      <c r="W22" s="4">
        <f>Table1[[#This Row],[Amount]]-(Table1[[#This Row],[Amount]]*Table1[[#This Row],[Discount_Percent]])</f>
        <v>833.976</v>
      </c>
      <c r="X22" s="4">
        <f>IF(O22="DEL0", Table1[[#This Row],[Discounted_Amount]],Table1[[#This Row],[Discounted_Amount]]+Table1[[#This Row],[Delivery_Charge]])</f>
        <v>876.976</v>
      </c>
      <c r="Y22" s="4" t="str">
        <f>Table1[[#This Row],[First_Name]]&amp;" "&amp;Table1[[#This Row],[Last_Name]]</f>
        <v>Deborah Bates</v>
      </c>
      <c r="Z22" s="4" t="str">
        <f>IF(T:T&gt;Table1[[#This Row],[Estimated_Days_to_Deliver]],"Late",IF(T:T=Table1[[#This Row],[Estimated_Days_to_Deliver]],"Intime","BeforeTime"))</f>
        <v>BeforeTime</v>
      </c>
      <c r="AA22" s="4">
        <f>MONTH(Table1[[#This Row],[Order_Date]])</f>
        <v>8</v>
      </c>
      <c r="AB22" s="13">
        <f>Table1[[#This Row],[Amount]]*Table1[[#This Row],[Discount_Percent]]</f>
        <v>92.664000000000001</v>
      </c>
    </row>
    <row r="23" spans="1:29" ht="14.25" customHeight="1">
      <c r="A23" s="1" t="s">
        <v>212</v>
      </c>
      <c r="B23" s="1" t="s">
        <v>213</v>
      </c>
      <c r="C23" s="1" t="s">
        <v>214</v>
      </c>
      <c r="D23" s="1">
        <v>39</v>
      </c>
      <c r="E23" s="1" t="s">
        <v>43</v>
      </c>
      <c r="F23" s="1" t="s">
        <v>161</v>
      </c>
      <c r="G23" s="1" t="s">
        <v>215</v>
      </c>
      <c r="H23" s="1" t="s">
        <v>216</v>
      </c>
      <c r="I23" s="1" t="s">
        <v>217</v>
      </c>
      <c r="J23" s="24">
        <v>45352</v>
      </c>
      <c r="K23" s="1" t="s">
        <v>218</v>
      </c>
      <c r="L23" s="1" t="s">
        <v>185</v>
      </c>
      <c r="M23" s="1">
        <v>104.18</v>
      </c>
      <c r="N23" s="1">
        <v>5</v>
      </c>
      <c r="O23" s="1" t="s">
        <v>38</v>
      </c>
      <c r="P23" s="1">
        <v>5</v>
      </c>
      <c r="Q23" s="1">
        <v>58</v>
      </c>
      <c r="R23" s="24">
        <v>45356</v>
      </c>
      <c r="S23" s="1" t="s">
        <v>219</v>
      </c>
      <c r="T23" s="4">
        <f>Table1[[#This Row],[Delivery_Date]]-Table1[[#This Row],[Order_Date]]</f>
        <v>4</v>
      </c>
      <c r="U23" s="4">
        <f>Table1[[#This Row],[Price]]*Table1[[#This Row],[Quantity]]</f>
        <v>520.90000000000009</v>
      </c>
      <c r="V23" s="11">
        <f t="shared" si="0"/>
        <v>0.08</v>
      </c>
      <c r="W23" s="4">
        <f>Table1[[#This Row],[Amount]]-(Table1[[#This Row],[Amount]]*Table1[[#This Row],[Discount_Percent]])</f>
        <v>479.22800000000007</v>
      </c>
      <c r="X23" s="4">
        <f>IF(O23="DEL0", Table1[[#This Row],[Discounted_Amount]],Table1[[#This Row],[Discounted_Amount]]+Table1[[#This Row],[Delivery_Charge]])</f>
        <v>537.22800000000007</v>
      </c>
      <c r="Y23" s="4" t="str">
        <f>Table1[[#This Row],[First_Name]]&amp;" "&amp;Table1[[#This Row],[Last_Name]]</f>
        <v>Christian Clayton</v>
      </c>
      <c r="Z23" s="4" t="str">
        <f>IF(T:T&gt;Table1[[#This Row],[Estimated_Days_to_Deliver]],"Late",IF(T:T=Table1[[#This Row],[Estimated_Days_to_Deliver]],"Intime","BeforeTime"))</f>
        <v>BeforeTime</v>
      </c>
      <c r="AA23" s="4">
        <f>MONTH(Table1[[#This Row],[Order_Date]])</f>
        <v>3</v>
      </c>
      <c r="AB23" s="13">
        <f>Table1[[#This Row],[Amount]]*Table1[[#This Row],[Discount_Percent]]</f>
        <v>41.672000000000011</v>
      </c>
    </row>
    <row r="24" spans="1:29" ht="14.25" customHeight="1">
      <c r="A24" s="1" t="s">
        <v>220</v>
      </c>
      <c r="B24" s="1" t="s">
        <v>221</v>
      </c>
      <c r="C24" s="1" t="s">
        <v>222</v>
      </c>
      <c r="D24" s="1">
        <v>33</v>
      </c>
      <c r="E24" s="1" t="s">
        <v>54</v>
      </c>
      <c r="F24" s="1" t="s">
        <v>223</v>
      </c>
      <c r="G24" s="1" t="s">
        <v>224</v>
      </c>
      <c r="H24" s="1" t="s">
        <v>225</v>
      </c>
      <c r="I24" s="1" t="s">
        <v>226</v>
      </c>
      <c r="J24" s="24">
        <v>45125</v>
      </c>
      <c r="K24" s="1" t="s">
        <v>227</v>
      </c>
      <c r="L24" s="1" t="s">
        <v>228</v>
      </c>
      <c r="M24" s="1">
        <v>461.07</v>
      </c>
      <c r="N24" s="1">
        <v>1</v>
      </c>
      <c r="O24" s="1" t="s">
        <v>38</v>
      </c>
      <c r="P24" s="1">
        <v>5</v>
      </c>
      <c r="Q24" s="1">
        <v>56</v>
      </c>
      <c r="R24" s="24">
        <v>45126</v>
      </c>
      <c r="S24" s="1" t="s">
        <v>229</v>
      </c>
      <c r="T24" s="4">
        <f>Table1[[#This Row],[Delivery_Date]]-Table1[[#This Row],[Order_Date]]</f>
        <v>1</v>
      </c>
      <c r="U24" s="4">
        <f>Table1[[#This Row],[Price]]*Table1[[#This Row],[Quantity]]</f>
        <v>461.07</v>
      </c>
      <c r="V24" s="11">
        <f t="shared" si="0"/>
        <v>0.08</v>
      </c>
      <c r="W24" s="4">
        <f>Table1[[#This Row],[Amount]]-(Table1[[#This Row],[Amount]]*Table1[[#This Row],[Discount_Percent]])</f>
        <v>424.18439999999998</v>
      </c>
      <c r="X24" s="4">
        <f>IF(O24="DEL0", Table1[[#This Row],[Discounted_Amount]],Table1[[#This Row],[Discounted_Amount]]+Table1[[#This Row],[Delivery_Charge]])</f>
        <v>480.18439999999998</v>
      </c>
      <c r="Y24" s="4" t="str">
        <f>Table1[[#This Row],[First_Name]]&amp;" "&amp;Table1[[#This Row],[Last_Name]]</f>
        <v>Mark Henderson</v>
      </c>
      <c r="Z24" s="4" t="str">
        <f>IF(T:T&gt;Table1[[#This Row],[Estimated_Days_to_Deliver]],"Late",IF(T:T=Table1[[#This Row],[Estimated_Days_to_Deliver]],"Intime","BeforeTime"))</f>
        <v>BeforeTime</v>
      </c>
      <c r="AA24" s="4">
        <f>MONTH(Table1[[#This Row],[Order_Date]])</f>
        <v>7</v>
      </c>
      <c r="AB24" s="13">
        <f>Table1[[#This Row],[Amount]]*Table1[[#This Row],[Discount_Percent]]</f>
        <v>36.885600000000004</v>
      </c>
    </row>
    <row r="25" spans="1:29" ht="14.25" customHeight="1">
      <c r="A25" s="1" t="s">
        <v>230</v>
      </c>
      <c r="B25" s="1" t="s">
        <v>231</v>
      </c>
      <c r="C25" s="1" t="s">
        <v>232</v>
      </c>
      <c r="D25" s="1">
        <v>64</v>
      </c>
      <c r="E25" s="1" t="s">
        <v>43</v>
      </c>
      <c r="F25" s="1" t="s">
        <v>44</v>
      </c>
      <c r="G25" s="1" t="s">
        <v>233</v>
      </c>
      <c r="H25" s="1" t="s">
        <v>234</v>
      </c>
      <c r="I25" s="1" t="s">
        <v>235</v>
      </c>
      <c r="J25" s="24">
        <v>45194</v>
      </c>
      <c r="K25" s="1" t="s">
        <v>236</v>
      </c>
      <c r="L25" s="1" t="s">
        <v>237</v>
      </c>
      <c r="M25" s="1">
        <v>132.97</v>
      </c>
      <c r="N25" s="1">
        <v>1</v>
      </c>
      <c r="O25" s="1" t="s">
        <v>60</v>
      </c>
      <c r="P25" s="1">
        <v>5</v>
      </c>
      <c r="Q25" s="1">
        <v>55</v>
      </c>
      <c r="R25" s="24">
        <v>45198</v>
      </c>
      <c r="S25" s="1" t="s">
        <v>238</v>
      </c>
      <c r="T25" s="4">
        <f>Table1[[#This Row],[Delivery_Date]]-Table1[[#This Row],[Order_Date]]</f>
        <v>4</v>
      </c>
      <c r="U25" s="4">
        <f>Table1[[#This Row],[Price]]*Table1[[#This Row],[Quantity]]</f>
        <v>132.97</v>
      </c>
      <c r="V25" s="11">
        <f t="shared" si="0"/>
        <v>0.15</v>
      </c>
      <c r="W25" s="4">
        <f>Table1[[#This Row],[Amount]]-(Table1[[#This Row],[Amount]]*Table1[[#This Row],[Discount_Percent]])</f>
        <v>113.0245</v>
      </c>
      <c r="X25" s="4">
        <f>IF(O25="DEL0", Table1[[#This Row],[Discounted_Amount]],Table1[[#This Row],[Discounted_Amount]]+Table1[[#This Row],[Delivery_Charge]])</f>
        <v>168.02449999999999</v>
      </c>
      <c r="Y25" s="4" t="str">
        <f>Table1[[#This Row],[First_Name]]&amp;" "&amp;Table1[[#This Row],[Last_Name]]</f>
        <v>John Herrera</v>
      </c>
      <c r="Z25" s="4" t="str">
        <f>IF(T:T&gt;Table1[[#This Row],[Estimated_Days_to_Deliver]],"Late",IF(T:T=Table1[[#This Row],[Estimated_Days_to_Deliver]],"Intime","BeforeTime"))</f>
        <v>BeforeTime</v>
      </c>
      <c r="AA25" s="4">
        <f>MONTH(Table1[[#This Row],[Order_Date]])</f>
        <v>9</v>
      </c>
      <c r="AB25" s="13">
        <f>Table1[[#This Row],[Amount]]*Table1[[#This Row],[Discount_Percent]]</f>
        <v>19.945499999999999</v>
      </c>
    </row>
    <row r="26" spans="1:29" ht="14.25" customHeight="1">
      <c r="A26" s="1" t="s">
        <v>239</v>
      </c>
      <c r="B26" s="1" t="s">
        <v>68</v>
      </c>
      <c r="C26" s="1" t="s">
        <v>240</v>
      </c>
      <c r="D26" s="1">
        <v>52</v>
      </c>
      <c r="E26" s="1" t="s">
        <v>54</v>
      </c>
      <c r="F26" s="1" t="s">
        <v>44</v>
      </c>
      <c r="G26" s="1" t="s">
        <v>241</v>
      </c>
      <c r="H26" s="1" t="s">
        <v>242</v>
      </c>
      <c r="I26" s="1" t="s">
        <v>243</v>
      </c>
      <c r="J26" s="24">
        <v>45146</v>
      </c>
      <c r="K26" s="1" t="s">
        <v>244</v>
      </c>
      <c r="L26" s="1" t="s">
        <v>245</v>
      </c>
      <c r="M26" s="1">
        <v>126.19</v>
      </c>
      <c r="N26" s="1">
        <v>2</v>
      </c>
      <c r="O26" s="1" t="s">
        <v>65</v>
      </c>
      <c r="P26" s="1">
        <v>5</v>
      </c>
      <c r="Q26" s="1">
        <v>63</v>
      </c>
      <c r="R26" s="24">
        <v>45150</v>
      </c>
      <c r="S26" s="1" t="s">
        <v>246</v>
      </c>
      <c r="T26" s="4">
        <f>Table1[[#This Row],[Delivery_Date]]-Table1[[#This Row],[Order_Date]]</f>
        <v>4</v>
      </c>
      <c r="U26" s="4">
        <f>Table1[[#This Row],[Price]]*Table1[[#This Row],[Quantity]]</f>
        <v>252.38</v>
      </c>
      <c r="V26" s="11">
        <f t="shared" si="0"/>
        <v>0</v>
      </c>
      <c r="W26" s="4">
        <f>Table1[[#This Row],[Amount]]-(Table1[[#This Row],[Amount]]*Table1[[#This Row],[Discount_Percent]])</f>
        <v>252.38</v>
      </c>
      <c r="X26" s="4">
        <f>IF(O26="DEL0", Table1[[#This Row],[Discounted_Amount]],Table1[[#This Row],[Discounted_Amount]]+Table1[[#This Row],[Delivery_Charge]])</f>
        <v>252.38</v>
      </c>
      <c r="Y26" s="4" t="str">
        <f>Table1[[#This Row],[First_Name]]&amp;" "&amp;Table1[[#This Row],[Last_Name]]</f>
        <v>Angela Evans</v>
      </c>
      <c r="Z26" s="4" t="str">
        <f>IF(T:T&gt;Table1[[#This Row],[Estimated_Days_to_Deliver]],"Late",IF(T:T=Table1[[#This Row],[Estimated_Days_to_Deliver]],"Intime","BeforeTime"))</f>
        <v>BeforeTime</v>
      </c>
      <c r="AA26" s="4">
        <f>MONTH(Table1[[#This Row],[Order_Date]])</f>
        <v>8</v>
      </c>
      <c r="AB26" s="13">
        <f>Table1[[#This Row],[Amount]]*Table1[[#This Row],[Discount_Percent]]</f>
        <v>0</v>
      </c>
    </row>
    <row r="27" spans="1:29" ht="14.25" customHeight="1">
      <c r="A27" s="1" t="s">
        <v>239</v>
      </c>
      <c r="B27" s="1" t="s">
        <v>68</v>
      </c>
      <c r="C27" s="1" t="s">
        <v>240</v>
      </c>
      <c r="D27" s="1">
        <v>52</v>
      </c>
      <c r="E27" s="1" t="s">
        <v>54</v>
      </c>
      <c r="F27" s="1" t="s">
        <v>44</v>
      </c>
      <c r="G27" s="1" t="s">
        <v>241</v>
      </c>
      <c r="H27" s="1" t="s">
        <v>242</v>
      </c>
      <c r="I27" s="1" t="s">
        <v>247</v>
      </c>
      <c r="J27" s="24">
        <v>45138</v>
      </c>
      <c r="K27" s="1" t="s">
        <v>248</v>
      </c>
      <c r="L27" s="1" t="s">
        <v>249</v>
      </c>
      <c r="M27" s="1">
        <v>282.63</v>
      </c>
      <c r="N27" s="1">
        <v>3</v>
      </c>
      <c r="O27" s="1" t="s">
        <v>65</v>
      </c>
      <c r="P27" s="1">
        <v>5</v>
      </c>
      <c r="Q27" s="1">
        <v>40</v>
      </c>
      <c r="R27" s="24">
        <v>45142</v>
      </c>
      <c r="S27" s="1" t="s">
        <v>250</v>
      </c>
      <c r="T27" s="4">
        <f>Table1[[#This Row],[Delivery_Date]]-Table1[[#This Row],[Order_Date]]</f>
        <v>4</v>
      </c>
      <c r="U27" s="4">
        <f>Table1[[#This Row],[Price]]*Table1[[#This Row],[Quantity]]</f>
        <v>847.89</v>
      </c>
      <c r="V27" s="11">
        <f t="shared" si="0"/>
        <v>0</v>
      </c>
      <c r="W27" s="4">
        <f>Table1[[#This Row],[Amount]]-(Table1[[#This Row],[Amount]]*Table1[[#This Row],[Discount_Percent]])</f>
        <v>847.89</v>
      </c>
      <c r="X27" s="4">
        <f>IF(O27="DEL0", Table1[[#This Row],[Discounted_Amount]],Table1[[#This Row],[Discounted_Amount]]+Table1[[#This Row],[Delivery_Charge]])</f>
        <v>847.89</v>
      </c>
      <c r="Y27" s="4" t="str">
        <f>Table1[[#This Row],[First_Name]]&amp;" "&amp;Table1[[#This Row],[Last_Name]]</f>
        <v>Angela Evans</v>
      </c>
      <c r="Z27" s="4" t="str">
        <f>IF(T:T&gt;Table1[[#This Row],[Estimated_Days_to_Deliver]],"Late",IF(T:T=Table1[[#This Row],[Estimated_Days_to_Deliver]],"Intime","BeforeTime"))</f>
        <v>BeforeTime</v>
      </c>
      <c r="AA27" s="4">
        <f>MONTH(Table1[[#This Row],[Order_Date]])</f>
        <v>7</v>
      </c>
      <c r="AB27" s="13">
        <f>Table1[[#This Row],[Amount]]*Table1[[#This Row],[Discount_Percent]]</f>
        <v>0</v>
      </c>
    </row>
    <row r="28" spans="1:29" ht="14.25" customHeight="1">
      <c r="A28" s="1" t="s">
        <v>121</v>
      </c>
      <c r="B28" s="1" t="s">
        <v>122</v>
      </c>
      <c r="C28" s="1" t="s">
        <v>123</v>
      </c>
      <c r="D28" s="1">
        <v>20</v>
      </c>
      <c r="E28" s="1" t="s">
        <v>31</v>
      </c>
      <c r="F28" s="1" t="s">
        <v>92</v>
      </c>
      <c r="G28" s="1" t="s">
        <v>124</v>
      </c>
      <c r="H28" s="1" t="s">
        <v>125</v>
      </c>
      <c r="I28" s="1" t="s">
        <v>251</v>
      </c>
      <c r="J28" s="24">
        <v>45066</v>
      </c>
      <c r="K28" s="1" t="s">
        <v>252</v>
      </c>
      <c r="L28" s="1" t="s">
        <v>253</v>
      </c>
      <c r="M28" s="1">
        <v>128.13999999999999</v>
      </c>
      <c r="N28" s="1">
        <v>3</v>
      </c>
      <c r="O28" s="1" t="s">
        <v>38</v>
      </c>
      <c r="P28" s="1">
        <v>5</v>
      </c>
      <c r="Q28" s="1">
        <v>70</v>
      </c>
      <c r="R28" s="24">
        <v>45069</v>
      </c>
      <c r="S28" s="1" t="s">
        <v>254</v>
      </c>
      <c r="T28" s="4">
        <f>Table1[[#This Row],[Delivery_Date]]-Table1[[#This Row],[Order_Date]]</f>
        <v>3</v>
      </c>
      <c r="U28" s="4">
        <f>Table1[[#This Row],[Price]]*Table1[[#This Row],[Quantity]]</f>
        <v>384.41999999999996</v>
      </c>
      <c r="V28" s="11">
        <f t="shared" si="0"/>
        <v>0.08</v>
      </c>
      <c r="W28" s="4">
        <f>Table1[[#This Row],[Amount]]-(Table1[[#This Row],[Amount]]*Table1[[#This Row],[Discount_Percent]])</f>
        <v>353.66639999999995</v>
      </c>
      <c r="X28" s="4">
        <f>IF(O28="DEL0", Table1[[#This Row],[Discounted_Amount]],Table1[[#This Row],[Discounted_Amount]]+Table1[[#This Row],[Delivery_Charge]])</f>
        <v>423.66639999999995</v>
      </c>
      <c r="Y28" s="4" t="str">
        <f>Table1[[#This Row],[First_Name]]&amp;" "&amp;Table1[[#This Row],[Last_Name]]</f>
        <v>Bobby Forbes</v>
      </c>
      <c r="Z28" s="4" t="str">
        <f>IF(T:T&gt;Table1[[#This Row],[Estimated_Days_to_Deliver]],"Late",IF(T:T=Table1[[#This Row],[Estimated_Days_to_Deliver]],"Intime","BeforeTime"))</f>
        <v>BeforeTime</v>
      </c>
      <c r="AA28" s="4">
        <f>MONTH(Table1[[#This Row],[Order_Date]])</f>
        <v>5</v>
      </c>
      <c r="AB28" s="13">
        <f>Table1[[#This Row],[Amount]]*Table1[[#This Row],[Discount_Percent]]</f>
        <v>30.753599999999999</v>
      </c>
    </row>
    <row r="29" spans="1:29" ht="14.25" customHeight="1">
      <c r="A29" s="1" t="s">
        <v>121</v>
      </c>
      <c r="B29" s="1" t="s">
        <v>122</v>
      </c>
      <c r="C29" s="1" t="s">
        <v>123</v>
      </c>
      <c r="D29" s="1">
        <v>20</v>
      </c>
      <c r="E29" s="1" t="s">
        <v>31</v>
      </c>
      <c r="F29" s="1" t="s">
        <v>92</v>
      </c>
      <c r="G29" s="1" t="s">
        <v>124</v>
      </c>
      <c r="H29" s="1" t="s">
        <v>125</v>
      </c>
      <c r="I29" s="1" t="s">
        <v>255</v>
      </c>
      <c r="J29" s="24">
        <v>45185</v>
      </c>
      <c r="K29" s="1" t="s">
        <v>256</v>
      </c>
      <c r="L29" s="1" t="s">
        <v>97</v>
      </c>
      <c r="M29" s="1">
        <v>363.64</v>
      </c>
      <c r="N29" s="1">
        <v>3</v>
      </c>
      <c r="O29" s="1" t="s">
        <v>87</v>
      </c>
      <c r="P29" s="1">
        <v>5</v>
      </c>
      <c r="Q29" s="1">
        <v>39</v>
      </c>
      <c r="R29" s="24">
        <v>45189</v>
      </c>
      <c r="S29" s="1" t="s">
        <v>257</v>
      </c>
      <c r="T29" s="4">
        <f>Table1[[#This Row],[Delivery_Date]]-Table1[[#This Row],[Order_Date]]</f>
        <v>4</v>
      </c>
      <c r="U29" s="4">
        <f>Table1[[#This Row],[Price]]*Table1[[#This Row],[Quantity]]</f>
        <v>1090.92</v>
      </c>
      <c r="V29" s="11">
        <f t="shared" si="0"/>
        <v>0.2</v>
      </c>
      <c r="W29" s="4">
        <f>Table1[[#This Row],[Amount]]-(Table1[[#This Row],[Amount]]*Table1[[#This Row],[Discount_Percent]])</f>
        <v>872.7360000000001</v>
      </c>
      <c r="X29" s="4">
        <f>IF(O29="DEL0", Table1[[#This Row],[Discounted_Amount]],Table1[[#This Row],[Discounted_Amount]]+Table1[[#This Row],[Delivery_Charge]])</f>
        <v>911.7360000000001</v>
      </c>
      <c r="Y29" s="4" t="str">
        <f>Table1[[#This Row],[First_Name]]&amp;" "&amp;Table1[[#This Row],[Last_Name]]</f>
        <v>Bobby Forbes</v>
      </c>
      <c r="Z29" s="4" t="str">
        <f>IF(T:T&gt;Table1[[#This Row],[Estimated_Days_to_Deliver]],"Late",IF(T:T=Table1[[#This Row],[Estimated_Days_to_Deliver]],"Intime","BeforeTime"))</f>
        <v>BeforeTime</v>
      </c>
      <c r="AA29" s="4">
        <f>MONTH(Table1[[#This Row],[Order_Date]])</f>
        <v>9</v>
      </c>
      <c r="AB29" s="13">
        <f>Table1[[#This Row],[Amount]]*Table1[[#This Row],[Discount_Percent]]</f>
        <v>218.18400000000003</v>
      </c>
    </row>
    <row r="30" spans="1:29" ht="14.25" customHeight="1">
      <c r="A30" s="1" t="s">
        <v>258</v>
      </c>
      <c r="B30" s="1" t="s">
        <v>259</v>
      </c>
      <c r="C30" s="1" t="s">
        <v>260</v>
      </c>
      <c r="D30" s="1">
        <v>60</v>
      </c>
      <c r="E30" s="1" t="s">
        <v>54</v>
      </c>
      <c r="F30" s="1" t="s">
        <v>32</v>
      </c>
      <c r="G30" s="1" t="s">
        <v>261</v>
      </c>
      <c r="H30" s="1" t="s">
        <v>262</v>
      </c>
      <c r="I30" s="1" t="s">
        <v>263</v>
      </c>
      <c r="J30" s="24">
        <v>44987</v>
      </c>
      <c r="K30" s="1" t="s">
        <v>264</v>
      </c>
      <c r="L30" s="1" t="s">
        <v>97</v>
      </c>
      <c r="M30" s="1">
        <v>363.64</v>
      </c>
      <c r="N30" s="1">
        <v>2</v>
      </c>
      <c r="O30" s="1" t="s">
        <v>60</v>
      </c>
      <c r="P30" s="1">
        <v>5</v>
      </c>
      <c r="Q30" s="1">
        <v>43</v>
      </c>
      <c r="R30" s="24">
        <v>44988</v>
      </c>
      <c r="S30" s="1" t="s">
        <v>265</v>
      </c>
      <c r="T30" s="4">
        <f>Table1[[#This Row],[Delivery_Date]]-Table1[[#This Row],[Order_Date]]</f>
        <v>1</v>
      </c>
      <c r="U30" s="4">
        <f>Table1[[#This Row],[Price]]*Table1[[#This Row],[Quantity]]</f>
        <v>727.28</v>
      </c>
      <c r="V30" s="11">
        <f t="shared" si="0"/>
        <v>0.15</v>
      </c>
      <c r="W30" s="4">
        <f>Table1[[#This Row],[Amount]]-(Table1[[#This Row],[Amount]]*Table1[[#This Row],[Discount_Percent]])</f>
        <v>618.18799999999999</v>
      </c>
      <c r="X30" s="4">
        <f>IF(O30="DEL0", Table1[[#This Row],[Discounted_Amount]],Table1[[#This Row],[Discounted_Amount]]+Table1[[#This Row],[Delivery_Charge]])</f>
        <v>661.18799999999999</v>
      </c>
      <c r="Y30" s="4" t="str">
        <f>Table1[[#This Row],[First_Name]]&amp;" "&amp;Table1[[#This Row],[Last_Name]]</f>
        <v>Ashley Rose</v>
      </c>
      <c r="Z30" s="4" t="str">
        <f>IF(T:T&gt;Table1[[#This Row],[Estimated_Days_to_Deliver]],"Late",IF(T:T=Table1[[#This Row],[Estimated_Days_to_Deliver]],"Intime","BeforeTime"))</f>
        <v>BeforeTime</v>
      </c>
      <c r="AA30" s="4">
        <f>MONTH(Table1[[#This Row],[Order_Date]])</f>
        <v>3</v>
      </c>
      <c r="AB30" s="13">
        <f>Table1[[#This Row],[Amount]]*Table1[[#This Row],[Discount_Percent]]</f>
        <v>109.092</v>
      </c>
    </row>
    <row r="31" spans="1:29" ht="14.25" customHeight="1">
      <c r="A31" s="1" t="s">
        <v>266</v>
      </c>
      <c r="B31" s="1" t="s">
        <v>267</v>
      </c>
      <c r="C31" s="1" t="s">
        <v>268</v>
      </c>
      <c r="D31" s="1">
        <v>54</v>
      </c>
      <c r="E31" s="1" t="s">
        <v>43</v>
      </c>
      <c r="F31" s="1" t="s">
        <v>32</v>
      </c>
      <c r="G31" s="1" t="s">
        <v>269</v>
      </c>
      <c r="H31" s="1" t="s">
        <v>270</v>
      </c>
      <c r="I31" s="1" t="s">
        <v>271</v>
      </c>
      <c r="J31" s="24">
        <v>45224</v>
      </c>
      <c r="K31" s="1" t="s">
        <v>272</v>
      </c>
      <c r="L31" s="1" t="s">
        <v>273</v>
      </c>
      <c r="M31" s="1">
        <v>62.42</v>
      </c>
      <c r="N31" s="1">
        <v>1</v>
      </c>
      <c r="O31" s="1" t="s">
        <v>65</v>
      </c>
      <c r="P31" s="1">
        <v>5</v>
      </c>
      <c r="Q31" s="1">
        <v>58</v>
      </c>
      <c r="R31" s="24">
        <v>45229</v>
      </c>
      <c r="S31" s="1" t="s">
        <v>274</v>
      </c>
      <c r="T31" s="4">
        <f>Table1[[#This Row],[Delivery_Date]]-Table1[[#This Row],[Order_Date]]</f>
        <v>5</v>
      </c>
      <c r="U31" s="4">
        <f>Table1[[#This Row],[Price]]*Table1[[#This Row],[Quantity]]</f>
        <v>62.42</v>
      </c>
      <c r="V31" s="11">
        <f t="shared" si="0"/>
        <v>0</v>
      </c>
      <c r="W31" s="4">
        <f>Table1[[#This Row],[Amount]]-(Table1[[#This Row],[Amount]]*Table1[[#This Row],[Discount_Percent]])</f>
        <v>62.42</v>
      </c>
      <c r="X31" s="4">
        <f>IF(O31="DEL0", Table1[[#This Row],[Discounted_Amount]],Table1[[#This Row],[Discounted_Amount]]+Table1[[#This Row],[Delivery_Charge]])</f>
        <v>62.42</v>
      </c>
      <c r="Y31" s="4" t="str">
        <f>Table1[[#This Row],[First_Name]]&amp;" "&amp;Table1[[#This Row],[Last_Name]]</f>
        <v>Taylor Davis</v>
      </c>
      <c r="Z31" s="4" t="str">
        <f>IF(T:T&gt;Table1[[#This Row],[Estimated_Days_to_Deliver]],"Late",IF(T:T=Table1[[#This Row],[Estimated_Days_to_Deliver]],"Intime","BeforeTime"))</f>
        <v>Intime</v>
      </c>
      <c r="AA31" s="4">
        <f>MONTH(Table1[[#This Row],[Order_Date]])</f>
        <v>10</v>
      </c>
      <c r="AB31" s="13">
        <f>Table1[[#This Row],[Amount]]*Table1[[#This Row],[Discount_Percent]]</f>
        <v>0</v>
      </c>
    </row>
    <row r="32" spans="1:29" ht="14.25" customHeight="1">
      <c r="A32" s="1" t="s">
        <v>275</v>
      </c>
      <c r="B32" s="1" t="s">
        <v>276</v>
      </c>
      <c r="C32" s="1" t="s">
        <v>277</v>
      </c>
      <c r="D32" s="1">
        <v>44</v>
      </c>
      <c r="E32" s="1" t="s">
        <v>31</v>
      </c>
      <c r="F32" s="1" t="s">
        <v>223</v>
      </c>
      <c r="G32" s="1" t="s">
        <v>278</v>
      </c>
      <c r="H32" s="1" t="s">
        <v>279</v>
      </c>
      <c r="I32" s="1" t="s">
        <v>280</v>
      </c>
      <c r="J32" s="24">
        <v>45389</v>
      </c>
      <c r="K32" s="1" t="s">
        <v>281</v>
      </c>
      <c r="L32" s="1" t="s">
        <v>237</v>
      </c>
      <c r="M32" s="1">
        <v>132.97</v>
      </c>
      <c r="N32" s="1">
        <v>1</v>
      </c>
      <c r="O32" s="1" t="s">
        <v>65</v>
      </c>
      <c r="P32" s="1">
        <v>5</v>
      </c>
      <c r="Q32" s="1">
        <v>57</v>
      </c>
      <c r="R32" s="24">
        <v>45396</v>
      </c>
      <c r="S32" s="1" t="s">
        <v>282</v>
      </c>
      <c r="T32" s="4">
        <f>Table1[[#This Row],[Delivery_Date]]-Table1[[#This Row],[Order_Date]]</f>
        <v>7</v>
      </c>
      <c r="U32" s="4">
        <f>Table1[[#This Row],[Price]]*Table1[[#This Row],[Quantity]]</f>
        <v>132.97</v>
      </c>
      <c r="V32" s="11">
        <f t="shared" si="0"/>
        <v>0</v>
      </c>
      <c r="W32" s="4">
        <f>Table1[[#This Row],[Amount]]-(Table1[[#This Row],[Amount]]*Table1[[#This Row],[Discount_Percent]])</f>
        <v>132.97</v>
      </c>
      <c r="X32" s="4">
        <f>IF(O32="DEL0", Table1[[#This Row],[Discounted_Amount]],Table1[[#This Row],[Discounted_Amount]]+Table1[[#This Row],[Delivery_Charge]])</f>
        <v>132.97</v>
      </c>
      <c r="Y32" s="4" t="str">
        <f>Table1[[#This Row],[First_Name]]&amp;" "&amp;Table1[[#This Row],[Last_Name]]</f>
        <v>Lauren Long</v>
      </c>
      <c r="Z32" s="4" t="str">
        <f>IF(T:T&gt;Table1[[#This Row],[Estimated_Days_to_Deliver]],"Late",IF(T:T=Table1[[#This Row],[Estimated_Days_to_Deliver]],"Intime","BeforeTime"))</f>
        <v>Late</v>
      </c>
      <c r="AA32" s="4">
        <f>MONTH(Table1[[#This Row],[Order_Date]])</f>
        <v>4</v>
      </c>
      <c r="AB32" s="13">
        <f>Table1[[#This Row],[Amount]]*Table1[[#This Row],[Discount_Percent]]</f>
        <v>0</v>
      </c>
    </row>
    <row r="33" spans="1:28" ht="14.25" customHeight="1">
      <c r="A33" s="1" t="s">
        <v>283</v>
      </c>
      <c r="B33" s="1" t="s">
        <v>284</v>
      </c>
      <c r="C33" s="1" t="s">
        <v>285</v>
      </c>
      <c r="D33" s="1">
        <v>64</v>
      </c>
      <c r="E33" s="1" t="s">
        <v>54</v>
      </c>
      <c r="F33" s="1" t="s">
        <v>32</v>
      </c>
      <c r="G33" s="1" t="s">
        <v>286</v>
      </c>
      <c r="H33" s="1" t="s">
        <v>287</v>
      </c>
      <c r="I33" s="1" t="s">
        <v>288</v>
      </c>
      <c r="J33" s="24">
        <v>45039</v>
      </c>
      <c r="K33" s="1" t="s">
        <v>289</v>
      </c>
      <c r="L33" s="1" t="s">
        <v>290</v>
      </c>
      <c r="M33" s="1">
        <v>157.63999999999999</v>
      </c>
      <c r="N33" s="1">
        <v>4</v>
      </c>
      <c r="O33" s="1" t="s">
        <v>87</v>
      </c>
      <c r="P33" s="1">
        <v>5</v>
      </c>
      <c r="Q33" s="1">
        <v>59</v>
      </c>
      <c r="R33" s="24">
        <v>45046</v>
      </c>
      <c r="S33" s="1" t="s">
        <v>291</v>
      </c>
      <c r="T33" s="4">
        <f>Table1[[#This Row],[Delivery_Date]]-Table1[[#This Row],[Order_Date]]</f>
        <v>7</v>
      </c>
      <c r="U33" s="4">
        <f>Table1[[#This Row],[Price]]*Table1[[#This Row],[Quantity]]</f>
        <v>630.55999999999995</v>
      </c>
      <c r="V33" s="11">
        <f t="shared" si="0"/>
        <v>0.2</v>
      </c>
      <c r="W33" s="4">
        <f>Table1[[#This Row],[Amount]]-(Table1[[#This Row],[Amount]]*Table1[[#This Row],[Discount_Percent]])</f>
        <v>504.44799999999998</v>
      </c>
      <c r="X33" s="4">
        <f>IF(O33="DEL0", Table1[[#This Row],[Discounted_Amount]],Table1[[#This Row],[Discounted_Amount]]+Table1[[#This Row],[Delivery_Charge]])</f>
        <v>563.44799999999998</v>
      </c>
      <c r="Y33" s="4" t="str">
        <f>Table1[[#This Row],[First_Name]]&amp;" "&amp;Table1[[#This Row],[Last_Name]]</f>
        <v>Teresa Harvey</v>
      </c>
      <c r="Z33" s="4" t="str">
        <f>IF(T:T&gt;Table1[[#This Row],[Estimated_Days_to_Deliver]],"Late",IF(T:T=Table1[[#This Row],[Estimated_Days_to_Deliver]],"Intime","BeforeTime"))</f>
        <v>Late</v>
      </c>
      <c r="AA33" s="4">
        <f>MONTH(Table1[[#This Row],[Order_Date]])</f>
        <v>4</v>
      </c>
      <c r="AB33" s="13">
        <f>Table1[[#This Row],[Amount]]*Table1[[#This Row],[Discount_Percent]]</f>
        <v>126.11199999999999</v>
      </c>
    </row>
    <row r="34" spans="1:28" ht="14.25" customHeight="1">
      <c r="A34" s="1" t="s">
        <v>275</v>
      </c>
      <c r="B34" s="1" t="s">
        <v>276</v>
      </c>
      <c r="C34" s="1" t="s">
        <v>277</v>
      </c>
      <c r="D34" s="1">
        <v>44</v>
      </c>
      <c r="E34" s="1" t="s">
        <v>31</v>
      </c>
      <c r="F34" s="1" t="s">
        <v>223</v>
      </c>
      <c r="G34" s="1" t="s">
        <v>278</v>
      </c>
      <c r="H34" s="1" t="s">
        <v>279</v>
      </c>
      <c r="I34" s="1" t="s">
        <v>292</v>
      </c>
      <c r="J34" s="24">
        <v>45548</v>
      </c>
      <c r="K34" s="1" t="s">
        <v>293</v>
      </c>
      <c r="L34" s="1" t="s">
        <v>294</v>
      </c>
      <c r="M34" s="1">
        <v>158.53</v>
      </c>
      <c r="N34" s="1">
        <v>5</v>
      </c>
      <c r="O34" s="1" t="s">
        <v>87</v>
      </c>
      <c r="P34" s="1">
        <v>5</v>
      </c>
      <c r="Q34" s="1">
        <v>42</v>
      </c>
      <c r="R34" s="24">
        <v>45553</v>
      </c>
      <c r="S34" s="1" t="s">
        <v>295</v>
      </c>
      <c r="T34" s="4">
        <f>Table1[[#This Row],[Delivery_Date]]-Table1[[#This Row],[Order_Date]]</f>
        <v>5</v>
      </c>
      <c r="U34" s="4">
        <f>Table1[[#This Row],[Price]]*Table1[[#This Row],[Quantity]]</f>
        <v>792.65</v>
      </c>
      <c r="V34" s="11">
        <f t="shared" si="0"/>
        <v>0.2</v>
      </c>
      <c r="W34" s="4">
        <f>Table1[[#This Row],[Amount]]-(Table1[[#This Row],[Amount]]*Table1[[#This Row],[Discount_Percent]])</f>
        <v>634.12</v>
      </c>
      <c r="X34" s="4">
        <f>IF(O34="DEL0", Table1[[#This Row],[Discounted_Amount]],Table1[[#This Row],[Discounted_Amount]]+Table1[[#This Row],[Delivery_Charge]])</f>
        <v>676.12</v>
      </c>
      <c r="Y34" s="4" t="str">
        <f>Table1[[#This Row],[First_Name]]&amp;" "&amp;Table1[[#This Row],[Last_Name]]</f>
        <v>Lauren Long</v>
      </c>
      <c r="Z34" s="4" t="str">
        <f>IF(T:T&gt;Table1[[#This Row],[Estimated_Days_to_Deliver]],"Late",IF(T:T=Table1[[#This Row],[Estimated_Days_to_Deliver]],"Intime","BeforeTime"))</f>
        <v>Intime</v>
      </c>
      <c r="AA34" s="4">
        <f>MONTH(Table1[[#This Row],[Order_Date]])</f>
        <v>9</v>
      </c>
      <c r="AB34" s="13">
        <f>Table1[[#This Row],[Amount]]*Table1[[#This Row],[Discount_Percent]]</f>
        <v>158.53</v>
      </c>
    </row>
    <row r="35" spans="1:28" ht="14.25" customHeight="1">
      <c r="A35" s="1" t="s">
        <v>296</v>
      </c>
      <c r="B35" s="1" t="s">
        <v>297</v>
      </c>
      <c r="C35" s="1" t="s">
        <v>298</v>
      </c>
      <c r="D35" s="1">
        <v>48</v>
      </c>
      <c r="E35" s="1" t="s">
        <v>43</v>
      </c>
      <c r="F35" s="1" t="s">
        <v>92</v>
      </c>
      <c r="G35" s="1" t="s">
        <v>299</v>
      </c>
      <c r="H35" s="1" t="s">
        <v>300</v>
      </c>
      <c r="I35" s="1" t="s">
        <v>301</v>
      </c>
      <c r="J35" s="24">
        <v>45407</v>
      </c>
      <c r="K35" s="1" t="s">
        <v>302</v>
      </c>
      <c r="L35" s="1" t="s">
        <v>273</v>
      </c>
      <c r="M35" s="1">
        <v>62.42</v>
      </c>
      <c r="N35" s="1">
        <v>3</v>
      </c>
      <c r="O35" s="1" t="s">
        <v>38</v>
      </c>
      <c r="P35" s="1">
        <v>5</v>
      </c>
      <c r="Q35" s="1">
        <v>36</v>
      </c>
      <c r="R35" s="24">
        <v>45414</v>
      </c>
      <c r="S35" s="1" t="s">
        <v>303</v>
      </c>
      <c r="T35" s="4">
        <f>Table1[[#This Row],[Delivery_Date]]-Table1[[#This Row],[Order_Date]]</f>
        <v>7</v>
      </c>
      <c r="U35" s="4">
        <f>Table1[[#This Row],[Price]]*Table1[[#This Row],[Quantity]]</f>
        <v>187.26</v>
      </c>
      <c r="V35" s="11">
        <f t="shared" si="0"/>
        <v>0.08</v>
      </c>
      <c r="W35" s="4">
        <f>Table1[[#This Row],[Amount]]-(Table1[[#This Row],[Amount]]*Table1[[#This Row],[Discount_Percent]])</f>
        <v>172.2792</v>
      </c>
      <c r="X35" s="4">
        <f>IF(O35="DEL0", Table1[[#This Row],[Discounted_Amount]],Table1[[#This Row],[Discounted_Amount]]+Table1[[#This Row],[Delivery_Charge]])</f>
        <v>208.2792</v>
      </c>
      <c r="Y35" s="4" t="str">
        <f>Table1[[#This Row],[First_Name]]&amp;" "&amp;Table1[[#This Row],[Last_Name]]</f>
        <v>Heather Schneider</v>
      </c>
      <c r="Z35" s="4" t="str">
        <f>IF(T:T&gt;Table1[[#This Row],[Estimated_Days_to_Deliver]],"Late",IF(T:T=Table1[[#This Row],[Estimated_Days_to_Deliver]],"Intime","BeforeTime"))</f>
        <v>Late</v>
      </c>
      <c r="AA35" s="4">
        <f>MONTH(Table1[[#This Row],[Order_Date]])</f>
        <v>4</v>
      </c>
      <c r="AB35" s="13">
        <f>Table1[[#This Row],[Amount]]*Table1[[#This Row],[Discount_Percent]]</f>
        <v>14.9808</v>
      </c>
    </row>
    <row r="36" spans="1:28" ht="14.25" customHeight="1">
      <c r="A36" s="1" t="s">
        <v>304</v>
      </c>
      <c r="B36" s="1" t="s">
        <v>305</v>
      </c>
      <c r="C36" s="1" t="s">
        <v>306</v>
      </c>
      <c r="D36" s="1">
        <v>26</v>
      </c>
      <c r="E36" s="1" t="s">
        <v>54</v>
      </c>
      <c r="F36" s="1" t="s">
        <v>170</v>
      </c>
      <c r="G36" s="1" t="s">
        <v>307</v>
      </c>
      <c r="H36" s="1" t="s">
        <v>308</v>
      </c>
      <c r="I36" s="1" t="s">
        <v>309</v>
      </c>
      <c r="J36" s="24">
        <v>45168</v>
      </c>
      <c r="K36" s="1" t="s">
        <v>310</v>
      </c>
      <c r="L36" s="1" t="s">
        <v>311</v>
      </c>
      <c r="M36" s="1">
        <v>129.75</v>
      </c>
      <c r="N36" s="1">
        <v>1</v>
      </c>
      <c r="O36" s="1" t="s">
        <v>98</v>
      </c>
      <c r="P36" s="1">
        <v>5</v>
      </c>
      <c r="Q36" s="1">
        <v>70</v>
      </c>
      <c r="R36" s="24">
        <v>45172</v>
      </c>
      <c r="S36" s="1" t="s">
        <v>312</v>
      </c>
      <c r="T36" s="4">
        <f>Table1[[#This Row],[Delivery_Date]]-Table1[[#This Row],[Order_Date]]</f>
        <v>4</v>
      </c>
      <c r="U36" s="4">
        <f>Table1[[#This Row],[Price]]*Table1[[#This Row],[Quantity]]</f>
        <v>129.75</v>
      </c>
      <c r="V36" s="11">
        <f t="shared" si="0"/>
        <v>0.1</v>
      </c>
      <c r="W36" s="4">
        <f>Table1[[#This Row],[Amount]]-(Table1[[#This Row],[Amount]]*Table1[[#This Row],[Discount_Percent]])</f>
        <v>116.77500000000001</v>
      </c>
      <c r="X36" s="4">
        <f>IF(O36="DEL0", Table1[[#This Row],[Discounted_Amount]],Table1[[#This Row],[Discounted_Amount]]+Table1[[#This Row],[Delivery_Charge]])</f>
        <v>186.77500000000001</v>
      </c>
      <c r="Y36" s="4" t="str">
        <f>Table1[[#This Row],[First_Name]]&amp;" "&amp;Table1[[#This Row],[Last_Name]]</f>
        <v>Valerie Carr</v>
      </c>
      <c r="Z36" s="4" t="str">
        <f>IF(T:T&gt;Table1[[#This Row],[Estimated_Days_to_Deliver]],"Late",IF(T:T=Table1[[#This Row],[Estimated_Days_to_Deliver]],"Intime","BeforeTime"))</f>
        <v>BeforeTime</v>
      </c>
      <c r="AA36" s="4">
        <f>MONTH(Table1[[#This Row],[Order_Date]])</f>
        <v>8</v>
      </c>
      <c r="AB36" s="13">
        <f>Table1[[#This Row],[Amount]]*Table1[[#This Row],[Discount_Percent]]</f>
        <v>12.975000000000001</v>
      </c>
    </row>
    <row r="37" spans="1:28" ht="14.25" customHeight="1">
      <c r="A37" s="1" t="s">
        <v>239</v>
      </c>
      <c r="B37" s="1" t="s">
        <v>68</v>
      </c>
      <c r="C37" s="1" t="s">
        <v>240</v>
      </c>
      <c r="D37" s="1">
        <v>52</v>
      </c>
      <c r="E37" s="1" t="s">
        <v>54</v>
      </c>
      <c r="F37" s="1" t="s">
        <v>44</v>
      </c>
      <c r="G37" s="1" t="s">
        <v>241</v>
      </c>
      <c r="H37" s="1" t="s">
        <v>242</v>
      </c>
      <c r="I37" s="1" t="s">
        <v>313</v>
      </c>
      <c r="J37" s="24">
        <v>45244</v>
      </c>
      <c r="K37" s="1" t="s">
        <v>314</v>
      </c>
      <c r="L37" s="1" t="s">
        <v>290</v>
      </c>
      <c r="M37" s="1">
        <v>157.63999999999999</v>
      </c>
      <c r="N37" s="1">
        <v>5</v>
      </c>
      <c r="O37" s="1" t="s">
        <v>38</v>
      </c>
      <c r="P37" s="1">
        <v>5</v>
      </c>
      <c r="Q37" s="1">
        <v>53</v>
      </c>
      <c r="R37" s="24">
        <v>45246</v>
      </c>
      <c r="S37" s="1" t="s">
        <v>315</v>
      </c>
      <c r="T37" s="4">
        <f>Table1[[#This Row],[Delivery_Date]]-Table1[[#This Row],[Order_Date]]</f>
        <v>2</v>
      </c>
      <c r="U37" s="4">
        <f>Table1[[#This Row],[Price]]*Table1[[#This Row],[Quantity]]</f>
        <v>788.19999999999993</v>
      </c>
      <c r="V37" s="11">
        <f t="shared" si="0"/>
        <v>0.08</v>
      </c>
      <c r="W37" s="4">
        <f>Table1[[#This Row],[Amount]]-(Table1[[#This Row],[Amount]]*Table1[[#This Row],[Discount_Percent]])</f>
        <v>725.14399999999989</v>
      </c>
      <c r="X37" s="4">
        <f>IF(O37="DEL0", Table1[[#This Row],[Discounted_Amount]],Table1[[#This Row],[Discounted_Amount]]+Table1[[#This Row],[Delivery_Charge]])</f>
        <v>778.14399999999989</v>
      </c>
      <c r="Y37" s="4" t="str">
        <f>Table1[[#This Row],[First_Name]]&amp;" "&amp;Table1[[#This Row],[Last_Name]]</f>
        <v>Angela Evans</v>
      </c>
      <c r="Z37" s="4" t="str">
        <f>IF(T:T&gt;Table1[[#This Row],[Estimated_Days_to_Deliver]],"Late",IF(T:T=Table1[[#This Row],[Estimated_Days_to_Deliver]],"Intime","BeforeTime"))</f>
        <v>BeforeTime</v>
      </c>
      <c r="AA37" s="4">
        <f>MONTH(Table1[[#This Row],[Order_Date]])</f>
        <v>11</v>
      </c>
      <c r="AB37" s="13">
        <f>Table1[[#This Row],[Amount]]*Table1[[#This Row],[Discount_Percent]]</f>
        <v>63.055999999999997</v>
      </c>
    </row>
    <row r="38" spans="1:28" ht="14.25" customHeight="1">
      <c r="A38" s="1" t="s">
        <v>67</v>
      </c>
      <c r="B38" s="1" t="s">
        <v>68</v>
      </c>
      <c r="C38" s="1" t="s">
        <v>69</v>
      </c>
      <c r="D38" s="1">
        <v>49</v>
      </c>
      <c r="E38" s="1" t="s">
        <v>54</v>
      </c>
      <c r="F38" s="1" t="s">
        <v>32</v>
      </c>
      <c r="G38" s="1" t="s">
        <v>70</v>
      </c>
      <c r="H38" s="1" t="s">
        <v>71</v>
      </c>
      <c r="I38" s="1" t="s">
        <v>316</v>
      </c>
      <c r="J38" s="24">
        <v>45242</v>
      </c>
      <c r="K38" s="1" t="s">
        <v>317</v>
      </c>
      <c r="L38" s="1" t="s">
        <v>202</v>
      </c>
      <c r="M38" s="1">
        <v>20.7</v>
      </c>
      <c r="N38" s="1">
        <v>5</v>
      </c>
      <c r="O38" s="1" t="s">
        <v>65</v>
      </c>
      <c r="P38" s="1">
        <v>5</v>
      </c>
      <c r="Q38" s="1">
        <v>64</v>
      </c>
      <c r="R38" s="24">
        <v>45248</v>
      </c>
      <c r="S38" s="1" t="s">
        <v>318</v>
      </c>
      <c r="T38" s="4">
        <f>Table1[[#This Row],[Delivery_Date]]-Table1[[#This Row],[Order_Date]]</f>
        <v>6</v>
      </c>
      <c r="U38" s="4">
        <f>Table1[[#This Row],[Price]]*Table1[[#This Row],[Quantity]]</f>
        <v>103.5</v>
      </c>
      <c r="V38" s="11">
        <f t="shared" si="0"/>
        <v>0</v>
      </c>
      <c r="W38" s="4">
        <f>Table1[[#This Row],[Amount]]-(Table1[[#This Row],[Amount]]*Table1[[#This Row],[Discount_Percent]])</f>
        <v>103.5</v>
      </c>
      <c r="X38" s="4">
        <f>IF(O38="DEL0", Table1[[#This Row],[Discounted_Amount]],Table1[[#This Row],[Discounted_Amount]]+Table1[[#This Row],[Delivery_Charge]])</f>
        <v>103.5</v>
      </c>
      <c r="Y38" s="4" t="str">
        <f>Table1[[#This Row],[First_Name]]&amp;" "&amp;Table1[[#This Row],[Last_Name]]</f>
        <v>Angela Horne</v>
      </c>
      <c r="Z38" s="4" t="str">
        <f>IF(T:T&gt;Table1[[#This Row],[Estimated_Days_to_Deliver]],"Late",IF(T:T=Table1[[#This Row],[Estimated_Days_to_Deliver]],"Intime","BeforeTime"))</f>
        <v>Late</v>
      </c>
      <c r="AA38" s="4">
        <f>MONTH(Table1[[#This Row],[Order_Date]])</f>
        <v>11</v>
      </c>
      <c r="AB38" s="13">
        <f>Table1[[#This Row],[Amount]]*Table1[[#This Row],[Discount_Percent]]</f>
        <v>0</v>
      </c>
    </row>
    <row r="39" spans="1:28" ht="14.25" customHeight="1">
      <c r="A39" s="1" t="s">
        <v>319</v>
      </c>
      <c r="B39" s="1" t="s">
        <v>320</v>
      </c>
      <c r="C39" s="1" t="s">
        <v>321</v>
      </c>
      <c r="D39" s="1">
        <v>45</v>
      </c>
      <c r="E39" s="1" t="s">
        <v>31</v>
      </c>
      <c r="F39" s="1" t="s">
        <v>44</v>
      </c>
      <c r="G39" s="1" t="s">
        <v>322</v>
      </c>
      <c r="H39" s="1" t="s">
        <v>323</v>
      </c>
      <c r="I39" s="1" t="s">
        <v>324</v>
      </c>
      <c r="J39" s="24">
        <v>45193</v>
      </c>
      <c r="K39" s="1" t="s">
        <v>325</v>
      </c>
      <c r="L39" s="1" t="s">
        <v>326</v>
      </c>
      <c r="M39" s="1">
        <v>481.48</v>
      </c>
      <c r="N39" s="1">
        <v>2</v>
      </c>
      <c r="O39" s="1" t="s">
        <v>60</v>
      </c>
      <c r="P39" s="1">
        <v>5</v>
      </c>
      <c r="Q39" s="1">
        <v>50</v>
      </c>
      <c r="R39" s="24">
        <v>45196</v>
      </c>
      <c r="S39" s="1" t="s">
        <v>327</v>
      </c>
      <c r="T39" s="4">
        <f>Table1[[#This Row],[Delivery_Date]]-Table1[[#This Row],[Order_Date]]</f>
        <v>3</v>
      </c>
      <c r="U39" s="4">
        <f>Table1[[#This Row],[Price]]*Table1[[#This Row],[Quantity]]</f>
        <v>962.96</v>
      </c>
      <c r="V39" s="11">
        <f t="shared" si="0"/>
        <v>0.15</v>
      </c>
      <c r="W39" s="4">
        <f>Table1[[#This Row],[Amount]]-(Table1[[#This Row],[Amount]]*Table1[[#This Row],[Discount_Percent]])</f>
        <v>818.51600000000008</v>
      </c>
      <c r="X39" s="4">
        <f>IF(O39="DEL0", Table1[[#This Row],[Discounted_Amount]],Table1[[#This Row],[Discounted_Amount]]+Table1[[#This Row],[Delivery_Charge]])</f>
        <v>868.51600000000008</v>
      </c>
      <c r="Y39" s="4" t="str">
        <f>Table1[[#This Row],[First_Name]]&amp;" "&amp;Table1[[#This Row],[Last_Name]]</f>
        <v>Jenny Estrada</v>
      </c>
      <c r="Z39" s="4" t="str">
        <f>IF(T:T&gt;Table1[[#This Row],[Estimated_Days_to_Deliver]],"Late",IF(T:T=Table1[[#This Row],[Estimated_Days_to_Deliver]],"Intime","BeforeTime"))</f>
        <v>BeforeTime</v>
      </c>
      <c r="AA39" s="4">
        <f>MONTH(Table1[[#This Row],[Order_Date]])</f>
        <v>9</v>
      </c>
      <c r="AB39" s="13">
        <f>Table1[[#This Row],[Amount]]*Table1[[#This Row],[Discount_Percent]]</f>
        <v>144.44399999999999</v>
      </c>
    </row>
    <row r="40" spans="1:28" ht="14.25" customHeight="1">
      <c r="A40" s="1" t="s">
        <v>328</v>
      </c>
      <c r="B40" s="1" t="s">
        <v>329</v>
      </c>
      <c r="C40" s="1" t="s">
        <v>330</v>
      </c>
      <c r="D40" s="1">
        <v>29</v>
      </c>
      <c r="E40" s="1" t="s">
        <v>54</v>
      </c>
      <c r="F40" s="1" t="s">
        <v>92</v>
      </c>
      <c r="G40" s="1" t="s">
        <v>331</v>
      </c>
      <c r="H40" s="1" t="s">
        <v>332</v>
      </c>
      <c r="I40" s="1" t="s">
        <v>333</v>
      </c>
      <c r="J40" s="24">
        <v>45656</v>
      </c>
      <c r="K40" s="1" t="s">
        <v>334</v>
      </c>
      <c r="L40" s="1" t="s">
        <v>64</v>
      </c>
      <c r="M40" s="1">
        <v>405</v>
      </c>
      <c r="N40" s="1">
        <v>1</v>
      </c>
      <c r="O40" s="1" t="s">
        <v>65</v>
      </c>
      <c r="P40" s="1">
        <v>5</v>
      </c>
      <c r="Q40" s="1">
        <v>36</v>
      </c>
      <c r="R40" s="24">
        <v>45661</v>
      </c>
      <c r="S40" s="1" t="s">
        <v>335</v>
      </c>
      <c r="T40" s="4">
        <f>Table1[[#This Row],[Delivery_Date]]-Table1[[#This Row],[Order_Date]]</f>
        <v>5</v>
      </c>
      <c r="U40" s="4">
        <f>Table1[[#This Row],[Price]]*Table1[[#This Row],[Quantity]]</f>
        <v>405</v>
      </c>
      <c r="V40" s="11">
        <f t="shared" si="0"/>
        <v>0</v>
      </c>
      <c r="W40" s="4">
        <f>Table1[[#This Row],[Amount]]-(Table1[[#This Row],[Amount]]*Table1[[#This Row],[Discount_Percent]])</f>
        <v>405</v>
      </c>
      <c r="X40" s="4">
        <f>IF(O40="DEL0", Table1[[#This Row],[Discounted_Amount]],Table1[[#This Row],[Discounted_Amount]]+Table1[[#This Row],[Delivery_Charge]])</f>
        <v>405</v>
      </c>
      <c r="Y40" s="4" t="str">
        <f>Table1[[#This Row],[First_Name]]&amp;" "&amp;Table1[[#This Row],[Last_Name]]</f>
        <v>Courtney Parker</v>
      </c>
      <c r="Z40" s="4" t="str">
        <f>IF(T:T&gt;Table1[[#This Row],[Estimated_Days_to_Deliver]],"Late",IF(T:T=Table1[[#This Row],[Estimated_Days_to_Deliver]],"Intime","BeforeTime"))</f>
        <v>Intime</v>
      </c>
      <c r="AA40" s="4">
        <f>MONTH(Table1[[#This Row],[Order_Date]])</f>
        <v>12</v>
      </c>
      <c r="AB40" s="13">
        <f>Table1[[#This Row],[Amount]]*Table1[[#This Row],[Discount_Percent]]</f>
        <v>0</v>
      </c>
    </row>
    <row r="41" spans="1:28" ht="14.25" customHeight="1">
      <c r="A41" s="1" t="s">
        <v>336</v>
      </c>
      <c r="B41" s="1" t="s">
        <v>337</v>
      </c>
      <c r="C41" s="1" t="s">
        <v>338</v>
      </c>
      <c r="D41" s="1">
        <v>23</v>
      </c>
      <c r="E41" s="1" t="s">
        <v>31</v>
      </c>
      <c r="F41" s="1" t="s">
        <v>32</v>
      </c>
      <c r="G41" s="1" t="s">
        <v>339</v>
      </c>
      <c r="H41" s="1" t="s">
        <v>340</v>
      </c>
      <c r="I41" s="1" t="s">
        <v>341</v>
      </c>
      <c r="J41" s="24">
        <v>45574</v>
      </c>
      <c r="K41" s="1" t="s">
        <v>342</v>
      </c>
      <c r="L41" s="1" t="s">
        <v>343</v>
      </c>
      <c r="M41" s="1">
        <v>77.84</v>
      </c>
      <c r="N41" s="1">
        <v>5</v>
      </c>
      <c r="O41" s="1" t="s">
        <v>65</v>
      </c>
      <c r="P41" s="1">
        <v>5</v>
      </c>
      <c r="Q41" s="1">
        <v>47</v>
      </c>
      <c r="R41" s="24">
        <v>45575</v>
      </c>
      <c r="S41" s="1" t="s">
        <v>344</v>
      </c>
      <c r="T41" s="4">
        <f>Table1[[#This Row],[Delivery_Date]]-Table1[[#This Row],[Order_Date]]</f>
        <v>1</v>
      </c>
      <c r="U41" s="4">
        <f>Table1[[#This Row],[Price]]*Table1[[#This Row],[Quantity]]</f>
        <v>389.20000000000005</v>
      </c>
      <c r="V41" s="11">
        <f t="shared" si="0"/>
        <v>0</v>
      </c>
      <c r="W41" s="4">
        <f>Table1[[#This Row],[Amount]]-(Table1[[#This Row],[Amount]]*Table1[[#This Row],[Discount_Percent]])</f>
        <v>389.20000000000005</v>
      </c>
      <c r="X41" s="4">
        <f>IF(O41="DEL0", Table1[[#This Row],[Discounted_Amount]],Table1[[#This Row],[Discounted_Amount]]+Table1[[#This Row],[Delivery_Charge]])</f>
        <v>389.20000000000005</v>
      </c>
      <c r="Y41" s="4" t="str">
        <f>Table1[[#This Row],[First_Name]]&amp;" "&amp;Table1[[#This Row],[Last_Name]]</f>
        <v>Julie Meyer</v>
      </c>
      <c r="Z41" s="4" t="str">
        <f>IF(T:T&gt;Table1[[#This Row],[Estimated_Days_to_Deliver]],"Late",IF(T:T=Table1[[#This Row],[Estimated_Days_to_Deliver]],"Intime","BeforeTime"))</f>
        <v>BeforeTime</v>
      </c>
      <c r="AA41" s="4">
        <f>MONTH(Table1[[#This Row],[Order_Date]])</f>
        <v>10</v>
      </c>
      <c r="AB41" s="13">
        <f>Table1[[#This Row],[Amount]]*Table1[[#This Row],[Discount_Percent]]</f>
        <v>0</v>
      </c>
    </row>
    <row r="42" spans="1:28" ht="14.25" customHeight="1">
      <c r="A42" s="1" t="s">
        <v>67</v>
      </c>
      <c r="B42" s="1" t="s">
        <v>68</v>
      </c>
      <c r="C42" s="1" t="s">
        <v>69</v>
      </c>
      <c r="D42" s="1">
        <v>49</v>
      </c>
      <c r="E42" s="1" t="s">
        <v>54</v>
      </c>
      <c r="F42" s="1" t="s">
        <v>32</v>
      </c>
      <c r="G42" s="1" t="s">
        <v>70</v>
      </c>
      <c r="H42" s="1" t="s">
        <v>71</v>
      </c>
      <c r="I42" s="1" t="s">
        <v>345</v>
      </c>
      <c r="J42" s="24">
        <v>45557</v>
      </c>
      <c r="K42" s="1" t="s">
        <v>346</v>
      </c>
      <c r="L42" s="1" t="s">
        <v>347</v>
      </c>
      <c r="M42" s="1">
        <v>372.62</v>
      </c>
      <c r="N42" s="1">
        <v>3</v>
      </c>
      <c r="O42" s="1" t="s">
        <v>38</v>
      </c>
      <c r="P42" s="1">
        <v>5</v>
      </c>
      <c r="Q42" s="1">
        <v>59</v>
      </c>
      <c r="R42" s="24">
        <v>45564</v>
      </c>
      <c r="S42" s="1" t="s">
        <v>348</v>
      </c>
      <c r="T42" s="4">
        <f>Table1[[#This Row],[Delivery_Date]]-Table1[[#This Row],[Order_Date]]</f>
        <v>7</v>
      </c>
      <c r="U42" s="4">
        <f>Table1[[#This Row],[Price]]*Table1[[#This Row],[Quantity]]</f>
        <v>1117.8600000000001</v>
      </c>
      <c r="V42" s="11">
        <f t="shared" si="0"/>
        <v>0.08</v>
      </c>
      <c r="W42" s="4">
        <f>Table1[[#This Row],[Amount]]-(Table1[[#This Row],[Amount]]*Table1[[#This Row],[Discount_Percent]])</f>
        <v>1028.4312000000002</v>
      </c>
      <c r="X42" s="4">
        <f>IF(O42="DEL0", Table1[[#This Row],[Discounted_Amount]],Table1[[#This Row],[Discounted_Amount]]+Table1[[#This Row],[Delivery_Charge]])</f>
        <v>1087.4312000000002</v>
      </c>
      <c r="Y42" s="4" t="str">
        <f>Table1[[#This Row],[First_Name]]&amp;" "&amp;Table1[[#This Row],[Last_Name]]</f>
        <v>Angela Horne</v>
      </c>
      <c r="Z42" s="4" t="str">
        <f>IF(T:T&gt;Table1[[#This Row],[Estimated_Days_to_Deliver]],"Late",IF(T:T=Table1[[#This Row],[Estimated_Days_to_Deliver]],"Intime","BeforeTime"))</f>
        <v>Late</v>
      </c>
      <c r="AA42" s="4">
        <f>MONTH(Table1[[#This Row],[Order_Date]])</f>
        <v>9</v>
      </c>
      <c r="AB42" s="13">
        <f>Table1[[#This Row],[Amount]]*Table1[[#This Row],[Discount_Percent]]</f>
        <v>89.42880000000001</v>
      </c>
    </row>
    <row r="43" spans="1:28" ht="14.25" customHeight="1">
      <c r="A43" s="1" t="s">
        <v>149</v>
      </c>
      <c r="B43" s="1" t="s">
        <v>150</v>
      </c>
      <c r="C43" s="1" t="s">
        <v>151</v>
      </c>
      <c r="D43" s="1">
        <v>44</v>
      </c>
      <c r="E43" s="1" t="s">
        <v>43</v>
      </c>
      <c r="F43" s="1" t="s">
        <v>92</v>
      </c>
      <c r="G43" s="1" t="s">
        <v>152</v>
      </c>
      <c r="H43" s="1" t="s">
        <v>153</v>
      </c>
      <c r="I43" s="1" t="s">
        <v>349</v>
      </c>
      <c r="J43" s="24">
        <v>45568</v>
      </c>
      <c r="K43" s="1" t="s">
        <v>350</v>
      </c>
      <c r="L43" s="1" t="s">
        <v>347</v>
      </c>
      <c r="M43" s="1">
        <v>372.62</v>
      </c>
      <c r="N43" s="1">
        <v>3</v>
      </c>
      <c r="O43" s="1" t="s">
        <v>38</v>
      </c>
      <c r="P43" s="1">
        <v>5</v>
      </c>
      <c r="Q43" s="1">
        <v>52</v>
      </c>
      <c r="R43" s="24">
        <v>45575</v>
      </c>
      <c r="S43" s="1" t="s">
        <v>351</v>
      </c>
      <c r="T43" s="4">
        <f>Table1[[#This Row],[Delivery_Date]]-Table1[[#This Row],[Order_Date]]</f>
        <v>7</v>
      </c>
      <c r="U43" s="4">
        <f>Table1[[#This Row],[Price]]*Table1[[#This Row],[Quantity]]</f>
        <v>1117.8600000000001</v>
      </c>
      <c r="V43" s="11">
        <f t="shared" si="0"/>
        <v>0.08</v>
      </c>
      <c r="W43" s="4">
        <f>Table1[[#This Row],[Amount]]-(Table1[[#This Row],[Amount]]*Table1[[#This Row],[Discount_Percent]])</f>
        <v>1028.4312000000002</v>
      </c>
      <c r="X43" s="4">
        <f>IF(O43="DEL0", Table1[[#This Row],[Discounted_Amount]],Table1[[#This Row],[Discounted_Amount]]+Table1[[#This Row],[Delivery_Charge]])</f>
        <v>1080.4312000000002</v>
      </c>
      <c r="Y43" s="4" t="str">
        <f>Table1[[#This Row],[First_Name]]&amp;" "&amp;Table1[[#This Row],[Last_Name]]</f>
        <v>Amy Reid</v>
      </c>
      <c r="Z43" s="4" t="str">
        <f>IF(T:T&gt;Table1[[#This Row],[Estimated_Days_to_Deliver]],"Late",IF(T:T=Table1[[#This Row],[Estimated_Days_to_Deliver]],"Intime","BeforeTime"))</f>
        <v>Late</v>
      </c>
      <c r="AA43" s="4">
        <f>MONTH(Table1[[#This Row],[Order_Date]])</f>
        <v>10</v>
      </c>
      <c r="AB43" s="13">
        <f>Table1[[#This Row],[Amount]]*Table1[[#This Row],[Discount_Percent]]</f>
        <v>89.42880000000001</v>
      </c>
    </row>
    <row r="44" spans="1:28" ht="14.25" customHeight="1">
      <c r="A44" s="1" t="s">
        <v>352</v>
      </c>
      <c r="B44" s="1" t="s">
        <v>353</v>
      </c>
      <c r="C44" s="1" t="s">
        <v>354</v>
      </c>
      <c r="D44" s="1">
        <v>70</v>
      </c>
      <c r="E44" s="1" t="s">
        <v>31</v>
      </c>
      <c r="F44" s="1" t="s">
        <v>170</v>
      </c>
      <c r="G44" s="1" t="s">
        <v>355</v>
      </c>
      <c r="H44" s="1" t="s">
        <v>356</v>
      </c>
      <c r="I44" s="1" t="s">
        <v>357</v>
      </c>
      <c r="J44" s="24">
        <v>45151</v>
      </c>
      <c r="K44" s="1" t="s">
        <v>358</v>
      </c>
      <c r="L44" s="1" t="s">
        <v>359</v>
      </c>
      <c r="M44" s="1">
        <v>496.59</v>
      </c>
      <c r="N44" s="1">
        <v>3</v>
      </c>
      <c r="O44" s="1" t="s">
        <v>60</v>
      </c>
      <c r="P44" s="1">
        <v>5</v>
      </c>
      <c r="Q44" s="1">
        <v>49</v>
      </c>
      <c r="R44" s="24">
        <v>45152</v>
      </c>
      <c r="S44" s="1" t="s">
        <v>360</v>
      </c>
      <c r="T44" s="4">
        <f>Table1[[#This Row],[Delivery_Date]]-Table1[[#This Row],[Order_Date]]</f>
        <v>1</v>
      </c>
      <c r="U44" s="4">
        <f>Table1[[#This Row],[Price]]*Table1[[#This Row],[Quantity]]</f>
        <v>1489.77</v>
      </c>
      <c r="V44" s="11">
        <f t="shared" si="0"/>
        <v>0.15</v>
      </c>
      <c r="W44" s="4">
        <f>Table1[[#This Row],[Amount]]-(Table1[[#This Row],[Amount]]*Table1[[#This Row],[Discount_Percent]])</f>
        <v>1266.3045</v>
      </c>
      <c r="X44" s="4">
        <f>IF(O44="DEL0", Table1[[#This Row],[Discounted_Amount]],Table1[[#This Row],[Discounted_Amount]]+Table1[[#This Row],[Delivery_Charge]])</f>
        <v>1315.3045</v>
      </c>
      <c r="Y44" s="4" t="str">
        <f>Table1[[#This Row],[First_Name]]&amp;" "&amp;Table1[[#This Row],[Last_Name]]</f>
        <v>Donna Oneill</v>
      </c>
      <c r="Z44" s="4" t="str">
        <f>IF(T:T&gt;Table1[[#This Row],[Estimated_Days_to_Deliver]],"Late",IF(T:T=Table1[[#This Row],[Estimated_Days_to_Deliver]],"Intime","BeforeTime"))</f>
        <v>BeforeTime</v>
      </c>
      <c r="AA44" s="4">
        <f>MONTH(Table1[[#This Row],[Order_Date]])</f>
        <v>8</v>
      </c>
      <c r="AB44" s="13">
        <f>Table1[[#This Row],[Amount]]*Table1[[#This Row],[Discount_Percent]]</f>
        <v>223.46549999999999</v>
      </c>
    </row>
    <row r="45" spans="1:28" ht="14.25" customHeight="1">
      <c r="A45" s="1" t="s">
        <v>361</v>
      </c>
      <c r="B45" s="1" t="s">
        <v>362</v>
      </c>
      <c r="C45" s="1" t="s">
        <v>363</v>
      </c>
      <c r="D45" s="1">
        <v>32</v>
      </c>
      <c r="E45" s="1" t="s">
        <v>43</v>
      </c>
      <c r="F45" s="1" t="s">
        <v>170</v>
      </c>
      <c r="G45" s="1" t="s">
        <v>364</v>
      </c>
      <c r="H45" s="1" t="s">
        <v>365</v>
      </c>
      <c r="I45" s="1" t="s">
        <v>366</v>
      </c>
      <c r="J45" s="24">
        <v>45020</v>
      </c>
      <c r="K45" s="1" t="s">
        <v>367</v>
      </c>
      <c r="L45" s="1" t="s">
        <v>311</v>
      </c>
      <c r="M45" s="1">
        <v>129.75</v>
      </c>
      <c r="N45" s="1">
        <v>1</v>
      </c>
      <c r="O45" s="1" t="s">
        <v>98</v>
      </c>
      <c r="P45" s="1">
        <v>5</v>
      </c>
      <c r="Q45" s="1">
        <v>43</v>
      </c>
      <c r="R45" s="24">
        <v>45026</v>
      </c>
      <c r="S45" s="1" t="s">
        <v>368</v>
      </c>
      <c r="T45" s="4">
        <f>Table1[[#This Row],[Delivery_Date]]-Table1[[#This Row],[Order_Date]]</f>
        <v>6</v>
      </c>
      <c r="U45" s="4">
        <f>Table1[[#This Row],[Price]]*Table1[[#This Row],[Quantity]]</f>
        <v>129.75</v>
      </c>
      <c r="V45" s="11">
        <f t="shared" si="0"/>
        <v>0.1</v>
      </c>
      <c r="W45" s="4">
        <f>Table1[[#This Row],[Amount]]-(Table1[[#This Row],[Amount]]*Table1[[#This Row],[Discount_Percent]])</f>
        <v>116.77500000000001</v>
      </c>
      <c r="X45" s="4">
        <f>IF(O45="DEL0", Table1[[#This Row],[Discounted_Amount]],Table1[[#This Row],[Discounted_Amount]]+Table1[[#This Row],[Delivery_Charge]])</f>
        <v>159.77500000000001</v>
      </c>
      <c r="Y45" s="4" t="str">
        <f>Table1[[#This Row],[First_Name]]&amp;" "&amp;Table1[[#This Row],[Last_Name]]</f>
        <v>Robert Castillo</v>
      </c>
      <c r="Z45" s="4" t="str">
        <f>IF(T:T&gt;Table1[[#This Row],[Estimated_Days_to_Deliver]],"Late",IF(T:T=Table1[[#This Row],[Estimated_Days_to_Deliver]],"Intime","BeforeTime"))</f>
        <v>Late</v>
      </c>
      <c r="AA45" s="4">
        <f>MONTH(Table1[[#This Row],[Order_Date]])</f>
        <v>4</v>
      </c>
      <c r="AB45" s="13">
        <f>Table1[[#This Row],[Amount]]*Table1[[#This Row],[Discount_Percent]]</f>
        <v>12.975000000000001</v>
      </c>
    </row>
    <row r="46" spans="1:28" ht="14.25" customHeight="1">
      <c r="A46" s="1" t="s">
        <v>369</v>
      </c>
      <c r="B46" s="1" t="s">
        <v>370</v>
      </c>
      <c r="C46" s="1" t="s">
        <v>371</v>
      </c>
      <c r="D46" s="1">
        <v>31</v>
      </c>
      <c r="E46" s="1" t="s">
        <v>54</v>
      </c>
      <c r="F46" s="1" t="s">
        <v>142</v>
      </c>
      <c r="G46" s="1" t="s">
        <v>372</v>
      </c>
      <c r="H46" s="1" t="s">
        <v>373</v>
      </c>
      <c r="I46" s="1" t="s">
        <v>374</v>
      </c>
      <c r="J46" s="24">
        <v>45336</v>
      </c>
      <c r="K46" s="1" t="s">
        <v>375</v>
      </c>
      <c r="L46" s="1" t="s">
        <v>147</v>
      </c>
      <c r="M46" s="1">
        <v>190.1</v>
      </c>
      <c r="N46" s="1">
        <v>5</v>
      </c>
      <c r="O46" s="1" t="s">
        <v>38</v>
      </c>
      <c r="P46" s="1">
        <v>5</v>
      </c>
      <c r="Q46" s="1">
        <v>35</v>
      </c>
      <c r="R46" s="24">
        <v>45341</v>
      </c>
      <c r="S46" s="1" t="s">
        <v>376</v>
      </c>
      <c r="T46" s="4">
        <f>Table1[[#This Row],[Delivery_Date]]-Table1[[#This Row],[Order_Date]]</f>
        <v>5</v>
      </c>
      <c r="U46" s="4">
        <f>Table1[[#This Row],[Price]]*Table1[[#This Row],[Quantity]]</f>
        <v>950.5</v>
      </c>
      <c r="V46" s="11">
        <f t="shared" si="0"/>
        <v>0.08</v>
      </c>
      <c r="W46" s="4">
        <f>Table1[[#This Row],[Amount]]-(Table1[[#This Row],[Amount]]*Table1[[#This Row],[Discount_Percent]])</f>
        <v>874.46</v>
      </c>
      <c r="X46" s="4">
        <f>IF(O46="DEL0", Table1[[#This Row],[Discounted_Amount]],Table1[[#This Row],[Discounted_Amount]]+Table1[[#This Row],[Delivery_Charge]])</f>
        <v>909.46</v>
      </c>
      <c r="Y46" s="4" t="str">
        <f>Table1[[#This Row],[First_Name]]&amp;" "&amp;Table1[[#This Row],[Last_Name]]</f>
        <v>Timothy Hicks</v>
      </c>
      <c r="Z46" s="4" t="str">
        <f>IF(T:T&gt;Table1[[#This Row],[Estimated_Days_to_Deliver]],"Late",IF(T:T=Table1[[#This Row],[Estimated_Days_to_Deliver]],"Intime","BeforeTime"))</f>
        <v>Intime</v>
      </c>
      <c r="AA46" s="4">
        <f>MONTH(Table1[[#This Row],[Order_Date]])</f>
        <v>2</v>
      </c>
      <c r="AB46" s="13">
        <f>Table1[[#This Row],[Amount]]*Table1[[#This Row],[Discount_Percent]]</f>
        <v>76.040000000000006</v>
      </c>
    </row>
    <row r="47" spans="1:28" ht="14.25" customHeight="1">
      <c r="A47" s="1" t="s">
        <v>377</v>
      </c>
      <c r="B47" s="1" t="s">
        <v>42</v>
      </c>
      <c r="C47" s="1" t="s">
        <v>378</v>
      </c>
      <c r="D47" s="1">
        <v>50</v>
      </c>
      <c r="E47" s="1" t="s">
        <v>54</v>
      </c>
      <c r="F47" s="1" t="s">
        <v>142</v>
      </c>
      <c r="G47" s="1" t="s">
        <v>379</v>
      </c>
      <c r="H47" s="1" t="s">
        <v>380</v>
      </c>
      <c r="I47" s="1" t="s">
        <v>381</v>
      </c>
      <c r="J47" s="24">
        <v>44987</v>
      </c>
      <c r="K47" s="1" t="s">
        <v>382</v>
      </c>
      <c r="L47" s="1" t="s">
        <v>147</v>
      </c>
      <c r="M47" s="1">
        <v>190.1</v>
      </c>
      <c r="N47" s="1">
        <v>1</v>
      </c>
      <c r="O47" s="1" t="s">
        <v>87</v>
      </c>
      <c r="P47" s="1">
        <v>5</v>
      </c>
      <c r="Q47" s="1">
        <v>63</v>
      </c>
      <c r="R47" s="24">
        <v>44992</v>
      </c>
      <c r="S47" s="1" t="s">
        <v>383</v>
      </c>
      <c r="T47" s="4">
        <f>Table1[[#This Row],[Delivery_Date]]-Table1[[#This Row],[Order_Date]]</f>
        <v>5</v>
      </c>
      <c r="U47" s="4">
        <f>Table1[[#This Row],[Price]]*Table1[[#This Row],[Quantity]]</f>
        <v>190.1</v>
      </c>
      <c r="V47" s="11">
        <f t="shared" si="0"/>
        <v>0.2</v>
      </c>
      <c r="W47" s="4">
        <f>Table1[[#This Row],[Amount]]-(Table1[[#This Row],[Amount]]*Table1[[#This Row],[Discount_Percent]])</f>
        <v>152.07999999999998</v>
      </c>
      <c r="X47" s="4">
        <f>IF(O47="DEL0", Table1[[#This Row],[Discounted_Amount]],Table1[[#This Row],[Discounted_Amount]]+Table1[[#This Row],[Delivery_Charge]])</f>
        <v>215.07999999999998</v>
      </c>
      <c r="Y47" s="4" t="str">
        <f>Table1[[#This Row],[First_Name]]&amp;" "&amp;Table1[[#This Row],[Last_Name]]</f>
        <v>Thomas Andersen</v>
      </c>
      <c r="Z47" s="4" t="str">
        <f>IF(T:T&gt;Table1[[#This Row],[Estimated_Days_to_Deliver]],"Late",IF(T:T=Table1[[#This Row],[Estimated_Days_to_Deliver]],"Intime","BeforeTime"))</f>
        <v>Intime</v>
      </c>
      <c r="AA47" s="4">
        <f>MONTH(Table1[[#This Row],[Order_Date]])</f>
        <v>3</v>
      </c>
      <c r="AB47" s="13">
        <f>Table1[[#This Row],[Amount]]*Table1[[#This Row],[Discount_Percent]]</f>
        <v>38.020000000000003</v>
      </c>
    </row>
    <row r="48" spans="1:28" ht="14.25" customHeight="1">
      <c r="A48" s="1" t="s">
        <v>304</v>
      </c>
      <c r="B48" s="1" t="s">
        <v>305</v>
      </c>
      <c r="C48" s="1" t="s">
        <v>306</v>
      </c>
      <c r="D48" s="1">
        <v>26</v>
      </c>
      <c r="E48" s="1" t="s">
        <v>54</v>
      </c>
      <c r="F48" s="1" t="s">
        <v>170</v>
      </c>
      <c r="G48" s="1" t="s">
        <v>307</v>
      </c>
      <c r="H48" s="1" t="s">
        <v>308</v>
      </c>
      <c r="I48" s="1" t="s">
        <v>384</v>
      </c>
      <c r="J48" s="24">
        <v>45313</v>
      </c>
      <c r="K48" s="1" t="s">
        <v>385</v>
      </c>
      <c r="L48" s="1" t="s">
        <v>386</v>
      </c>
      <c r="M48" s="1">
        <v>431.44</v>
      </c>
      <c r="N48" s="1">
        <v>5</v>
      </c>
      <c r="O48" s="1" t="s">
        <v>38</v>
      </c>
      <c r="P48" s="1">
        <v>5</v>
      </c>
      <c r="Q48" s="1">
        <v>57</v>
      </c>
      <c r="R48" s="24">
        <v>45318</v>
      </c>
      <c r="S48" s="1" t="s">
        <v>387</v>
      </c>
      <c r="T48" s="4">
        <f>Table1[[#This Row],[Delivery_Date]]-Table1[[#This Row],[Order_Date]]</f>
        <v>5</v>
      </c>
      <c r="U48" s="4">
        <f>Table1[[#This Row],[Price]]*Table1[[#This Row],[Quantity]]</f>
        <v>2157.1999999999998</v>
      </c>
      <c r="V48" s="11">
        <f t="shared" si="0"/>
        <v>0.08</v>
      </c>
      <c r="W48" s="4">
        <f>Table1[[#This Row],[Amount]]-(Table1[[#This Row],[Amount]]*Table1[[#This Row],[Discount_Percent]])</f>
        <v>1984.6239999999998</v>
      </c>
      <c r="X48" s="4">
        <f>IF(O48="DEL0", Table1[[#This Row],[Discounted_Amount]],Table1[[#This Row],[Discounted_Amount]]+Table1[[#This Row],[Delivery_Charge]])</f>
        <v>2041.6239999999998</v>
      </c>
      <c r="Y48" s="4" t="str">
        <f>Table1[[#This Row],[First_Name]]&amp;" "&amp;Table1[[#This Row],[Last_Name]]</f>
        <v>Valerie Carr</v>
      </c>
      <c r="Z48" s="4" t="str">
        <f>IF(T:T&gt;Table1[[#This Row],[Estimated_Days_to_Deliver]],"Late",IF(T:T=Table1[[#This Row],[Estimated_Days_to_Deliver]],"Intime","BeforeTime"))</f>
        <v>Intime</v>
      </c>
      <c r="AA48" s="4">
        <f>MONTH(Table1[[#This Row],[Order_Date]])</f>
        <v>1</v>
      </c>
      <c r="AB48" s="13">
        <f>Table1[[#This Row],[Amount]]*Table1[[#This Row],[Discount_Percent]]</f>
        <v>172.57599999999999</v>
      </c>
    </row>
    <row r="49" spans="1:28" ht="14.25" customHeight="1">
      <c r="A49" s="1" t="s">
        <v>388</v>
      </c>
      <c r="B49" s="1" t="s">
        <v>389</v>
      </c>
      <c r="C49" s="1" t="s">
        <v>390</v>
      </c>
      <c r="D49" s="1">
        <v>47</v>
      </c>
      <c r="E49" s="1" t="s">
        <v>43</v>
      </c>
      <c r="F49" s="1" t="s">
        <v>92</v>
      </c>
      <c r="G49" s="1" t="s">
        <v>391</v>
      </c>
      <c r="H49" s="1" t="s">
        <v>392</v>
      </c>
      <c r="I49" s="1" t="s">
        <v>393</v>
      </c>
      <c r="J49" s="24">
        <v>45054</v>
      </c>
      <c r="K49" s="1" t="s">
        <v>394</v>
      </c>
      <c r="L49" s="1" t="s">
        <v>290</v>
      </c>
      <c r="M49" s="1">
        <v>157.63999999999999</v>
      </c>
      <c r="N49" s="1">
        <v>4</v>
      </c>
      <c r="O49" s="1" t="s">
        <v>38</v>
      </c>
      <c r="P49" s="1">
        <v>5</v>
      </c>
      <c r="Q49" s="1">
        <v>44</v>
      </c>
      <c r="R49" s="24">
        <v>45061</v>
      </c>
      <c r="S49" s="1" t="s">
        <v>395</v>
      </c>
      <c r="T49" s="4">
        <f>Table1[[#This Row],[Delivery_Date]]-Table1[[#This Row],[Order_Date]]</f>
        <v>7</v>
      </c>
      <c r="U49" s="4">
        <f>Table1[[#This Row],[Price]]*Table1[[#This Row],[Quantity]]</f>
        <v>630.55999999999995</v>
      </c>
      <c r="V49" s="11">
        <f t="shared" si="0"/>
        <v>0.08</v>
      </c>
      <c r="W49" s="4">
        <f>Table1[[#This Row],[Amount]]-(Table1[[#This Row],[Amount]]*Table1[[#This Row],[Discount_Percent]])</f>
        <v>580.11519999999996</v>
      </c>
      <c r="X49" s="4">
        <f>IF(O49="DEL0", Table1[[#This Row],[Discounted_Amount]],Table1[[#This Row],[Discounted_Amount]]+Table1[[#This Row],[Delivery_Charge]])</f>
        <v>624.11519999999996</v>
      </c>
      <c r="Y49" s="4" t="str">
        <f>Table1[[#This Row],[First_Name]]&amp;" "&amp;Table1[[#This Row],[Last_Name]]</f>
        <v>Aaron Thompson</v>
      </c>
      <c r="Z49" s="4" t="str">
        <f>IF(T:T&gt;Table1[[#This Row],[Estimated_Days_to_Deliver]],"Late",IF(T:T=Table1[[#This Row],[Estimated_Days_to_Deliver]],"Intime","BeforeTime"))</f>
        <v>Late</v>
      </c>
      <c r="AA49" s="4">
        <f>MONTH(Table1[[#This Row],[Order_Date]])</f>
        <v>5</v>
      </c>
      <c r="AB49" s="13">
        <f>Table1[[#This Row],[Amount]]*Table1[[#This Row],[Discount_Percent]]</f>
        <v>50.444799999999994</v>
      </c>
    </row>
    <row r="50" spans="1:28" ht="14.25" customHeight="1">
      <c r="A50" s="1" t="s">
        <v>396</v>
      </c>
      <c r="B50" s="1" t="s">
        <v>397</v>
      </c>
      <c r="C50" s="1" t="s">
        <v>398</v>
      </c>
      <c r="D50" s="1">
        <v>40</v>
      </c>
      <c r="E50" s="1" t="s">
        <v>54</v>
      </c>
      <c r="F50" s="1" t="s">
        <v>170</v>
      </c>
      <c r="G50" s="1" t="s">
        <v>399</v>
      </c>
      <c r="H50" s="1" t="s">
        <v>400</v>
      </c>
      <c r="I50" s="1" t="s">
        <v>401</v>
      </c>
      <c r="J50" s="24">
        <v>45620</v>
      </c>
      <c r="K50" s="1" t="s">
        <v>402</v>
      </c>
      <c r="L50" s="1" t="s">
        <v>49</v>
      </c>
      <c r="M50" s="1">
        <v>166.28</v>
      </c>
      <c r="N50" s="1">
        <v>4</v>
      </c>
      <c r="O50" s="1" t="s">
        <v>65</v>
      </c>
      <c r="P50" s="1">
        <v>5</v>
      </c>
      <c r="Q50" s="1">
        <v>41</v>
      </c>
      <c r="R50" s="24">
        <v>45626</v>
      </c>
      <c r="S50" s="1" t="s">
        <v>403</v>
      </c>
      <c r="T50" s="4">
        <f>Table1[[#This Row],[Delivery_Date]]-Table1[[#This Row],[Order_Date]]</f>
        <v>6</v>
      </c>
      <c r="U50" s="4">
        <f>Table1[[#This Row],[Price]]*Table1[[#This Row],[Quantity]]</f>
        <v>665.12</v>
      </c>
      <c r="V50" s="11">
        <f t="shared" si="0"/>
        <v>0</v>
      </c>
      <c r="W50" s="4">
        <f>Table1[[#This Row],[Amount]]-(Table1[[#This Row],[Amount]]*Table1[[#This Row],[Discount_Percent]])</f>
        <v>665.12</v>
      </c>
      <c r="X50" s="4">
        <f>IF(O50="DEL0", Table1[[#This Row],[Discounted_Amount]],Table1[[#This Row],[Discounted_Amount]]+Table1[[#This Row],[Delivery_Charge]])</f>
        <v>665.12</v>
      </c>
      <c r="Y50" s="4" t="str">
        <f>Table1[[#This Row],[First_Name]]&amp;" "&amp;Table1[[#This Row],[Last_Name]]</f>
        <v>Jason Lopez</v>
      </c>
      <c r="Z50" s="4" t="str">
        <f>IF(T:T&gt;Table1[[#This Row],[Estimated_Days_to_Deliver]],"Late",IF(T:T=Table1[[#This Row],[Estimated_Days_to_Deliver]],"Intime","BeforeTime"))</f>
        <v>Late</v>
      </c>
      <c r="AA50" s="4">
        <f>MONTH(Table1[[#This Row],[Order_Date]])</f>
        <v>11</v>
      </c>
      <c r="AB50" s="13">
        <f>Table1[[#This Row],[Amount]]*Table1[[#This Row],[Discount_Percent]]</f>
        <v>0</v>
      </c>
    </row>
    <row r="51" spans="1:28" ht="14.25" customHeight="1">
      <c r="A51" s="1" t="s">
        <v>404</v>
      </c>
      <c r="B51" s="1" t="s">
        <v>405</v>
      </c>
      <c r="C51" s="1" t="s">
        <v>406</v>
      </c>
      <c r="D51" s="1">
        <v>70</v>
      </c>
      <c r="E51" s="1" t="s">
        <v>31</v>
      </c>
      <c r="F51" s="1" t="s">
        <v>32</v>
      </c>
      <c r="G51" s="1" t="s">
        <v>407</v>
      </c>
      <c r="H51" s="1" t="s">
        <v>408</v>
      </c>
      <c r="I51" s="1" t="s">
        <v>409</v>
      </c>
      <c r="J51" s="24">
        <v>45545</v>
      </c>
      <c r="K51" s="1" t="s">
        <v>410</v>
      </c>
      <c r="L51" s="1" t="s">
        <v>202</v>
      </c>
      <c r="M51" s="1">
        <v>20.7</v>
      </c>
      <c r="N51" s="1">
        <v>2</v>
      </c>
      <c r="O51" s="1" t="s">
        <v>98</v>
      </c>
      <c r="P51" s="1">
        <v>5</v>
      </c>
      <c r="Q51" s="1">
        <v>50</v>
      </c>
      <c r="R51" s="24">
        <v>45547</v>
      </c>
      <c r="S51" s="1" t="s">
        <v>411</v>
      </c>
      <c r="T51" s="4">
        <f>Table1[[#This Row],[Delivery_Date]]-Table1[[#This Row],[Order_Date]]</f>
        <v>2</v>
      </c>
      <c r="U51" s="4">
        <f>Table1[[#This Row],[Price]]*Table1[[#This Row],[Quantity]]</f>
        <v>41.4</v>
      </c>
      <c r="V51" s="11">
        <f t="shared" si="0"/>
        <v>0.1</v>
      </c>
      <c r="W51" s="4">
        <f>Table1[[#This Row],[Amount]]-(Table1[[#This Row],[Amount]]*Table1[[#This Row],[Discount_Percent]])</f>
        <v>37.26</v>
      </c>
      <c r="X51" s="4">
        <f>IF(O51="DEL0", Table1[[#This Row],[Discounted_Amount]],Table1[[#This Row],[Discounted_Amount]]+Table1[[#This Row],[Delivery_Charge]])</f>
        <v>87.259999999999991</v>
      </c>
      <c r="Y51" s="4" t="str">
        <f>Table1[[#This Row],[First_Name]]&amp;" "&amp;Table1[[#This Row],[Last_Name]]</f>
        <v>Alexandra Smith</v>
      </c>
      <c r="Z51" s="4" t="str">
        <f>IF(T:T&gt;Table1[[#This Row],[Estimated_Days_to_Deliver]],"Late",IF(T:T=Table1[[#This Row],[Estimated_Days_to_Deliver]],"Intime","BeforeTime"))</f>
        <v>BeforeTime</v>
      </c>
      <c r="AA51" s="4">
        <f>MONTH(Table1[[#This Row],[Order_Date]])</f>
        <v>9</v>
      </c>
      <c r="AB51" s="13">
        <f>Table1[[#This Row],[Amount]]*Table1[[#This Row],[Discount_Percent]]</f>
        <v>4.1399999999999997</v>
      </c>
    </row>
    <row r="52" spans="1:28" ht="14.25" customHeight="1">
      <c r="A52" s="1" t="s">
        <v>352</v>
      </c>
      <c r="B52" s="1" t="s">
        <v>353</v>
      </c>
      <c r="C52" s="1" t="s">
        <v>354</v>
      </c>
      <c r="D52" s="1">
        <v>70</v>
      </c>
      <c r="E52" s="1" t="s">
        <v>31</v>
      </c>
      <c r="F52" s="1" t="s">
        <v>170</v>
      </c>
      <c r="G52" s="1" t="s">
        <v>355</v>
      </c>
      <c r="H52" s="1" t="s">
        <v>356</v>
      </c>
      <c r="I52" s="1" t="s">
        <v>412</v>
      </c>
      <c r="J52" s="24">
        <v>45224</v>
      </c>
      <c r="K52" s="1" t="s">
        <v>413</v>
      </c>
      <c r="L52" s="1" t="s">
        <v>311</v>
      </c>
      <c r="M52" s="1">
        <v>129.75</v>
      </c>
      <c r="N52" s="1">
        <v>2</v>
      </c>
      <c r="O52" s="1" t="s">
        <v>87</v>
      </c>
      <c r="P52" s="1">
        <v>5</v>
      </c>
      <c r="Q52" s="1">
        <v>42</v>
      </c>
      <c r="R52" s="24">
        <v>45227</v>
      </c>
      <c r="S52" s="1" t="s">
        <v>414</v>
      </c>
      <c r="T52" s="4">
        <f>Table1[[#This Row],[Delivery_Date]]-Table1[[#This Row],[Order_Date]]</f>
        <v>3</v>
      </c>
      <c r="U52" s="4">
        <f>Table1[[#This Row],[Price]]*Table1[[#This Row],[Quantity]]</f>
        <v>259.5</v>
      </c>
      <c r="V52" s="11">
        <f t="shared" si="0"/>
        <v>0.2</v>
      </c>
      <c r="W52" s="4">
        <f>Table1[[#This Row],[Amount]]-(Table1[[#This Row],[Amount]]*Table1[[#This Row],[Discount_Percent]])</f>
        <v>207.6</v>
      </c>
      <c r="X52" s="4">
        <f>IF(O52="DEL0", Table1[[#This Row],[Discounted_Amount]],Table1[[#This Row],[Discounted_Amount]]+Table1[[#This Row],[Delivery_Charge]])</f>
        <v>249.6</v>
      </c>
      <c r="Y52" s="4" t="str">
        <f>Table1[[#This Row],[First_Name]]&amp;" "&amp;Table1[[#This Row],[Last_Name]]</f>
        <v>Donna Oneill</v>
      </c>
      <c r="Z52" s="4" t="str">
        <f>IF(T:T&gt;Table1[[#This Row],[Estimated_Days_to_Deliver]],"Late",IF(T:T=Table1[[#This Row],[Estimated_Days_to_Deliver]],"Intime","BeforeTime"))</f>
        <v>BeforeTime</v>
      </c>
      <c r="AA52" s="4">
        <f>MONTH(Table1[[#This Row],[Order_Date]])</f>
        <v>10</v>
      </c>
      <c r="AB52" s="13">
        <f>Table1[[#This Row],[Amount]]*Table1[[#This Row],[Discount_Percent]]</f>
        <v>51.900000000000006</v>
      </c>
    </row>
    <row r="53" spans="1:28" ht="14.25" customHeight="1">
      <c r="A53" s="1" t="s">
        <v>415</v>
      </c>
      <c r="B53" s="1" t="s">
        <v>231</v>
      </c>
      <c r="C53" s="1" t="s">
        <v>416</v>
      </c>
      <c r="D53" s="1">
        <v>28</v>
      </c>
      <c r="E53" s="1" t="s">
        <v>54</v>
      </c>
      <c r="F53" s="1" t="s">
        <v>142</v>
      </c>
      <c r="G53" s="1" t="s">
        <v>417</v>
      </c>
      <c r="H53" s="1" t="s">
        <v>418</v>
      </c>
      <c r="I53" s="1" t="s">
        <v>419</v>
      </c>
      <c r="J53" s="24">
        <v>45365</v>
      </c>
      <c r="K53" s="1" t="s">
        <v>420</v>
      </c>
      <c r="L53" s="1" t="s">
        <v>421</v>
      </c>
      <c r="M53" s="1">
        <v>44.5</v>
      </c>
      <c r="N53" s="1">
        <v>4</v>
      </c>
      <c r="O53" s="1" t="s">
        <v>38</v>
      </c>
      <c r="P53" s="1">
        <v>5</v>
      </c>
      <c r="Q53" s="1">
        <v>40</v>
      </c>
      <c r="R53" s="24">
        <v>45368</v>
      </c>
      <c r="S53" s="1" t="s">
        <v>422</v>
      </c>
      <c r="T53" s="4">
        <f>Table1[[#This Row],[Delivery_Date]]-Table1[[#This Row],[Order_Date]]</f>
        <v>3</v>
      </c>
      <c r="U53" s="4">
        <f>Table1[[#This Row],[Price]]*Table1[[#This Row],[Quantity]]</f>
        <v>178</v>
      </c>
      <c r="V53" s="11">
        <f t="shared" si="0"/>
        <v>0.08</v>
      </c>
      <c r="W53" s="4">
        <f>Table1[[#This Row],[Amount]]-(Table1[[#This Row],[Amount]]*Table1[[#This Row],[Discount_Percent]])</f>
        <v>163.76</v>
      </c>
      <c r="X53" s="4">
        <f>IF(O53="DEL0", Table1[[#This Row],[Discounted_Amount]],Table1[[#This Row],[Discounted_Amount]]+Table1[[#This Row],[Delivery_Charge]])</f>
        <v>203.76</v>
      </c>
      <c r="Y53" s="4" t="str">
        <f>Table1[[#This Row],[First_Name]]&amp;" "&amp;Table1[[#This Row],[Last_Name]]</f>
        <v>John Ramirez</v>
      </c>
      <c r="Z53" s="4" t="str">
        <f>IF(T:T&gt;Table1[[#This Row],[Estimated_Days_to_Deliver]],"Late",IF(T:T=Table1[[#This Row],[Estimated_Days_to_Deliver]],"Intime","BeforeTime"))</f>
        <v>BeforeTime</v>
      </c>
      <c r="AA53" s="4">
        <f>MONTH(Table1[[#This Row],[Order_Date]])</f>
        <v>3</v>
      </c>
      <c r="AB53" s="13">
        <f>Table1[[#This Row],[Amount]]*Table1[[#This Row],[Discount_Percent]]</f>
        <v>14.24</v>
      </c>
    </row>
    <row r="54" spans="1:28" ht="14.25" customHeight="1">
      <c r="A54" s="1" t="s">
        <v>423</v>
      </c>
      <c r="B54" s="1" t="s">
        <v>424</v>
      </c>
      <c r="C54" s="1" t="s">
        <v>425</v>
      </c>
      <c r="D54" s="1">
        <v>52</v>
      </c>
      <c r="E54" s="1" t="s">
        <v>54</v>
      </c>
      <c r="F54" s="1" t="s">
        <v>223</v>
      </c>
      <c r="G54" s="1" t="s">
        <v>426</v>
      </c>
      <c r="H54" s="1" t="s">
        <v>427</v>
      </c>
      <c r="I54" s="1" t="s">
        <v>428</v>
      </c>
      <c r="J54" s="24">
        <v>45145</v>
      </c>
      <c r="K54" s="1" t="s">
        <v>429</v>
      </c>
      <c r="L54" s="1" t="s">
        <v>253</v>
      </c>
      <c r="M54" s="1">
        <v>128.13999999999999</v>
      </c>
      <c r="N54" s="1">
        <v>5</v>
      </c>
      <c r="O54" s="1" t="s">
        <v>60</v>
      </c>
      <c r="P54" s="1">
        <v>5</v>
      </c>
      <c r="Q54" s="1">
        <v>57</v>
      </c>
      <c r="R54" s="24">
        <v>45147</v>
      </c>
      <c r="S54" s="1" t="s">
        <v>430</v>
      </c>
      <c r="T54" s="4">
        <f>Table1[[#This Row],[Delivery_Date]]-Table1[[#This Row],[Order_Date]]</f>
        <v>2</v>
      </c>
      <c r="U54" s="4">
        <f>Table1[[#This Row],[Price]]*Table1[[#This Row],[Quantity]]</f>
        <v>640.69999999999993</v>
      </c>
      <c r="V54" s="11">
        <f t="shared" si="0"/>
        <v>0.15</v>
      </c>
      <c r="W54" s="4">
        <f>Table1[[#This Row],[Amount]]-(Table1[[#This Row],[Amount]]*Table1[[#This Row],[Discount_Percent]])</f>
        <v>544.59499999999991</v>
      </c>
      <c r="X54" s="4">
        <f>IF(O54="DEL0", Table1[[#This Row],[Discounted_Amount]],Table1[[#This Row],[Discounted_Amount]]+Table1[[#This Row],[Delivery_Charge]])</f>
        <v>601.59499999999991</v>
      </c>
      <c r="Y54" s="4" t="str">
        <f>Table1[[#This Row],[First_Name]]&amp;" "&amp;Table1[[#This Row],[Last_Name]]</f>
        <v>Amanda Howard</v>
      </c>
      <c r="Z54" s="4" t="str">
        <f>IF(T:T&gt;Table1[[#This Row],[Estimated_Days_to_Deliver]],"Late",IF(T:T=Table1[[#This Row],[Estimated_Days_to_Deliver]],"Intime","BeforeTime"))</f>
        <v>BeforeTime</v>
      </c>
      <c r="AA54" s="4">
        <f>MONTH(Table1[[#This Row],[Order_Date]])</f>
        <v>8</v>
      </c>
      <c r="AB54" s="13">
        <f>Table1[[#This Row],[Amount]]*Table1[[#This Row],[Discount_Percent]]</f>
        <v>96.10499999999999</v>
      </c>
    </row>
    <row r="55" spans="1:28" ht="14.25" customHeight="1">
      <c r="A55" s="1" t="s">
        <v>304</v>
      </c>
      <c r="B55" s="1" t="s">
        <v>305</v>
      </c>
      <c r="C55" s="1" t="s">
        <v>306</v>
      </c>
      <c r="D55" s="1">
        <v>26</v>
      </c>
      <c r="E55" s="1" t="s">
        <v>54</v>
      </c>
      <c r="F55" s="1" t="s">
        <v>170</v>
      </c>
      <c r="G55" s="1" t="s">
        <v>307</v>
      </c>
      <c r="H55" s="1" t="s">
        <v>308</v>
      </c>
      <c r="I55" s="1" t="s">
        <v>431</v>
      </c>
      <c r="J55" s="24">
        <v>45312</v>
      </c>
      <c r="K55" s="1" t="s">
        <v>432</v>
      </c>
      <c r="L55" s="1" t="s">
        <v>433</v>
      </c>
      <c r="M55" s="1">
        <v>369.03</v>
      </c>
      <c r="N55" s="1">
        <v>2</v>
      </c>
      <c r="O55" s="1" t="s">
        <v>98</v>
      </c>
      <c r="P55" s="1">
        <v>5</v>
      </c>
      <c r="Q55" s="1">
        <v>46</v>
      </c>
      <c r="R55" s="24">
        <v>45318</v>
      </c>
      <c r="S55" s="1" t="s">
        <v>434</v>
      </c>
      <c r="T55" s="4">
        <f>Table1[[#This Row],[Delivery_Date]]-Table1[[#This Row],[Order_Date]]</f>
        <v>6</v>
      </c>
      <c r="U55" s="4">
        <f>Table1[[#This Row],[Price]]*Table1[[#This Row],[Quantity]]</f>
        <v>738.06</v>
      </c>
      <c r="V55" s="11">
        <f t="shared" si="0"/>
        <v>0.1</v>
      </c>
      <c r="W55" s="4">
        <f>Table1[[#This Row],[Amount]]-(Table1[[#This Row],[Amount]]*Table1[[#This Row],[Discount_Percent]])</f>
        <v>664.25399999999991</v>
      </c>
      <c r="X55" s="4">
        <f>IF(O55="DEL0", Table1[[#This Row],[Discounted_Amount]],Table1[[#This Row],[Discounted_Amount]]+Table1[[#This Row],[Delivery_Charge]])</f>
        <v>710.25399999999991</v>
      </c>
      <c r="Y55" s="4" t="str">
        <f>Table1[[#This Row],[First_Name]]&amp;" "&amp;Table1[[#This Row],[Last_Name]]</f>
        <v>Valerie Carr</v>
      </c>
      <c r="Z55" s="4" t="str">
        <f>IF(T:T&gt;Table1[[#This Row],[Estimated_Days_to_Deliver]],"Late",IF(T:T=Table1[[#This Row],[Estimated_Days_to_Deliver]],"Intime","BeforeTime"))</f>
        <v>Late</v>
      </c>
      <c r="AA55" s="4">
        <f>MONTH(Table1[[#This Row],[Order_Date]])</f>
        <v>1</v>
      </c>
      <c r="AB55" s="13">
        <f>Table1[[#This Row],[Amount]]*Table1[[#This Row],[Discount_Percent]]</f>
        <v>73.805999999999997</v>
      </c>
    </row>
    <row r="56" spans="1:28" ht="14.25" customHeight="1">
      <c r="A56" s="1" t="s">
        <v>415</v>
      </c>
      <c r="B56" s="1" t="s">
        <v>231</v>
      </c>
      <c r="C56" s="1" t="s">
        <v>416</v>
      </c>
      <c r="D56" s="1">
        <v>28</v>
      </c>
      <c r="E56" s="1" t="s">
        <v>54</v>
      </c>
      <c r="F56" s="1" t="s">
        <v>142</v>
      </c>
      <c r="G56" s="1" t="s">
        <v>417</v>
      </c>
      <c r="H56" s="1" t="s">
        <v>418</v>
      </c>
      <c r="I56" s="1" t="s">
        <v>435</v>
      </c>
      <c r="J56" s="24">
        <v>45599</v>
      </c>
      <c r="K56" s="1" t="s">
        <v>436</v>
      </c>
      <c r="L56" s="1" t="s">
        <v>97</v>
      </c>
      <c r="M56" s="1">
        <v>363.64</v>
      </c>
      <c r="N56" s="1">
        <v>1</v>
      </c>
      <c r="O56" s="1" t="s">
        <v>98</v>
      </c>
      <c r="P56" s="1">
        <v>5</v>
      </c>
      <c r="Q56" s="1">
        <v>70</v>
      </c>
      <c r="R56" s="24">
        <v>45606</v>
      </c>
      <c r="S56" s="1" t="s">
        <v>437</v>
      </c>
      <c r="T56" s="4">
        <f>Table1[[#This Row],[Delivery_Date]]-Table1[[#This Row],[Order_Date]]</f>
        <v>7</v>
      </c>
      <c r="U56" s="4">
        <f>Table1[[#This Row],[Price]]*Table1[[#This Row],[Quantity]]</f>
        <v>363.64</v>
      </c>
      <c r="V56" s="11">
        <f t="shared" si="0"/>
        <v>0.1</v>
      </c>
      <c r="W56" s="4">
        <f>Table1[[#This Row],[Amount]]-(Table1[[#This Row],[Amount]]*Table1[[#This Row],[Discount_Percent]])</f>
        <v>327.27600000000001</v>
      </c>
      <c r="X56" s="4">
        <f>IF(O56="DEL0", Table1[[#This Row],[Discounted_Amount]],Table1[[#This Row],[Discounted_Amount]]+Table1[[#This Row],[Delivery_Charge]])</f>
        <v>397.27600000000001</v>
      </c>
      <c r="Y56" s="4" t="str">
        <f>Table1[[#This Row],[First_Name]]&amp;" "&amp;Table1[[#This Row],[Last_Name]]</f>
        <v>John Ramirez</v>
      </c>
      <c r="Z56" s="4" t="str">
        <f>IF(T:T&gt;Table1[[#This Row],[Estimated_Days_to_Deliver]],"Late",IF(T:T=Table1[[#This Row],[Estimated_Days_to_Deliver]],"Intime","BeforeTime"))</f>
        <v>Late</v>
      </c>
      <c r="AA56" s="4">
        <f>MONTH(Table1[[#This Row],[Order_Date]])</f>
        <v>11</v>
      </c>
      <c r="AB56" s="13">
        <f>Table1[[#This Row],[Amount]]*Table1[[#This Row],[Discount_Percent]]</f>
        <v>36.363999999999997</v>
      </c>
    </row>
    <row r="57" spans="1:28" ht="14.25" customHeight="1">
      <c r="A57" s="1" t="s">
        <v>438</v>
      </c>
      <c r="B57" s="1" t="s">
        <v>439</v>
      </c>
      <c r="C57" s="1" t="s">
        <v>440</v>
      </c>
      <c r="D57" s="1">
        <v>28</v>
      </c>
      <c r="E57" s="1" t="s">
        <v>54</v>
      </c>
      <c r="F57" s="1" t="s">
        <v>78</v>
      </c>
      <c r="G57" s="1" t="s">
        <v>441</v>
      </c>
      <c r="H57" s="1" t="s">
        <v>442</v>
      </c>
      <c r="I57" s="1" t="s">
        <v>443</v>
      </c>
      <c r="J57" s="24">
        <v>45229</v>
      </c>
      <c r="K57" s="1" t="s">
        <v>444</v>
      </c>
      <c r="L57" s="1" t="s">
        <v>64</v>
      </c>
      <c r="M57" s="1">
        <v>405</v>
      </c>
      <c r="N57" s="1">
        <v>1</v>
      </c>
      <c r="O57" s="1" t="s">
        <v>65</v>
      </c>
      <c r="P57" s="1">
        <v>5</v>
      </c>
      <c r="Q57" s="1">
        <v>44</v>
      </c>
      <c r="R57" s="24">
        <v>45233</v>
      </c>
      <c r="S57" s="1" t="s">
        <v>445</v>
      </c>
      <c r="T57" s="4">
        <f>Table1[[#This Row],[Delivery_Date]]-Table1[[#This Row],[Order_Date]]</f>
        <v>4</v>
      </c>
      <c r="U57" s="4">
        <f>Table1[[#This Row],[Price]]*Table1[[#This Row],[Quantity]]</f>
        <v>405</v>
      </c>
      <c r="V57" s="11">
        <f t="shared" si="0"/>
        <v>0</v>
      </c>
      <c r="W57" s="4">
        <f>Table1[[#This Row],[Amount]]-(Table1[[#This Row],[Amount]]*Table1[[#This Row],[Discount_Percent]])</f>
        <v>405</v>
      </c>
      <c r="X57" s="4">
        <f>IF(O57="DEL0", Table1[[#This Row],[Discounted_Amount]],Table1[[#This Row],[Discounted_Amount]]+Table1[[#This Row],[Delivery_Charge]])</f>
        <v>405</v>
      </c>
      <c r="Y57" s="4" t="str">
        <f>Table1[[#This Row],[First_Name]]&amp;" "&amp;Table1[[#This Row],[Last_Name]]</f>
        <v>Mary Knight</v>
      </c>
      <c r="Z57" s="4" t="str">
        <f>IF(T:T&gt;Table1[[#This Row],[Estimated_Days_to_Deliver]],"Late",IF(T:T=Table1[[#This Row],[Estimated_Days_to_Deliver]],"Intime","BeforeTime"))</f>
        <v>BeforeTime</v>
      </c>
      <c r="AA57" s="4">
        <f>MONTH(Table1[[#This Row],[Order_Date]])</f>
        <v>10</v>
      </c>
      <c r="AB57" s="13">
        <f>Table1[[#This Row],[Amount]]*Table1[[#This Row],[Discount_Percent]]</f>
        <v>0</v>
      </c>
    </row>
    <row r="58" spans="1:28" ht="14.25" customHeight="1">
      <c r="A58" s="1" t="s">
        <v>446</v>
      </c>
      <c r="B58" s="1" t="s">
        <v>101</v>
      </c>
      <c r="C58" s="1" t="s">
        <v>447</v>
      </c>
      <c r="D58" s="1">
        <v>36</v>
      </c>
      <c r="E58" s="1" t="s">
        <v>43</v>
      </c>
      <c r="F58" s="1" t="s">
        <v>32</v>
      </c>
      <c r="G58" s="1" t="s">
        <v>448</v>
      </c>
      <c r="H58" s="1" t="s">
        <v>449</v>
      </c>
      <c r="I58" s="1" t="s">
        <v>450</v>
      </c>
      <c r="J58" s="24">
        <v>45149</v>
      </c>
      <c r="K58" s="1" t="s">
        <v>451</v>
      </c>
      <c r="L58" s="1" t="s">
        <v>273</v>
      </c>
      <c r="M58" s="1">
        <v>62.42</v>
      </c>
      <c r="N58" s="1">
        <v>2</v>
      </c>
      <c r="O58" s="1" t="s">
        <v>60</v>
      </c>
      <c r="P58" s="1">
        <v>5</v>
      </c>
      <c r="Q58" s="1">
        <v>53</v>
      </c>
      <c r="R58" s="24">
        <v>45154</v>
      </c>
      <c r="S58" s="1" t="s">
        <v>452</v>
      </c>
      <c r="T58" s="4">
        <f>Table1[[#This Row],[Delivery_Date]]-Table1[[#This Row],[Order_Date]]</f>
        <v>5</v>
      </c>
      <c r="U58" s="4">
        <f>Table1[[#This Row],[Price]]*Table1[[#This Row],[Quantity]]</f>
        <v>124.84</v>
      </c>
      <c r="V58" s="11">
        <f t="shared" si="0"/>
        <v>0.15</v>
      </c>
      <c r="W58" s="4">
        <f>Table1[[#This Row],[Amount]]-(Table1[[#This Row],[Amount]]*Table1[[#This Row],[Discount_Percent]])</f>
        <v>106.114</v>
      </c>
      <c r="X58" s="4">
        <f>IF(O58="DEL0", Table1[[#This Row],[Discounted_Amount]],Table1[[#This Row],[Discounted_Amount]]+Table1[[#This Row],[Delivery_Charge]])</f>
        <v>159.114</v>
      </c>
      <c r="Y58" s="4" t="str">
        <f>Table1[[#This Row],[First_Name]]&amp;" "&amp;Table1[[#This Row],[Last_Name]]</f>
        <v>Marcus Rogers</v>
      </c>
      <c r="Z58" s="4" t="str">
        <f>IF(T:T&gt;Table1[[#This Row],[Estimated_Days_to_Deliver]],"Late",IF(T:T=Table1[[#This Row],[Estimated_Days_to_Deliver]],"Intime","BeforeTime"))</f>
        <v>Intime</v>
      </c>
      <c r="AA58" s="4">
        <f>MONTH(Table1[[#This Row],[Order_Date]])</f>
        <v>8</v>
      </c>
      <c r="AB58" s="13">
        <f>Table1[[#This Row],[Amount]]*Table1[[#This Row],[Discount_Percent]]</f>
        <v>18.725999999999999</v>
      </c>
    </row>
    <row r="59" spans="1:28" ht="14.25" customHeight="1">
      <c r="A59" s="1" t="s">
        <v>453</v>
      </c>
      <c r="B59" s="1" t="s">
        <v>454</v>
      </c>
      <c r="C59" s="1" t="s">
        <v>455</v>
      </c>
      <c r="D59" s="1">
        <v>69</v>
      </c>
      <c r="E59" s="1" t="s">
        <v>31</v>
      </c>
      <c r="F59" s="1" t="s">
        <v>32</v>
      </c>
      <c r="G59" s="1" t="s">
        <v>456</v>
      </c>
      <c r="H59" s="1" t="s">
        <v>457</v>
      </c>
      <c r="I59" s="1" t="s">
        <v>458</v>
      </c>
      <c r="J59" s="24">
        <v>45213</v>
      </c>
      <c r="K59" s="1" t="s">
        <v>459</v>
      </c>
      <c r="L59" s="1" t="s">
        <v>202</v>
      </c>
      <c r="M59" s="1">
        <v>20.7</v>
      </c>
      <c r="N59" s="1">
        <v>5</v>
      </c>
      <c r="O59" s="1" t="s">
        <v>60</v>
      </c>
      <c r="P59" s="1">
        <v>5</v>
      </c>
      <c r="Q59" s="1">
        <v>57</v>
      </c>
      <c r="R59" s="24">
        <v>45218</v>
      </c>
      <c r="S59" s="1" t="s">
        <v>460</v>
      </c>
      <c r="T59" s="4">
        <f>Table1[[#This Row],[Delivery_Date]]-Table1[[#This Row],[Order_Date]]</f>
        <v>5</v>
      </c>
      <c r="U59" s="4">
        <f>Table1[[#This Row],[Price]]*Table1[[#This Row],[Quantity]]</f>
        <v>103.5</v>
      </c>
      <c r="V59" s="11">
        <f t="shared" si="0"/>
        <v>0.15</v>
      </c>
      <c r="W59" s="4">
        <f>Table1[[#This Row],[Amount]]-(Table1[[#This Row],[Amount]]*Table1[[#This Row],[Discount_Percent]])</f>
        <v>87.974999999999994</v>
      </c>
      <c r="X59" s="4">
        <f>IF(O59="DEL0", Table1[[#This Row],[Discounted_Amount]],Table1[[#This Row],[Discounted_Amount]]+Table1[[#This Row],[Delivery_Charge]])</f>
        <v>144.97499999999999</v>
      </c>
      <c r="Y59" s="4" t="str">
        <f>Table1[[#This Row],[First_Name]]&amp;" "&amp;Table1[[#This Row],[Last_Name]]</f>
        <v>Brian Kennedy</v>
      </c>
      <c r="Z59" s="4" t="str">
        <f>IF(T:T&gt;Table1[[#This Row],[Estimated_Days_to_Deliver]],"Late",IF(T:T=Table1[[#This Row],[Estimated_Days_to_Deliver]],"Intime","BeforeTime"))</f>
        <v>Intime</v>
      </c>
      <c r="AA59" s="4">
        <f>MONTH(Table1[[#This Row],[Order_Date]])</f>
        <v>10</v>
      </c>
      <c r="AB59" s="13">
        <f>Table1[[#This Row],[Amount]]*Table1[[#This Row],[Discount_Percent]]</f>
        <v>15.524999999999999</v>
      </c>
    </row>
    <row r="60" spans="1:28" ht="14.25" customHeight="1">
      <c r="A60" s="1" t="s">
        <v>461</v>
      </c>
      <c r="B60" s="1" t="s">
        <v>462</v>
      </c>
      <c r="C60" s="1" t="s">
        <v>463</v>
      </c>
      <c r="D60" s="1">
        <v>63</v>
      </c>
      <c r="E60" s="1" t="s">
        <v>31</v>
      </c>
      <c r="F60" s="1" t="s">
        <v>142</v>
      </c>
      <c r="G60" s="1" t="s">
        <v>464</v>
      </c>
      <c r="H60" s="1" t="s">
        <v>465</v>
      </c>
      <c r="I60" s="1" t="s">
        <v>466</v>
      </c>
      <c r="J60" s="24">
        <v>45655</v>
      </c>
      <c r="K60" s="1" t="s">
        <v>467</v>
      </c>
      <c r="L60" s="1" t="s">
        <v>97</v>
      </c>
      <c r="M60" s="1">
        <v>363.64</v>
      </c>
      <c r="N60" s="1">
        <v>3</v>
      </c>
      <c r="O60" s="1" t="s">
        <v>98</v>
      </c>
      <c r="P60" s="1">
        <v>5</v>
      </c>
      <c r="Q60" s="1">
        <v>69</v>
      </c>
      <c r="R60" s="24">
        <v>45662</v>
      </c>
      <c r="S60" s="1" t="s">
        <v>468</v>
      </c>
      <c r="T60" s="4">
        <f>Table1[[#This Row],[Delivery_Date]]-Table1[[#This Row],[Order_Date]]</f>
        <v>7</v>
      </c>
      <c r="U60" s="4">
        <f>Table1[[#This Row],[Price]]*Table1[[#This Row],[Quantity]]</f>
        <v>1090.92</v>
      </c>
      <c r="V60" s="11">
        <f t="shared" si="0"/>
        <v>0.1</v>
      </c>
      <c r="W60" s="4">
        <f>Table1[[#This Row],[Amount]]-(Table1[[#This Row],[Amount]]*Table1[[#This Row],[Discount_Percent]])</f>
        <v>981.82800000000009</v>
      </c>
      <c r="X60" s="4">
        <f>IF(O60="DEL0", Table1[[#This Row],[Discounted_Amount]],Table1[[#This Row],[Discounted_Amount]]+Table1[[#This Row],[Delivery_Charge]])</f>
        <v>1050.828</v>
      </c>
      <c r="Y60" s="4" t="str">
        <f>Table1[[#This Row],[First_Name]]&amp;" "&amp;Table1[[#This Row],[Last_Name]]</f>
        <v>Rebecca Figueroa</v>
      </c>
      <c r="Z60" s="4" t="str">
        <f>IF(T:T&gt;Table1[[#This Row],[Estimated_Days_to_Deliver]],"Late",IF(T:T=Table1[[#This Row],[Estimated_Days_to_Deliver]],"Intime","BeforeTime"))</f>
        <v>Late</v>
      </c>
      <c r="AA60" s="4">
        <f>MONTH(Table1[[#This Row],[Order_Date]])</f>
        <v>12</v>
      </c>
      <c r="AB60" s="13">
        <f>Table1[[#This Row],[Amount]]*Table1[[#This Row],[Discount_Percent]]</f>
        <v>109.09200000000001</v>
      </c>
    </row>
    <row r="61" spans="1:28" ht="14.25" customHeight="1">
      <c r="A61" s="1" t="s">
        <v>469</v>
      </c>
      <c r="B61" s="1" t="s">
        <v>470</v>
      </c>
      <c r="C61" s="1" t="s">
        <v>471</v>
      </c>
      <c r="D61" s="1">
        <v>18</v>
      </c>
      <c r="E61" s="1" t="s">
        <v>43</v>
      </c>
      <c r="F61" s="1" t="s">
        <v>44</v>
      </c>
      <c r="G61" s="1" t="s">
        <v>472</v>
      </c>
      <c r="H61" s="1" t="s">
        <v>473</v>
      </c>
      <c r="I61" s="1" t="s">
        <v>474</v>
      </c>
      <c r="J61" s="24">
        <v>44972</v>
      </c>
      <c r="K61" s="1" t="s">
        <v>475</v>
      </c>
      <c r="L61" s="1" t="s">
        <v>476</v>
      </c>
      <c r="M61" s="1">
        <v>286.07</v>
      </c>
      <c r="N61" s="1">
        <v>3</v>
      </c>
      <c r="O61" s="1" t="s">
        <v>87</v>
      </c>
      <c r="P61" s="1">
        <v>5</v>
      </c>
      <c r="Q61" s="1">
        <v>54</v>
      </c>
      <c r="R61" s="24">
        <v>44977</v>
      </c>
      <c r="S61" s="1" t="s">
        <v>477</v>
      </c>
      <c r="T61" s="4">
        <f>Table1[[#This Row],[Delivery_Date]]-Table1[[#This Row],[Order_Date]]</f>
        <v>5</v>
      </c>
      <c r="U61" s="4">
        <f>Table1[[#This Row],[Price]]*Table1[[#This Row],[Quantity]]</f>
        <v>858.21</v>
      </c>
      <c r="V61" s="11">
        <f t="shared" si="0"/>
        <v>0.2</v>
      </c>
      <c r="W61" s="4">
        <f>Table1[[#This Row],[Amount]]-(Table1[[#This Row],[Amount]]*Table1[[#This Row],[Discount_Percent]])</f>
        <v>686.56799999999998</v>
      </c>
      <c r="X61" s="4">
        <f>IF(O61="DEL0", Table1[[#This Row],[Discounted_Amount]],Table1[[#This Row],[Discounted_Amount]]+Table1[[#This Row],[Delivery_Charge]])</f>
        <v>740.56799999999998</v>
      </c>
      <c r="Y61" s="4" t="str">
        <f>Table1[[#This Row],[First_Name]]&amp;" "&amp;Table1[[#This Row],[Last_Name]]</f>
        <v>Lori Cook</v>
      </c>
      <c r="Z61" s="4" t="str">
        <f>IF(T:T&gt;Table1[[#This Row],[Estimated_Days_to_Deliver]],"Late",IF(T:T=Table1[[#This Row],[Estimated_Days_to_Deliver]],"Intime","BeforeTime"))</f>
        <v>Intime</v>
      </c>
      <c r="AA61" s="4">
        <f>MONTH(Table1[[#This Row],[Order_Date]])</f>
        <v>2</v>
      </c>
      <c r="AB61" s="13">
        <f>Table1[[#This Row],[Amount]]*Table1[[#This Row],[Discount_Percent]]</f>
        <v>171.64200000000002</v>
      </c>
    </row>
    <row r="62" spans="1:28" ht="14.25" customHeight="1">
      <c r="A62" s="1" t="s">
        <v>478</v>
      </c>
      <c r="B62" s="1" t="s">
        <v>110</v>
      </c>
      <c r="C62" s="1" t="s">
        <v>479</v>
      </c>
      <c r="D62" s="1">
        <v>33</v>
      </c>
      <c r="E62" s="1" t="s">
        <v>31</v>
      </c>
      <c r="F62" s="1" t="s">
        <v>170</v>
      </c>
      <c r="G62" s="1" t="s">
        <v>480</v>
      </c>
      <c r="H62" s="1" t="s">
        <v>481</v>
      </c>
      <c r="I62" s="1" t="s">
        <v>482</v>
      </c>
      <c r="J62" s="24">
        <v>45435</v>
      </c>
      <c r="K62" s="1" t="s">
        <v>483</v>
      </c>
      <c r="L62" s="1" t="s">
        <v>484</v>
      </c>
      <c r="M62" s="1">
        <v>87.09</v>
      </c>
      <c r="N62" s="1">
        <v>4</v>
      </c>
      <c r="O62" s="1" t="s">
        <v>65</v>
      </c>
      <c r="P62" s="1">
        <v>5</v>
      </c>
      <c r="Q62" s="1">
        <v>63</v>
      </c>
      <c r="R62" s="24">
        <v>45439</v>
      </c>
      <c r="S62" s="1" t="s">
        <v>485</v>
      </c>
      <c r="T62" s="4">
        <f>Table1[[#This Row],[Delivery_Date]]-Table1[[#This Row],[Order_Date]]</f>
        <v>4</v>
      </c>
      <c r="U62" s="4">
        <f>Table1[[#This Row],[Price]]*Table1[[#This Row],[Quantity]]</f>
        <v>348.36</v>
      </c>
      <c r="V62" s="11">
        <f t="shared" si="0"/>
        <v>0</v>
      </c>
      <c r="W62" s="4">
        <f>Table1[[#This Row],[Amount]]-(Table1[[#This Row],[Amount]]*Table1[[#This Row],[Discount_Percent]])</f>
        <v>348.36</v>
      </c>
      <c r="X62" s="4">
        <f>IF(O62="DEL0", Table1[[#This Row],[Discounted_Amount]],Table1[[#This Row],[Discounted_Amount]]+Table1[[#This Row],[Delivery_Charge]])</f>
        <v>348.36</v>
      </c>
      <c r="Y62" s="4" t="str">
        <f>Table1[[#This Row],[First_Name]]&amp;" "&amp;Table1[[#This Row],[Last_Name]]</f>
        <v>Debra Hayes</v>
      </c>
      <c r="Z62" s="4" t="str">
        <f>IF(T:T&gt;Table1[[#This Row],[Estimated_Days_to_Deliver]],"Late",IF(T:T=Table1[[#This Row],[Estimated_Days_to_Deliver]],"Intime","BeforeTime"))</f>
        <v>BeforeTime</v>
      </c>
      <c r="AA62" s="4">
        <f>MONTH(Table1[[#This Row],[Order_Date]])</f>
        <v>5</v>
      </c>
      <c r="AB62" s="13">
        <f>Table1[[#This Row],[Amount]]*Table1[[#This Row],[Discount_Percent]]</f>
        <v>0</v>
      </c>
    </row>
    <row r="63" spans="1:28" ht="14.25" customHeight="1">
      <c r="A63" s="1" t="s">
        <v>486</v>
      </c>
      <c r="B63" s="1" t="s">
        <v>487</v>
      </c>
      <c r="C63" s="1" t="s">
        <v>132</v>
      </c>
      <c r="D63" s="1">
        <v>68</v>
      </c>
      <c r="E63" s="1" t="s">
        <v>54</v>
      </c>
      <c r="F63" s="1" t="s">
        <v>223</v>
      </c>
      <c r="G63" s="1" t="s">
        <v>488</v>
      </c>
      <c r="H63" s="1" t="s">
        <v>489</v>
      </c>
      <c r="I63" s="1" t="s">
        <v>490</v>
      </c>
      <c r="J63" s="24">
        <v>45002</v>
      </c>
      <c r="K63" s="1" t="s">
        <v>491</v>
      </c>
      <c r="L63" s="1" t="s">
        <v>107</v>
      </c>
      <c r="M63" s="1">
        <v>275.44</v>
      </c>
      <c r="N63" s="1">
        <v>4</v>
      </c>
      <c r="O63" s="1" t="s">
        <v>38</v>
      </c>
      <c r="P63" s="1">
        <v>5</v>
      </c>
      <c r="Q63" s="1">
        <v>40</v>
      </c>
      <c r="R63" s="24">
        <v>45007</v>
      </c>
      <c r="S63" s="1" t="s">
        <v>492</v>
      </c>
      <c r="T63" s="4">
        <f>Table1[[#This Row],[Delivery_Date]]-Table1[[#This Row],[Order_Date]]</f>
        <v>5</v>
      </c>
      <c r="U63" s="4">
        <f>Table1[[#This Row],[Price]]*Table1[[#This Row],[Quantity]]</f>
        <v>1101.76</v>
      </c>
      <c r="V63" s="11">
        <f t="shared" si="0"/>
        <v>0.08</v>
      </c>
      <c r="W63" s="4">
        <f>Table1[[#This Row],[Amount]]-(Table1[[#This Row],[Amount]]*Table1[[#This Row],[Discount_Percent]])</f>
        <v>1013.6192</v>
      </c>
      <c r="X63" s="4">
        <f>IF(O63="DEL0", Table1[[#This Row],[Discounted_Amount]],Table1[[#This Row],[Discounted_Amount]]+Table1[[#This Row],[Delivery_Charge]])</f>
        <v>1053.6192000000001</v>
      </c>
      <c r="Y63" s="4" t="str">
        <f>Table1[[#This Row],[First_Name]]&amp;" "&amp;Table1[[#This Row],[Last_Name]]</f>
        <v>Brittany Stewart</v>
      </c>
      <c r="Z63" s="4" t="str">
        <f>IF(T:T&gt;Table1[[#This Row],[Estimated_Days_to_Deliver]],"Late",IF(T:T=Table1[[#This Row],[Estimated_Days_to_Deliver]],"Intime","BeforeTime"))</f>
        <v>Intime</v>
      </c>
      <c r="AA63" s="4">
        <f>MONTH(Table1[[#This Row],[Order_Date]])</f>
        <v>3</v>
      </c>
      <c r="AB63" s="13">
        <f>Table1[[#This Row],[Amount]]*Table1[[#This Row],[Discount_Percent]]</f>
        <v>88.140799999999999</v>
      </c>
    </row>
    <row r="64" spans="1:28" ht="14.25" customHeight="1">
      <c r="A64" s="1" t="s">
        <v>493</v>
      </c>
      <c r="B64" s="1" t="s">
        <v>189</v>
      </c>
      <c r="C64" s="1" t="s">
        <v>330</v>
      </c>
      <c r="D64" s="1">
        <v>39</v>
      </c>
      <c r="E64" s="1" t="s">
        <v>54</v>
      </c>
      <c r="F64" s="1" t="s">
        <v>44</v>
      </c>
      <c r="G64" s="1" t="s">
        <v>494</v>
      </c>
      <c r="H64" s="1" t="s">
        <v>495</v>
      </c>
      <c r="I64" s="1" t="s">
        <v>496</v>
      </c>
      <c r="J64" s="24">
        <v>45680</v>
      </c>
      <c r="K64" s="1" t="s">
        <v>497</v>
      </c>
      <c r="L64" s="1" t="s">
        <v>498</v>
      </c>
      <c r="M64" s="1">
        <v>421.7</v>
      </c>
      <c r="N64" s="1">
        <v>1</v>
      </c>
      <c r="O64" s="1" t="s">
        <v>98</v>
      </c>
      <c r="P64" s="1">
        <v>5</v>
      </c>
      <c r="Q64" s="1">
        <v>59</v>
      </c>
      <c r="R64" s="24">
        <v>45684</v>
      </c>
      <c r="S64" s="1" t="s">
        <v>499</v>
      </c>
      <c r="T64" s="4">
        <f>Table1[[#This Row],[Delivery_Date]]-Table1[[#This Row],[Order_Date]]</f>
        <v>4</v>
      </c>
      <c r="U64" s="4">
        <f>Table1[[#This Row],[Price]]*Table1[[#This Row],[Quantity]]</f>
        <v>421.7</v>
      </c>
      <c r="V64" s="11">
        <f t="shared" si="0"/>
        <v>0.1</v>
      </c>
      <c r="W64" s="4">
        <f>Table1[[#This Row],[Amount]]-(Table1[[#This Row],[Amount]]*Table1[[#This Row],[Discount_Percent]])</f>
        <v>379.53</v>
      </c>
      <c r="X64" s="4">
        <f>IF(O64="DEL0", Table1[[#This Row],[Discounted_Amount]],Table1[[#This Row],[Discounted_Amount]]+Table1[[#This Row],[Delivery_Charge]])</f>
        <v>438.53</v>
      </c>
      <c r="Y64" s="4" t="str">
        <f>Table1[[#This Row],[First_Name]]&amp;" "&amp;Table1[[#This Row],[Last_Name]]</f>
        <v>Mitchell Parker</v>
      </c>
      <c r="Z64" s="4" t="str">
        <f>IF(T:T&gt;Table1[[#This Row],[Estimated_Days_to_Deliver]],"Late",IF(T:T=Table1[[#This Row],[Estimated_Days_to_Deliver]],"Intime","BeforeTime"))</f>
        <v>BeforeTime</v>
      </c>
      <c r="AA64" s="4">
        <f>MONTH(Table1[[#This Row],[Order_Date]])</f>
        <v>1</v>
      </c>
      <c r="AB64" s="13">
        <f>Table1[[#This Row],[Amount]]*Table1[[#This Row],[Discount_Percent]]</f>
        <v>42.17</v>
      </c>
    </row>
    <row r="65" spans="1:28" ht="14.25" customHeight="1">
      <c r="A65" s="1" t="s">
        <v>230</v>
      </c>
      <c r="B65" s="1" t="s">
        <v>231</v>
      </c>
      <c r="C65" s="1" t="s">
        <v>232</v>
      </c>
      <c r="D65" s="1">
        <v>64</v>
      </c>
      <c r="E65" s="1" t="s">
        <v>43</v>
      </c>
      <c r="F65" s="1" t="s">
        <v>44</v>
      </c>
      <c r="G65" s="1" t="s">
        <v>233</v>
      </c>
      <c r="H65" s="1" t="s">
        <v>234</v>
      </c>
      <c r="I65" s="1" t="s">
        <v>500</v>
      </c>
      <c r="J65" s="24">
        <v>45629</v>
      </c>
      <c r="K65" s="1" t="s">
        <v>501</v>
      </c>
      <c r="L65" s="1" t="s">
        <v>175</v>
      </c>
      <c r="M65" s="1">
        <v>272.51</v>
      </c>
      <c r="N65" s="1">
        <v>1</v>
      </c>
      <c r="O65" s="1" t="s">
        <v>87</v>
      </c>
      <c r="P65" s="1">
        <v>5</v>
      </c>
      <c r="Q65" s="1">
        <v>43</v>
      </c>
      <c r="R65" s="24">
        <v>45630</v>
      </c>
      <c r="S65" s="1" t="s">
        <v>502</v>
      </c>
      <c r="T65" s="4">
        <f>Table1[[#This Row],[Delivery_Date]]-Table1[[#This Row],[Order_Date]]</f>
        <v>1</v>
      </c>
      <c r="U65" s="4">
        <f>Table1[[#This Row],[Price]]*Table1[[#This Row],[Quantity]]</f>
        <v>272.51</v>
      </c>
      <c r="V65" s="11">
        <f t="shared" si="0"/>
        <v>0.2</v>
      </c>
      <c r="W65" s="4">
        <f>Table1[[#This Row],[Amount]]-(Table1[[#This Row],[Amount]]*Table1[[#This Row],[Discount_Percent]])</f>
        <v>218.00799999999998</v>
      </c>
      <c r="X65" s="4">
        <f>IF(O65="DEL0", Table1[[#This Row],[Discounted_Amount]],Table1[[#This Row],[Discounted_Amount]]+Table1[[#This Row],[Delivery_Charge]])</f>
        <v>261.00799999999998</v>
      </c>
      <c r="Y65" s="4" t="str">
        <f>Table1[[#This Row],[First_Name]]&amp;" "&amp;Table1[[#This Row],[Last_Name]]</f>
        <v>John Herrera</v>
      </c>
      <c r="Z65" s="4" t="str">
        <f>IF(T:T&gt;Table1[[#This Row],[Estimated_Days_to_Deliver]],"Late",IF(T:T=Table1[[#This Row],[Estimated_Days_to_Deliver]],"Intime","BeforeTime"))</f>
        <v>BeforeTime</v>
      </c>
      <c r="AA65" s="4">
        <f>MONTH(Table1[[#This Row],[Order_Date]])</f>
        <v>12</v>
      </c>
      <c r="AB65" s="13">
        <f>Table1[[#This Row],[Amount]]*Table1[[#This Row],[Discount_Percent]]</f>
        <v>54.502000000000002</v>
      </c>
    </row>
    <row r="66" spans="1:28" ht="14.25" customHeight="1">
      <c r="A66" s="1" t="s">
        <v>503</v>
      </c>
      <c r="B66" s="1" t="s">
        <v>504</v>
      </c>
      <c r="C66" s="1" t="s">
        <v>390</v>
      </c>
      <c r="D66" s="1">
        <v>57</v>
      </c>
      <c r="E66" s="1" t="s">
        <v>43</v>
      </c>
      <c r="F66" s="1" t="s">
        <v>223</v>
      </c>
      <c r="G66" s="1" t="s">
        <v>505</v>
      </c>
      <c r="H66" s="1" t="s">
        <v>506</v>
      </c>
      <c r="I66" s="1" t="s">
        <v>507</v>
      </c>
      <c r="J66" s="24">
        <v>45346</v>
      </c>
      <c r="K66" s="1" t="s">
        <v>508</v>
      </c>
      <c r="L66" s="1" t="s">
        <v>137</v>
      </c>
      <c r="M66" s="1">
        <v>175.93</v>
      </c>
      <c r="N66" s="1">
        <v>3</v>
      </c>
      <c r="O66" s="1" t="s">
        <v>38</v>
      </c>
      <c r="P66" s="1">
        <v>5</v>
      </c>
      <c r="Q66" s="1">
        <v>46</v>
      </c>
      <c r="R66" s="24">
        <v>45351</v>
      </c>
      <c r="S66" s="1" t="s">
        <v>509</v>
      </c>
      <c r="T66" s="4">
        <f>Table1[[#This Row],[Delivery_Date]]-Table1[[#This Row],[Order_Date]]</f>
        <v>5</v>
      </c>
      <c r="U66" s="4">
        <f>Table1[[#This Row],[Price]]*Table1[[#This Row],[Quantity]]</f>
        <v>527.79</v>
      </c>
      <c r="V66" s="11">
        <f t="shared" ref="V66:V129" si="1">IF(O66="FLAT8",8%,IF(O66="FLAT10",10%,IF(O66="FLAT15",15%,IF(O66="FLAT20",20%,0))))</f>
        <v>0.08</v>
      </c>
      <c r="W66" s="4">
        <f>Table1[[#This Row],[Amount]]-(Table1[[#This Row],[Amount]]*Table1[[#This Row],[Discount_Percent]])</f>
        <v>485.56679999999994</v>
      </c>
      <c r="X66" s="4">
        <f>IF(O66="DEL0", Table1[[#This Row],[Discounted_Amount]],Table1[[#This Row],[Discounted_Amount]]+Table1[[#This Row],[Delivery_Charge]])</f>
        <v>531.56679999999994</v>
      </c>
      <c r="Y66" s="4" t="str">
        <f>Table1[[#This Row],[First_Name]]&amp;" "&amp;Table1[[#This Row],[Last_Name]]</f>
        <v>Sharon Thompson</v>
      </c>
      <c r="Z66" s="4" t="str">
        <f>IF(T:T&gt;Table1[[#This Row],[Estimated_Days_to_Deliver]],"Late",IF(T:T=Table1[[#This Row],[Estimated_Days_to_Deliver]],"Intime","BeforeTime"))</f>
        <v>Intime</v>
      </c>
      <c r="AA66" s="4">
        <f>MONTH(Table1[[#This Row],[Order_Date]])</f>
        <v>2</v>
      </c>
      <c r="AB66" s="13">
        <f>Table1[[#This Row],[Amount]]*Table1[[#This Row],[Discount_Percent]]</f>
        <v>42.223199999999999</v>
      </c>
    </row>
    <row r="67" spans="1:28" ht="14.25" customHeight="1">
      <c r="A67" s="1" t="s">
        <v>510</v>
      </c>
      <c r="B67" s="1" t="s">
        <v>511</v>
      </c>
      <c r="C67" s="1" t="s">
        <v>512</v>
      </c>
      <c r="D67" s="1">
        <v>64</v>
      </c>
      <c r="E67" s="1" t="s">
        <v>31</v>
      </c>
      <c r="F67" s="1" t="s">
        <v>32</v>
      </c>
      <c r="G67" s="1" t="s">
        <v>513</v>
      </c>
      <c r="H67" s="1" t="s">
        <v>514</v>
      </c>
      <c r="I67" s="1" t="s">
        <v>515</v>
      </c>
      <c r="J67" s="24">
        <v>45503</v>
      </c>
      <c r="K67" s="1" t="s">
        <v>516</v>
      </c>
      <c r="L67" s="1" t="s">
        <v>517</v>
      </c>
      <c r="M67" s="1">
        <v>136.30000000000001</v>
      </c>
      <c r="N67" s="1">
        <v>5</v>
      </c>
      <c r="O67" s="1" t="s">
        <v>60</v>
      </c>
      <c r="P67" s="1">
        <v>5</v>
      </c>
      <c r="Q67" s="1">
        <v>39</v>
      </c>
      <c r="R67" s="24">
        <v>45510</v>
      </c>
      <c r="S67" s="1" t="s">
        <v>518</v>
      </c>
      <c r="T67" s="4">
        <f>Table1[[#This Row],[Delivery_Date]]-Table1[[#This Row],[Order_Date]]</f>
        <v>7</v>
      </c>
      <c r="U67" s="4">
        <f>Table1[[#This Row],[Price]]*Table1[[#This Row],[Quantity]]</f>
        <v>681.5</v>
      </c>
      <c r="V67" s="11">
        <f t="shared" si="1"/>
        <v>0.15</v>
      </c>
      <c r="W67" s="4">
        <f>Table1[[#This Row],[Amount]]-(Table1[[#This Row],[Amount]]*Table1[[#This Row],[Discount_Percent]])</f>
        <v>579.27499999999998</v>
      </c>
      <c r="X67" s="4">
        <f>IF(O67="DEL0", Table1[[#This Row],[Discounted_Amount]],Table1[[#This Row],[Discounted_Amount]]+Table1[[#This Row],[Delivery_Charge]])</f>
        <v>618.27499999999998</v>
      </c>
      <c r="Y67" s="4" t="str">
        <f>Table1[[#This Row],[First_Name]]&amp;" "&amp;Table1[[#This Row],[Last_Name]]</f>
        <v>Sarah Butler</v>
      </c>
      <c r="Z67" s="4" t="str">
        <f>IF(T:T&gt;Table1[[#This Row],[Estimated_Days_to_Deliver]],"Late",IF(T:T=Table1[[#This Row],[Estimated_Days_to_Deliver]],"Intime","BeforeTime"))</f>
        <v>Late</v>
      </c>
      <c r="AA67" s="4">
        <f>MONTH(Table1[[#This Row],[Order_Date]])</f>
        <v>7</v>
      </c>
      <c r="AB67" s="13">
        <f>Table1[[#This Row],[Amount]]*Table1[[#This Row],[Discount_Percent]]</f>
        <v>102.22499999999999</v>
      </c>
    </row>
    <row r="68" spans="1:28" ht="14.25" customHeight="1">
      <c r="A68" s="1" t="s">
        <v>258</v>
      </c>
      <c r="B68" s="1" t="s">
        <v>259</v>
      </c>
      <c r="C68" s="1" t="s">
        <v>260</v>
      </c>
      <c r="D68" s="1">
        <v>60</v>
      </c>
      <c r="E68" s="1" t="s">
        <v>54</v>
      </c>
      <c r="F68" s="1" t="s">
        <v>32</v>
      </c>
      <c r="G68" s="1" t="s">
        <v>261</v>
      </c>
      <c r="H68" s="1" t="s">
        <v>262</v>
      </c>
      <c r="I68" s="1" t="s">
        <v>519</v>
      </c>
      <c r="J68" s="24">
        <v>45451</v>
      </c>
      <c r="K68" s="1" t="s">
        <v>520</v>
      </c>
      <c r="L68" s="1" t="s">
        <v>521</v>
      </c>
      <c r="M68" s="1">
        <v>441.03</v>
      </c>
      <c r="N68" s="1">
        <v>2</v>
      </c>
      <c r="O68" s="1" t="s">
        <v>98</v>
      </c>
      <c r="P68" s="1">
        <v>5</v>
      </c>
      <c r="Q68" s="1">
        <v>49</v>
      </c>
      <c r="R68" s="24">
        <v>45458</v>
      </c>
      <c r="S68" s="1" t="s">
        <v>522</v>
      </c>
      <c r="T68" s="4">
        <f>Table1[[#This Row],[Delivery_Date]]-Table1[[#This Row],[Order_Date]]</f>
        <v>7</v>
      </c>
      <c r="U68" s="4">
        <f>Table1[[#This Row],[Price]]*Table1[[#This Row],[Quantity]]</f>
        <v>882.06</v>
      </c>
      <c r="V68" s="11">
        <f t="shared" si="1"/>
        <v>0.1</v>
      </c>
      <c r="W68" s="4">
        <f>Table1[[#This Row],[Amount]]-(Table1[[#This Row],[Amount]]*Table1[[#This Row],[Discount_Percent]])</f>
        <v>793.85399999999993</v>
      </c>
      <c r="X68" s="4">
        <f>IF(O68="DEL0", Table1[[#This Row],[Discounted_Amount]],Table1[[#This Row],[Discounted_Amount]]+Table1[[#This Row],[Delivery_Charge]])</f>
        <v>842.85399999999993</v>
      </c>
      <c r="Y68" s="4" t="str">
        <f>Table1[[#This Row],[First_Name]]&amp;" "&amp;Table1[[#This Row],[Last_Name]]</f>
        <v>Ashley Rose</v>
      </c>
      <c r="Z68" s="4" t="str">
        <f>IF(T:T&gt;Table1[[#This Row],[Estimated_Days_to_Deliver]],"Late",IF(T:T=Table1[[#This Row],[Estimated_Days_to_Deliver]],"Intime","BeforeTime"))</f>
        <v>Late</v>
      </c>
      <c r="AA68" s="4">
        <f>MONTH(Table1[[#This Row],[Order_Date]])</f>
        <v>6</v>
      </c>
      <c r="AB68" s="13">
        <f>Table1[[#This Row],[Amount]]*Table1[[#This Row],[Discount_Percent]]</f>
        <v>88.206000000000003</v>
      </c>
    </row>
    <row r="69" spans="1:28" ht="14.25" customHeight="1">
      <c r="A69" s="1" t="s">
        <v>523</v>
      </c>
      <c r="B69" s="1" t="s">
        <v>524</v>
      </c>
      <c r="C69" s="1" t="s">
        <v>525</v>
      </c>
      <c r="D69" s="1">
        <v>42</v>
      </c>
      <c r="E69" s="1" t="s">
        <v>54</v>
      </c>
      <c r="F69" s="1" t="s">
        <v>78</v>
      </c>
      <c r="G69" s="1" t="s">
        <v>526</v>
      </c>
      <c r="H69" s="1" t="s">
        <v>527</v>
      </c>
      <c r="I69" s="1" t="s">
        <v>528</v>
      </c>
      <c r="J69" s="24">
        <v>45322</v>
      </c>
      <c r="K69" s="1" t="s">
        <v>529</v>
      </c>
      <c r="L69" s="1" t="s">
        <v>433</v>
      </c>
      <c r="M69" s="1">
        <v>369.03</v>
      </c>
      <c r="N69" s="1">
        <v>4</v>
      </c>
      <c r="O69" s="1" t="s">
        <v>87</v>
      </c>
      <c r="P69" s="1">
        <v>5</v>
      </c>
      <c r="Q69" s="1">
        <v>52</v>
      </c>
      <c r="R69" s="24">
        <v>45327</v>
      </c>
      <c r="S69" s="1" t="s">
        <v>530</v>
      </c>
      <c r="T69" s="4">
        <f>Table1[[#This Row],[Delivery_Date]]-Table1[[#This Row],[Order_Date]]</f>
        <v>5</v>
      </c>
      <c r="U69" s="4">
        <f>Table1[[#This Row],[Price]]*Table1[[#This Row],[Quantity]]</f>
        <v>1476.12</v>
      </c>
      <c r="V69" s="11">
        <f t="shared" si="1"/>
        <v>0.2</v>
      </c>
      <c r="W69" s="4">
        <f>Table1[[#This Row],[Amount]]-(Table1[[#This Row],[Amount]]*Table1[[#This Row],[Discount_Percent]])</f>
        <v>1180.896</v>
      </c>
      <c r="X69" s="4">
        <f>IF(O69="DEL0", Table1[[#This Row],[Discounted_Amount]],Table1[[#This Row],[Discounted_Amount]]+Table1[[#This Row],[Delivery_Charge]])</f>
        <v>1232.896</v>
      </c>
      <c r="Y69" s="4" t="str">
        <f>Table1[[#This Row],[First_Name]]&amp;" "&amp;Table1[[#This Row],[Last_Name]]</f>
        <v>Katherine Weber</v>
      </c>
      <c r="Z69" s="4" t="str">
        <f>IF(T:T&gt;Table1[[#This Row],[Estimated_Days_to_Deliver]],"Late",IF(T:T=Table1[[#This Row],[Estimated_Days_to_Deliver]],"Intime","BeforeTime"))</f>
        <v>Intime</v>
      </c>
      <c r="AA69" s="4">
        <f>MONTH(Table1[[#This Row],[Order_Date]])</f>
        <v>1</v>
      </c>
      <c r="AB69" s="13">
        <f>Table1[[#This Row],[Amount]]*Table1[[#This Row],[Discount_Percent]]</f>
        <v>295.22399999999999</v>
      </c>
    </row>
    <row r="70" spans="1:28" ht="14.25" customHeight="1">
      <c r="A70" s="1" t="s">
        <v>531</v>
      </c>
      <c r="B70" s="1" t="s">
        <v>397</v>
      </c>
      <c r="C70" s="1" t="s">
        <v>532</v>
      </c>
      <c r="D70" s="1">
        <v>51</v>
      </c>
      <c r="E70" s="1" t="s">
        <v>54</v>
      </c>
      <c r="F70" s="1" t="s">
        <v>142</v>
      </c>
      <c r="G70" s="1" t="s">
        <v>533</v>
      </c>
      <c r="H70" s="1" t="s">
        <v>534</v>
      </c>
      <c r="I70" s="1" t="s">
        <v>535</v>
      </c>
      <c r="J70" s="24">
        <v>45277</v>
      </c>
      <c r="K70" s="1" t="s">
        <v>536</v>
      </c>
      <c r="L70" s="1" t="s">
        <v>359</v>
      </c>
      <c r="M70" s="1">
        <v>496.59</v>
      </c>
      <c r="N70" s="1">
        <v>4</v>
      </c>
      <c r="O70" s="1" t="s">
        <v>60</v>
      </c>
      <c r="P70" s="1">
        <v>5</v>
      </c>
      <c r="Q70" s="1">
        <v>36</v>
      </c>
      <c r="R70" s="24">
        <v>45280</v>
      </c>
      <c r="S70" s="1" t="s">
        <v>537</v>
      </c>
      <c r="T70" s="4">
        <f>Table1[[#This Row],[Delivery_Date]]-Table1[[#This Row],[Order_Date]]</f>
        <v>3</v>
      </c>
      <c r="U70" s="4">
        <f>Table1[[#This Row],[Price]]*Table1[[#This Row],[Quantity]]</f>
        <v>1986.36</v>
      </c>
      <c r="V70" s="11">
        <f t="shared" si="1"/>
        <v>0.15</v>
      </c>
      <c r="W70" s="4">
        <f>Table1[[#This Row],[Amount]]-(Table1[[#This Row],[Amount]]*Table1[[#This Row],[Discount_Percent]])</f>
        <v>1688.4059999999999</v>
      </c>
      <c r="X70" s="4">
        <f>IF(O70="DEL0", Table1[[#This Row],[Discounted_Amount]],Table1[[#This Row],[Discounted_Amount]]+Table1[[#This Row],[Delivery_Charge]])</f>
        <v>1724.4059999999999</v>
      </c>
      <c r="Y70" s="4" t="str">
        <f>Table1[[#This Row],[First_Name]]&amp;" "&amp;Table1[[#This Row],[Last_Name]]</f>
        <v>Jason Nguyen</v>
      </c>
      <c r="Z70" s="4" t="str">
        <f>IF(T:T&gt;Table1[[#This Row],[Estimated_Days_to_Deliver]],"Late",IF(T:T=Table1[[#This Row],[Estimated_Days_to_Deliver]],"Intime","BeforeTime"))</f>
        <v>BeforeTime</v>
      </c>
      <c r="AA70" s="4">
        <f>MONTH(Table1[[#This Row],[Order_Date]])</f>
        <v>12</v>
      </c>
      <c r="AB70" s="13">
        <f>Table1[[#This Row],[Amount]]*Table1[[#This Row],[Discount_Percent]]</f>
        <v>297.95399999999995</v>
      </c>
    </row>
    <row r="71" spans="1:28" ht="14.25" customHeight="1">
      <c r="A71" s="1" t="s">
        <v>538</v>
      </c>
      <c r="B71" s="1" t="s">
        <v>539</v>
      </c>
      <c r="C71" s="1" t="s">
        <v>540</v>
      </c>
      <c r="D71" s="1">
        <v>32</v>
      </c>
      <c r="E71" s="1" t="s">
        <v>54</v>
      </c>
      <c r="F71" s="1" t="s">
        <v>92</v>
      </c>
      <c r="G71" s="1" t="s">
        <v>541</v>
      </c>
      <c r="H71" s="1" t="s">
        <v>542</v>
      </c>
      <c r="I71" s="1" t="s">
        <v>543</v>
      </c>
      <c r="J71" s="24">
        <v>45586</v>
      </c>
      <c r="K71" s="1" t="s">
        <v>544</v>
      </c>
      <c r="L71" s="1" t="s">
        <v>359</v>
      </c>
      <c r="M71" s="1">
        <v>496.59</v>
      </c>
      <c r="N71" s="1">
        <v>2</v>
      </c>
      <c r="O71" s="1" t="s">
        <v>38</v>
      </c>
      <c r="P71" s="1">
        <v>5</v>
      </c>
      <c r="Q71" s="1">
        <v>41</v>
      </c>
      <c r="R71" s="24">
        <v>45588</v>
      </c>
      <c r="S71" s="1" t="s">
        <v>545</v>
      </c>
      <c r="T71" s="4">
        <f>Table1[[#This Row],[Delivery_Date]]-Table1[[#This Row],[Order_Date]]</f>
        <v>2</v>
      </c>
      <c r="U71" s="4">
        <f>Table1[[#This Row],[Price]]*Table1[[#This Row],[Quantity]]</f>
        <v>993.18</v>
      </c>
      <c r="V71" s="11">
        <f t="shared" si="1"/>
        <v>0.08</v>
      </c>
      <c r="W71" s="4">
        <f>Table1[[#This Row],[Amount]]-(Table1[[#This Row],[Amount]]*Table1[[#This Row],[Discount_Percent]])</f>
        <v>913.72559999999999</v>
      </c>
      <c r="X71" s="4">
        <f>IF(O71="DEL0", Table1[[#This Row],[Discounted_Amount]],Table1[[#This Row],[Discounted_Amount]]+Table1[[#This Row],[Delivery_Charge]])</f>
        <v>954.72559999999999</v>
      </c>
      <c r="Y71" s="4" t="str">
        <f>Table1[[#This Row],[First_Name]]&amp;" "&amp;Table1[[#This Row],[Last_Name]]</f>
        <v>Brandon Cruz</v>
      </c>
      <c r="Z71" s="4" t="str">
        <f>IF(T:T&gt;Table1[[#This Row],[Estimated_Days_to_Deliver]],"Late",IF(T:T=Table1[[#This Row],[Estimated_Days_to_Deliver]],"Intime","BeforeTime"))</f>
        <v>BeforeTime</v>
      </c>
      <c r="AA71" s="4">
        <f>MONTH(Table1[[#This Row],[Order_Date]])</f>
        <v>10</v>
      </c>
      <c r="AB71" s="13">
        <f>Table1[[#This Row],[Amount]]*Table1[[#This Row],[Discount_Percent]]</f>
        <v>79.454399999999993</v>
      </c>
    </row>
    <row r="72" spans="1:28" ht="14.25" customHeight="1">
      <c r="A72" s="1" t="s">
        <v>28</v>
      </c>
      <c r="B72" s="1" t="s">
        <v>29</v>
      </c>
      <c r="C72" s="1" t="s">
        <v>30</v>
      </c>
      <c r="D72" s="1">
        <v>37</v>
      </c>
      <c r="E72" s="1" t="s">
        <v>31</v>
      </c>
      <c r="F72" s="1" t="s">
        <v>32</v>
      </c>
      <c r="G72" s="1" t="s">
        <v>33</v>
      </c>
      <c r="H72" s="1" t="s">
        <v>34</v>
      </c>
      <c r="I72" s="1" t="s">
        <v>546</v>
      </c>
      <c r="J72" s="24">
        <v>45567</v>
      </c>
      <c r="K72" s="1" t="s">
        <v>547</v>
      </c>
      <c r="L72" s="1" t="s">
        <v>37</v>
      </c>
      <c r="M72" s="1">
        <v>308.88</v>
      </c>
      <c r="N72" s="1">
        <v>1</v>
      </c>
      <c r="O72" s="1" t="s">
        <v>65</v>
      </c>
      <c r="P72" s="1">
        <v>5</v>
      </c>
      <c r="Q72" s="1">
        <v>62</v>
      </c>
      <c r="R72" s="24">
        <v>45569</v>
      </c>
      <c r="S72" s="1" t="s">
        <v>548</v>
      </c>
      <c r="T72" s="4">
        <f>Table1[[#This Row],[Delivery_Date]]-Table1[[#This Row],[Order_Date]]</f>
        <v>2</v>
      </c>
      <c r="U72" s="4">
        <f>Table1[[#This Row],[Price]]*Table1[[#This Row],[Quantity]]</f>
        <v>308.88</v>
      </c>
      <c r="V72" s="11">
        <f t="shared" si="1"/>
        <v>0</v>
      </c>
      <c r="W72" s="4">
        <f>Table1[[#This Row],[Amount]]-(Table1[[#This Row],[Amount]]*Table1[[#This Row],[Discount_Percent]])</f>
        <v>308.88</v>
      </c>
      <c r="X72" s="4">
        <f>IF(O72="DEL0", Table1[[#This Row],[Discounted_Amount]],Table1[[#This Row],[Discounted_Amount]]+Table1[[#This Row],[Delivery_Charge]])</f>
        <v>308.88</v>
      </c>
      <c r="Y72" s="4" t="str">
        <f>Table1[[#This Row],[First_Name]]&amp;" "&amp;Table1[[#This Row],[Last_Name]]</f>
        <v>Anne Oconnell</v>
      </c>
      <c r="Z72" s="4" t="str">
        <f>IF(T:T&gt;Table1[[#This Row],[Estimated_Days_to_Deliver]],"Late",IF(T:T=Table1[[#This Row],[Estimated_Days_to_Deliver]],"Intime","BeforeTime"))</f>
        <v>BeforeTime</v>
      </c>
      <c r="AA72" s="4">
        <f>MONTH(Table1[[#This Row],[Order_Date]])</f>
        <v>10</v>
      </c>
      <c r="AB72" s="13">
        <f>Table1[[#This Row],[Amount]]*Table1[[#This Row],[Discount_Percent]]</f>
        <v>0</v>
      </c>
    </row>
    <row r="73" spans="1:28" ht="14.25" customHeight="1">
      <c r="A73" s="1" t="s">
        <v>549</v>
      </c>
      <c r="B73" s="1" t="s">
        <v>550</v>
      </c>
      <c r="C73" s="1" t="s">
        <v>551</v>
      </c>
      <c r="D73" s="1">
        <v>33</v>
      </c>
      <c r="E73" s="1" t="s">
        <v>54</v>
      </c>
      <c r="F73" s="1" t="s">
        <v>170</v>
      </c>
      <c r="G73" s="1" t="s">
        <v>552</v>
      </c>
      <c r="H73" s="1" t="s">
        <v>553</v>
      </c>
      <c r="I73" s="1" t="s">
        <v>554</v>
      </c>
      <c r="J73" s="24">
        <v>45495</v>
      </c>
      <c r="K73" s="1" t="s">
        <v>555</v>
      </c>
      <c r="L73" s="1" t="s">
        <v>556</v>
      </c>
      <c r="M73" s="1">
        <v>425.59</v>
      </c>
      <c r="N73" s="1">
        <v>4</v>
      </c>
      <c r="O73" s="1" t="s">
        <v>65</v>
      </c>
      <c r="P73" s="1">
        <v>5</v>
      </c>
      <c r="Q73" s="1">
        <v>53</v>
      </c>
      <c r="R73" s="24">
        <v>45496</v>
      </c>
      <c r="S73" s="1" t="s">
        <v>557</v>
      </c>
      <c r="T73" s="4">
        <f>Table1[[#This Row],[Delivery_Date]]-Table1[[#This Row],[Order_Date]]</f>
        <v>1</v>
      </c>
      <c r="U73" s="4">
        <f>Table1[[#This Row],[Price]]*Table1[[#This Row],[Quantity]]</f>
        <v>1702.36</v>
      </c>
      <c r="V73" s="11">
        <f t="shared" si="1"/>
        <v>0</v>
      </c>
      <c r="W73" s="4">
        <f>Table1[[#This Row],[Amount]]-(Table1[[#This Row],[Amount]]*Table1[[#This Row],[Discount_Percent]])</f>
        <v>1702.36</v>
      </c>
      <c r="X73" s="4">
        <f>IF(O73="DEL0", Table1[[#This Row],[Discounted_Amount]],Table1[[#This Row],[Discounted_Amount]]+Table1[[#This Row],[Delivery_Charge]])</f>
        <v>1702.36</v>
      </c>
      <c r="Y73" s="4" t="str">
        <f>Table1[[#This Row],[First_Name]]&amp;" "&amp;Table1[[#This Row],[Last_Name]]</f>
        <v>Jodi Whitney</v>
      </c>
      <c r="Z73" s="4" t="str">
        <f>IF(T:T&gt;Table1[[#This Row],[Estimated_Days_to_Deliver]],"Late",IF(T:T=Table1[[#This Row],[Estimated_Days_to_Deliver]],"Intime","BeforeTime"))</f>
        <v>BeforeTime</v>
      </c>
      <c r="AA73" s="4">
        <f>MONTH(Table1[[#This Row],[Order_Date]])</f>
        <v>7</v>
      </c>
      <c r="AB73" s="13">
        <f>Table1[[#This Row],[Amount]]*Table1[[#This Row],[Discount_Percent]]</f>
        <v>0</v>
      </c>
    </row>
    <row r="74" spans="1:28" ht="14.25" customHeight="1">
      <c r="A74" s="1" t="s">
        <v>220</v>
      </c>
      <c r="B74" s="1" t="s">
        <v>221</v>
      </c>
      <c r="C74" s="1" t="s">
        <v>222</v>
      </c>
      <c r="D74" s="1">
        <v>33</v>
      </c>
      <c r="E74" s="1" t="s">
        <v>54</v>
      </c>
      <c r="F74" s="1" t="s">
        <v>223</v>
      </c>
      <c r="G74" s="1" t="s">
        <v>224</v>
      </c>
      <c r="H74" s="1" t="s">
        <v>225</v>
      </c>
      <c r="I74" s="1" t="s">
        <v>558</v>
      </c>
      <c r="J74" s="24">
        <v>45355</v>
      </c>
      <c r="K74" s="1" t="s">
        <v>559</v>
      </c>
      <c r="L74" s="1" t="s">
        <v>37</v>
      </c>
      <c r="M74" s="1">
        <v>308.88</v>
      </c>
      <c r="N74" s="1">
        <v>1</v>
      </c>
      <c r="O74" s="1" t="s">
        <v>98</v>
      </c>
      <c r="P74" s="1">
        <v>5</v>
      </c>
      <c r="Q74" s="1">
        <v>56</v>
      </c>
      <c r="R74" s="24">
        <v>45360</v>
      </c>
      <c r="S74" s="1" t="s">
        <v>560</v>
      </c>
      <c r="T74" s="4">
        <f>Table1[[#This Row],[Delivery_Date]]-Table1[[#This Row],[Order_Date]]</f>
        <v>5</v>
      </c>
      <c r="U74" s="4">
        <f>Table1[[#This Row],[Price]]*Table1[[#This Row],[Quantity]]</f>
        <v>308.88</v>
      </c>
      <c r="V74" s="11">
        <f t="shared" si="1"/>
        <v>0.1</v>
      </c>
      <c r="W74" s="4">
        <f>Table1[[#This Row],[Amount]]-(Table1[[#This Row],[Amount]]*Table1[[#This Row],[Discount_Percent]])</f>
        <v>277.99200000000002</v>
      </c>
      <c r="X74" s="4">
        <f>IF(O74="DEL0", Table1[[#This Row],[Discounted_Amount]],Table1[[#This Row],[Discounted_Amount]]+Table1[[#This Row],[Delivery_Charge]])</f>
        <v>333.99200000000002</v>
      </c>
      <c r="Y74" s="4" t="str">
        <f>Table1[[#This Row],[First_Name]]&amp;" "&amp;Table1[[#This Row],[Last_Name]]</f>
        <v>Mark Henderson</v>
      </c>
      <c r="Z74" s="4" t="str">
        <f>IF(T:T&gt;Table1[[#This Row],[Estimated_Days_to_Deliver]],"Late",IF(T:T=Table1[[#This Row],[Estimated_Days_to_Deliver]],"Intime","BeforeTime"))</f>
        <v>Intime</v>
      </c>
      <c r="AA74" s="4">
        <f>MONTH(Table1[[#This Row],[Order_Date]])</f>
        <v>3</v>
      </c>
      <c r="AB74" s="13">
        <f>Table1[[#This Row],[Amount]]*Table1[[#This Row],[Discount_Percent]]</f>
        <v>30.888000000000002</v>
      </c>
    </row>
    <row r="75" spans="1:28" ht="14.25" customHeight="1">
      <c r="A75" s="1" t="s">
        <v>453</v>
      </c>
      <c r="B75" s="1" t="s">
        <v>454</v>
      </c>
      <c r="C75" s="1" t="s">
        <v>455</v>
      </c>
      <c r="D75" s="1">
        <v>69</v>
      </c>
      <c r="E75" s="1" t="s">
        <v>31</v>
      </c>
      <c r="F75" s="1" t="s">
        <v>32</v>
      </c>
      <c r="G75" s="1" t="s">
        <v>456</v>
      </c>
      <c r="H75" s="1" t="s">
        <v>457</v>
      </c>
      <c r="I75" s="1" t="s">
        <v>561</v>
      </c>
      <c r="J75" s="24">
        <v>45132</v>
      </c>
      <c r="K75" s="1" t="s">
        <v>562</v>
      </c>
      <c r="L75" s="1" t="s">
        <v>386</v>
      </c>
      <c r="M75" s="1">
        <v>431.44</v>
      </c>
      <c r="N75" s="1">
        <v>5</v>
      </c>
      <c r="O75" s="1" t="s">
        <v>60</v>
      </c>
      <c r="P75" s="1">
        <v>5</v>
      </c>
      <c r="Q75" s="1">
        <v>59</v>
      </c>
      <c r="R75" s="24">
        <v>45139</v>
      </c>
      <c r="S75" s="1" t="s">
        <v>563</v>
      </c>
      <c r="T75" s="4">
        <f>Table1[[#This Row],[Delivery_Date]]-Table1[[#This Row],[Order_Date]]</f>
        <v>7</v>
      </c>
      <c r="U75" s="4">
        <f>Table1[[#This Row],[Price]]*Table1[[#This Row],[Quantity]]</f>
        <v>2157.1999999999998</v>
      </c>
      <c r="V75" s="11">
        <f t="shared" si="1"/>
        <v>0.15</v>
      </c>
      <c r="W75" s="4">
        <f>Table1[[#This Row],[Amount]]-(Table1[[#This Row],[Amount]]*Table1[[#This Row],[Discount_Percent]])</f>
        <v>1833.62</v>
      </c>
      <c r="X75" s="4">
        <f>IF(O75="DEL0", Table1[[#This Row],[Discounted_Amount]],Table1[[#This Row],[Discounted_Amount]]+Table1[[#This Row],[Delivery_Charge]])</f>
        <v>1892.62</v>
      </c>
      <c r="Y75" s="4" t="str">
        <f>Table1[[#This Row],[First_Name]]&amp;" "&amp;Table1[[#This Row],[Last_Name]]</f>
        <v>Brian Kennedy</v>
      </c>
      <c r="Z75" s="4" t="str">
        <f>IF(T:T&gt;Table1[[#This Row],[Estimated_Days_to_Deliver]],"Late",IF(T:T=Table1[[#This Row],[Estimated_Days_to_Deliver]],"Intime","BeforeTime"))</f>
        <v>Late</v>
      </c>
      <c r="AA75" s="4">
        <f>MONTH(Table1[[#This Row],[Order_Date]])</f>
        <v>7</v>
      </c>
      <c r="AB75" s="13">
        <f>Table1[[#This Row],[Amount]]*Table1[[#This Row],[Discount_Percent]]</f>
        <v>323.58</v>
      </c>
    </row>
    <row r="76" spans="1:28" ht="14.25" customHeight="1">
      <c r="A76" s="1" t="s">
        <v>453</v>
      </c>
      <c r="B76" s="1" t="s">
        <v>454</v>
      </c>
      <c r="C76" s="1" t="s">
        <v>455</v>
      </c>
      <c r="D76" s="1">
        <v>69</v>
      </c>
      <c r="E76" s="1" t="s">
        <v>31</v>
      </c>
      <c r="F76" s="1" t="s">
        <v>32</v>
      </c>
      <c r="G76" s="1" t="s">
        <v>456</v>
      </c>
      <c r="H76" s="1" t="s">
        <v>457</v>
      </c>
      <c r="I76" s="1" t="s">
        <v>564</v>
      </c>
      <c r="J76" s="24">
        <v>45650</v>
      </c>
      <c r="K76" s="1" t="s">
        <v>565</v>
      </c>
      <c r="L76" s="1" t="s">
        <v>566</v>
      </c>
      <c r="M76" s="1">
        <v>133.62</v>
      </c>
      <c r="N76" s="1">
        <v>2</v>
      </c>
      <c r="O76" s="1" t="s">
        <v>98</v>
      </c>
      <c r="P76" s="1">
        <v>5</v>
      </c>
      <c r="Q76" s="1">
        <v>50</v>
      </c>
      <c r="R76" s="24">
        <v>45651</v>
      </c>
      <c r="S76" s="1" t="s">
        <v>567</v>
      </c>
      <c r="T76" s="4">
        <f>Table1[[#This Row],[Delivery_Date]]-Table1[[#This Row],[Order_Date]]</f>
        <v>1</v>
      </c>
      <c r="U76" s="4">
        <f>Table1[[#This Row],[Price]]*Table1[[#This Row],[Quantity]]</f>
        <v>267.24</v>
      </c>
      <c r="V76" s="11">
        <f t="shared" si="1"/>
        <v>0.1</v>
      </c>
      <c r="W76" s="4">
        <f>Table1[[#This Row],[Amount]]-(Table1[[#This Row],[Amount]]*Table1[[#This Row],[Discount_Percent]])</f>
        <v>240.51600000000002</v>
      </c>
      <c r="X76" s="4">
        <f>IF(O76="DEL0", Table1[[#This Row],[Discounted_Amount]],Table1[[#This Row],[Discounted_Amount]]+Table1[[#This Row],[Delivery_Charge]])</f>
        <v>290.51600000000002</v>
      </c>
      <c r="Y76" s="4" t="str">
        <f>Table1[[#This Row],[First_Name]]&amp;" "&amp;Table1[[#This Row],[Last_Name]]</f>
        <v>Brian Kennedy</v>
      </c>
      <c r="Z76" s="4" t="str">
        <f>IF(T:T&gt;Table1[[#This Row],[Estimated_Days_to_Deliver]],"Late",IF(T:T=Table1[[#This Row],[Estimated_Days_to_Deliver]],"Intime","BeforeTime"))</f>
        <v>BeforeTime</v>
      </c>
      <c r="AA76" s="4">
        <f>MONTH(Table1[[#This Row],[Order_Date]])</f>
        <v>12</v>
      </c>
      <c r="AB76" s="13">
        <f>Table1[[#This Row],[Amount]]*Table1[[#This Row],[Discount_Percent]]</f>
        <v>26.724000000000004</v>
      </c>
    </row>
    <row r="77" spans="1:28" ht="14.25" customHeight="1">
      <c r="A77" s="1" t="s">
        <v>283</v>
      </c>
      <c r="B77" s="1" t="s">
        <v>284</v>
      </c>
      <c r="C77" s="1" t="s">
        <v>285</v>
      </c>
      <c r="D77" s="1">
        <v>64</v>
      </c>
      <c r="E77" s="1" t="s">
        <v>54</v>
      </c>
      <c r="F77" s="1" t="s">
        <v>32</v>
      </c>
      <c r="G77" s="1" t="s">
        <v>286</v>
      </c>
      <c r="H77" s="1" t="s">
        <v>287</v>
      </c>
      <c r="I77" s="1" t="s">
        <v>568</v>
      </c>
      <c r="J77" s="24">
        <v>45459</v>
      </c>
      <c r="K77" s="1" t="s">
        <v>569</v>
      </c>
      <c r="L77" s="1" t="s">
        <v>97</v>
      </c>
      <c r="M77" s="1">
        <v>363.64</v>
      </c>
      <c r="N77" s="1">
        <v>3</v>
      </c>
      <c r="O77" s="1" t="s">
        <v>65</v>
      </c>
      <c r="P77" s="1">
        <v>5</v>
      </c>
      <c r="Q77" s="1">
        <v>41</v>
      </c>
      <c r="R77" s="24">
        <v>45461</v>
      </c>
      <c r="S77" s="1" t="s">
        <v>570</v>
      </c>
      <c r="T77" s="4">
        <f>Table1[[#This Row],[Delivery_Date]]-Table1[[#This Row],[Order_Date]]</f>
        <v>2</v>
      </c>
      <c r="U77" s="4">
        <f>Table1[[#This Row],[Price]]*Table1[[#This Row],[Quantity]]</f>
        <v>1090.92</v>
      </c>
      <c r="V77" s="11">
        <f t="shared" si="1"/>
        <v>0</v>
      </c>
      <c r="W77" s="4">
        <f>Table1[[#This Row],[Amount]]-(Table1[[#This Row],[Amount]]*Table1[[#This Row],[Discount_Percent]])</f>
        <v>1090.92</v>
      </c>
      <c r="X77" s="4">
        <f>IF(O77="DEL0", Table1[[#This Row],[Discounted_Amount]],Table1[[#This Row],[Discounted_Amount]]+Table1[[#This Row],[Delivery_Charge]])</f>
        <v>1090.92</v>
      </c>
      <c r="Y77" s="4" t="str">
        <f>Table1[[#This Row],[First_Name]]&amp;" "&amp;Table1[[#This Row],[Last_Name]]</f>
        <v>Teresa Harvey</v>
      </c>
      <c r="Z77" s="4" t="str">
        <f>IF(T:T&gt;Table1[[#This Row],[Estimated_Days_to_Deliver]],"Late",IF(T:T=Table1[[#This Row],[Estimated_Days_to_Deliver]],"Intime","BeforeTime"))</f>
        <v>BeforeTime</v>
      </c>
      <c r="AA77" s="4">
        <f>MONTH(Table1[[#This Row],[Order_Date]])</f>
        <v>6</v>
      </c>
      <c r="AB77" s="13">
        <f>Table1[[#This Row],[Amount]]*Table1[[#This Row],[Discount_Percent]]</f>
        <v>0</v>
      </c>
    </row>
    <row r="78" spans="1:28" ht="14.25" customHeight="1">
      <c r="A78" s="1" t="s">
        <v>40</v>
      </c>
      <c r="B78" s="1" t="s">
        <v>41</v>
      </c>
      <c r="C78" s="1" t="s">
        <v>42</v>
      </c>
      <c r="D78" s="1">
        <v>53</v>
      </c>
      <c r="E78" s="1" t="s">
        <v>43</v>
      </c>
      <c r="F78" s="1" t="s">
        <v>44</v>
      </c>
      <c r="G78" s="1" t="s">
        <v>45</v>
      </c>
      <c r="H78" s="1" t="s">
        <v>46</v>
      </c>
      <c r="I78" s="1" t="s">
        <v>571</v>
      </c>
      <c r="J78" s="24">
        <v>45041</v>
      </c>
      <c r="K78" s="1" t="s">
        <v>572</v>
      </c>
      <c r="L78" s="1" t="s">
        <v>253</v>
      </c>
      <c r="M78" s="1">
        <v>128.13999999999999</v>
      </c>
      <c r="N78" s="1">
        <v>1</v>
      </c>
      <c r="O78" s="1" t="s">
        <v>38</v>
      </c>
      <c r="P78" s="1">
        <v>5</v>
      </c>
      <c r="Q78" s="1">
        <v>70</v>
      </c>
      <c r="R78" s="24">
        <v>45045</v>
      </c>
      <c r="S78" s="1" t="s">
        <v>573</v>
      </c>
      <c r="T78" s="4">
        <f>Table1[[#This Row],[Delivery_Date]]-Table1[[#This Row],[Order_Date]]</f>
        <v>4</v>
      </c>
      <c r="U78" s="4">
        <f>Table1[[#This Row],[Price]]*Table1[[#This Row],[Quantity]]</f>
        <v>128.13999999999999</v>
      </c>
      <c r="V78" s="11">
        <f t="shared" si="1"/>
        <v>0.08</v>
      </c>
      <c r="W78" s="4">
        <f>Table1[[#This Row],[Amount]]-(Table1[[#This Row],[Amount]]*Table1[[#This Row],[Discount_Percent]])</f>
        <v>117.88879999999999</v>
      </c>
      <c r="X78" s="4">
        <f>IF(O78="DEL0", Table1[[#This Row],[Discounted_Amount]],Table1[[#This Row],[Discounted_Amount]]+Table1[[#This Row],[Delivery_Charge]])</f>
        <v>187.8888</v>
      </c>
      <c r="Y78" s="4" t="str">
        <f>Table1[[#This Row],[First_Name]]&amp;" "&amp;Table1[[#This Row],[Last_Name]]</f>
        <v>Anthony Thomas</v>
      </c>
      <c r="Z78" s="4" t="str">
        <f>IF(T:T&gt;Table1[[#This Row],[Estimated_Days_to_Deliver]],"Late",IF(T:T=Table1[[#This Row],[Estimated_Days_to_Deliver]],"Intime","BeforeTime"))</f>
        <v>BeforeTime</v>
      </c>
      <c r="AA78" s="4">
        <f>MONTH(Table1[[#This Row],[Order_Date]])</f>
        <v>4</v>
      </c>
      <c r="AB78" s="13">
        <f>Table1[[#This Row],[Amount]]*Table1[[#This Row],[Discount_Percent]]</f>
        <v>10.251199999999999</v>
      </c>
    </row>
    <row r="79" spans="1:28" ht="14.25" customHeight="1">
      <c r="A79" s="1" t="s">
        <v>388</v>
      </c>
      <c r="B79" s="1" t="s">
        <v>389</v>
      </c>
      <c r="C79" s="1" t="s">
        <v>390</v>
      </c>
      <c r="D79" s="1">
        <v>47</v>
      </c>
      <c r="E79" s="1" t="s">
        <v>43</v>
      </c>
      <c r="F79" s="1" t="s">
        <v>92</v>
      </c>
      <c r="G79" s="1" t="s">
        <v>391</v>
      </c>
      <c r="H79" s="1" t="s">
        <v>392</v>
      </c>
      <c r="I79" s="1" t="s">
        <v>574</v>
      </c>
      <c r="J79" s="24">
        <v>45683</v>
      </c>
      <c r="K79" s="1" t="s">
        <v>575</v>
      </c>
      <c r="L79" s="1" t="s">
        <v>576</v>
      </c>
      <c r="M79" s="1">
        <v>477.52</v>
      </c>
      <c r="N79" s="1">
        <v>2</v>
      </c>
      <c r="O79" s="1" t="s">
        <v>38</v>
      </c>
      <c r="P79" s="1">
        <v>5</v>
      </c>
      <c r="Q79" s="1">
        <v>55</v>
      </c>
      <c r="R79" s="24">
        <v>45685</v>
      </c>
      <c r="S79" s="1" t="s">
        <v>577</v>
      </c>
      <c r="T79" s="4">
        <f>Table1[[#This Row],[Delivery_Date]]-Table1[[#This Row],[Order_Date]]</f>
        <v>2</v>
      </c>
      <c r="U79" s="4">
        <f>Table1[[#This Row],[Price]]*Table1[[#This Row],[Quantity]]</f>
        <v>955.04</v>
      </c>
      <c r="V79" s="11">
        <f t="shared" si="1"/>
        <v>0.08</v>
      </c>
      <c r="W79" s="4">
        <f>Table1[[#This Row],[Amount]]-(Table1[[#This Row],[Amount]]*Table1[[#This Row],[Discount_Percent]])</f>
        <v>878.63679999999999</v>
      </c>
      <c r="X79" s="4">
        <f>IF(O79="DEL0", Table1[[#This Row],[Discounted_Amount]],Table1[[#This Row],[Discounted_Amount]]+Table1[[#This Row],[Delivery_Charge]])</f>
        <v>933.63679999999999</v>
      </c>
      <c r="Y79" s="4" t="str">
        <f>Table1[[#This Row],[First_Name]]&amp;" "&amp;Table1[[#This Row],[Last_Name]]</f>
        <v>Aaron Thompson</v>
      </c>
      <c r="Z79" s="4" t="str">
        <f>IF(T:T&gt;Table1[[#This Row],[Estimated_Days_to_Deliver]],"Late",IF(T:T=Table1[[#This Row],[Estimated_Days_to_Deliver]],"Intime","BeforeTime"))</f>
        <v>BeforeTime</v>
      </c>
      <c r="AA79" s="4">
        <f>MONTH(Table1[[#This Row],[Order_Date]])</f>
        <v>1</v>
      </c>
      <c r="AB79" s="13">
        <f>Table1[[#This Row],[Amount]]*Table1[[#This Row],[Discount_Percent]]</f>
        <v>76.403199999999998</v>
      </c>
    </row>
    <row r="80" spans="1:28" ht="14.25" customHeight="1">
      <c r="A80" s="1" t="s">
        <v>578</v>
      </c>
      <c r="B80" s="1" t="s">
        <v>259</v>
      </c>
      <c r="C80" s="1" t="s">
        <v>579</v>
      </c>
      <c r="D80" s="1">
        <v>35</v>
      </c>
      <c r="E80" s="1" t="s">
        <v>31</v>
      </c>
      <c r="F80" s="1" t="s">
        <v>32</v>
      </c>
      <c r="G80" s="1" t="s">
        <v>580</v>
      </c>
      <c r="H80" s="1" t="s">
        <v>581</v>
      </c>
      <c r="I80" s="1" t="s">
        <v>582</v>
      </c>
      <c r="J80" s="24">
        <v>45054</v>
      </c>
      <c r="K80" s="1" t="s">
        <v>583</v>
      </c>
      <c r="L80" s="1" t="s">
        <v>245</v>
      </c>
      <c r="M80" s="1">
        <v>126.19</v>
      </c>
      <c r="N80" s="1">
        <v>3</v>
      </c>
      <c r="O80" s="1" t="s">
        <v>65</v>
      </c>
      <c r="P80" s="1">
        <v>5</v>
      </c>
      <c r="Q80" s="1">
        <v>40</v>
      </c>
      <c r="R80" s="24">
        <v>45058</v>
      </c>
      <c r="S80" s="1" t="s">
        <v>584</v>
      </c>
      <c r="T80" s="4">
        <f>Table1[[#This Row],[Delivery_Date]]-Table1[[#This Row],[Order_Date]]</f>
        <v>4</v>
      </c>
      <c r="U80" s="4">
        <f>Table1[[#This Row],[Price]]*Table1[[#This Row],[Quantity]]</f>
        <v>378.57</v>
      </c>
      <c r="V80" s="11">
        <f t="shared" si="1"/>
        <v>0</v>
      </c>
      <c r="W80" s="4">
        <f>Table1[[#This Row],[Amount]]-(Table1[[#This Row],[Amount]]*Table1[[#This Row],[Discount_Percent]])</f>
        <v>378.57</v>
      </c>
      <c r="X80" s="4">
        <f>IF(O80="DEL0", Table1[[#This Row],[Discounted_Amount]],Table1[[#This Row],[Discounted_Amount]]+Table1[[#This Row],[Delivery_Charge]])</f>
        <v>378.57</v>
      </c>
      <c r="Y80" s="4" t="str">
        <f>Table1[[#This Row],[First_Name]]&amp;" "&amp;Table1[[#This Row],[Last_Name]]</f>
        <v>Ashley Romero</v>
      </c>
      <c r="Z80" s="4" t="str">
        <f>IF(T:T&gt;Table1[[#This Row],[Estimated_Days_to_Deliver]],"Late",IF(T:T=Table1[[#This Row],[Estimated_Days_to_Deliver]],"Intime","BeforeTime"))</f>
        <v>BeforeTime</v>
      </c>
      <c r="AA80" s="4">
        <f>MONTH(Table1[[#This Row],[Order_Date]])</f>
        <v>5</v>
      </c>
      <c r="AB80" s="13">
        <f>Table1[[#This Row],[Amount]]*Table1[[#This Row],[Discount_Percent]]</f>
        <v>0</v>
      </c>
    </row>
    <row r="81" spans="1:28" ht="14.25" customHeight="1">
      <c r="A81" s="1" t="s">
        <v>415</v>
      </c>
      <c r="B81" s="1" t="s">
        <v>231</v>
      </c>
      <c r="C81" s="1" t="s">
        <v>416</v>
      </c>
      <c r="D81" s="1">
        <v>28</v>
      </c>
      <c r="E81" s="1" t="s">
        <v>54</v>
      </c>
      <c r="F81" s="1" t="s">
        <v>142</v>
      </c>
      <c r="G81" s="1" t="s">
        <v>417</v>
      </c>
      <c r="H81" s="1" t="s">
        <v>418</v>
      </c>
      <c r="I81" s="1" t="s">
        <v>585</v>
      </c>
      <c r="J81" s="24">
        <v>45443</v>
      </c>
      <c r="K81" s="1" t="s">
        <v>586</v>
      </c>
      <c r="L81" s="1" t="s">
        <v>326</v>
      </c>
      <c r="M81" s="1">
        <v>481.48</v>
      </c>
      <c r="N81" s="1">
        <v>4</v>
      </c>
      <c r="O81" s="1" t="s">
        <v>98</v>
      </c>
      <c r="P81" s="1">
        <v>5</v>
      </c>
      <c r="Q81" s="1">
        <v>36</v>
      </c>
      <c r="R81" s="24">
        <v>45447</v>
      </c>
      <c r="S81" s="1" t="s">
        <v>587</v>
      </c>
      <c r="T81" s="4">
        <f>Table1[[#This Row],[Delivery_Date]]-Table1[[#This Row],[Order_Date]]</f>
        <v>4</v>
      </c>
      <c r="U81" s="4">
        <f>Table1[[#This Row],[Price]]*Table1[[#This Row],[Quantity]]</f>
        <v>1925.92</v>
      </c>
      <c r="V81" s="11">
        <f t="shared" si="1"/>
        <v>0.1</v>
      </c>
      <c r="W81" s="4">
        <f>Table1[[#This Row],[Amount]]-(Table1[[#This Row],[Amount]]*Table1[[#This Row],[Discount_Percent]])</f>
        <v>1733.328</v>
      </c>
      <c r="X81" s="4">
        <f>IF(O81="DEL0", Table1[[#This Row],[Discounted_Amount]],Table1[[#This Row],[Discounted_Amount]]+Table1[[#This Row],[Delivery_Charge]])</f>
        <v>1769.328</v>
      </c>
      <c r="Y81" s="4" t="str">
        <f>Table1[[#This Row],[First_Name]]&amp;" "&amp;Table1[[#This Row],[Last_Name]]</f>
        <v>John Ramirez</v>
      </c>
      <c r="Z81" s="4" t="str">
        <f>IF(T:T&gt;Table1[[#This Row],[Estimated_Days_to_Deliver]],"Late",IF(T:T=Table1[[#This Row],[Estimated_Days_to_Deliver]],"Intime","BeforeTime"))</f>
        <v>BeforeTime</v>
      </c>
      <c r="AA81" s="4">
        <f>MONTH(Table1[[#This Row],[Order_Date]])</f>
        <v>5</v>
      </c>
      <c r="AB81" s="13">
        <f>Table1[[#This Row],[Amount]]*Table1[[#This Row],[Discount_Percent]]</f>
        <v>192.59200000000001</v>
      </c>
    </row>
    <row r="82" spans="1:28" ht="14.25" customHeight="1">
      <c r="A82" s="1" t="s">
        <v>478</v>
      </c>
      <c r="B82" s="1" t="s">
        <v>110</v>
      </c>
      <c r="C82" s="1" t="s">
        <v>479</v>
      </c>
      <c r="D82" s="1">
        <v>33</v>
      </c>
      <c r="E82" s="1" t="s">
        <v>31</v>
      </c>
      <c r="F82" s="1" t="s">
        <v>170</v>
      </c>
      <c r="G82" s="1" t="s">
        <v>480</v>
      </c>
      <c r="H82" s="1" t="s">
        <v>481</v>
      </c>
      <c r="I82" s="1" t="s">
        <v>588</v>
      </c>
      <c r="J82" s="24">
        <v>45675</v>
      </c>
      <c r="K82" s="1" t="s">
        <v>589</v>
      </c>
      <c r="L82" s="1" t="s">
        <v>37</v>
      </c>
      <c r="M82" s="1">
        <v>308.88</v>
      </c>
      <c r="N82" s="1">
        <v>3</v>
      </c>
      <c r="O82" s="1" t="s">
        <v>60</v>
      </c>
      <c r="P82" s="1">
        <v>5</v>
      </c>
      <c r="Q82" s="1">
        <v>48</v>
      </c>
      <c r="R82" s="24">
        <v>45678</v>
      </c>
      <c r="S82" s="1" t="s">
        <v>590</v>
      </c>
      <c r="T82" s="4">
        <f>Table1[[#This Row],[Delivery_Date]]-Table1[[#This Row],[Order_Date]]</f>
        <v>3</v>
      </c>
      <c r="U82" s="4">
        <f>Table1[[#This Row],[Price]]*Table1[[#This Row],[Quantity]]</f>
        <v>926.64</v>
      </c>
      <c r="V82" s="11">
        <f t="shared" si="1"/>
        <v>0.15</v>
      </c>
      <c r="W82" s="4">
        <f>Table1[[#This Row],[Amount]]-(Table1[[#This Row],[Amount]]*Table1[[#This Row],[Discount_Percent]])</f>
        <v>787.64400000000001</v>
      </c>
      <c r="X82" s="4">
        <f>IF(O82="DEL0", Table1[[#This Row],[Discounted_Amount]],Table1[[#This Row],[Discounted_Amount]]+Table1[[#This Row],[Delivery_Charge]])</f>
        <v>835.64400000000001</v>
      </c>
      <c r="Y82" s="4" t="str">
        <f>Table1[[#This Row],[First_Name]]&amp;" "&amp;Table1[[#This Row],[Last_Name]]</f>
        <v>Debra Hayes</v>
      </c>
      <c r="Z82" s="4" t="str">
        <f>IF(T:T&gt;Table1[[#This Row],[Estimated_Days_to_Deliver]],"Late",IF(T:T=Table1[[#This Row],[Estimated_Days_to_Deliver]],"Intime","BeforeTime"))</f>
        <v>BeforeTime</v>
      </c>
      <c r="AA82" s="4">
        <f>MONTH(Table1[[#This Row],[Order_Date]])</f>
        <v>1</v>
      </c>
      <c r="AB82" s="13">
        <f>Table1[[#This Row],[Amount]]*Table1[[#This Row],[Discount_Percent]]</f>
        <v>138.99599999999998</v>
      </c>
    </row>
    <row r="83" spans="1:28" ht="14.25" customHeight="1">
      <c r="A83" s="1" t="s">
        <v>212</v>
      </c>
      <c r="B83" s="1" t="s">
        <v>213</v>
      </c>
      <c r="C83" s="1" t="s">
        <v>214</v>
      </c>
      <c r="D83" s="1">
        <v>39</v>
      </c>
      <c r="E83" s="1" t="s">
        <v>43</v>
      </c>
      <c r="F83" s="1" t="s">
        <v>161</v>
      </c>
      <c r="G83" s="1" t="s">
        <v>215</v>
      </c>
      <c r="H83" s="1" t="s">
        <v>216</v>
      </c>
      <c r="I83" s="1" t="s">
        <v>591</v>
      </c>
      <c r="J83" s="24">
        <v>45525</v>
      </c>
      <c r="K83" s="1" t="s">
        <v>592</v>
      </c>
      <c r="L83" s="1" t="s">
        <v>593</v>
      </c>
      <c r="M83" s="1">
        <v>403.03</v>
      </c>
      <c r="N83" s="1">
        <v>1</v>
      </c>
      <c r="O83" s="1" t="s">
        <v>87</v>
      </c>
      <c r="P83" s="1">
        <v>5</v>
      </c>
      <c r="Q83" s="1">
        <v>52</v>
      </c>
      <c r="R83" s="24">
        <v>45526</v>
      </c>
      <c r="S83" s="1" t="s">
        <v>594</v>
      </c>
      <c r="T83" s="4">
        <f>Table1[[#This Row],[Delivery_Date]]-Table1[[#This Row],[Order_Date]]</f>
        <v>1</v>
      </c>
      <c r="U83" s="4">
        <f>Table1[[#This Row],[Price]]*Table1[[#This Row],[Quantity]]</f>
        <v>403.03</v>
      </c>
      <c r="V83" s="11">
        <f t="shared" si="1"/>
        <v>0.2</v>
      </c>
      <c r="W83" s="4">
        <f>Table1[[#This Row],[Amount]]-(Table1[[#This Row],[Amount]]*Table1[[#This Row],[Discount_Percent]])</f>
        <v>322.42399999999998</v>
      </c>
      <c r="X83" s="4">
        <f>IF(O83="DEL0", Table1[[#This Row],[Discounted_Amount]],Table1[[#This Row],[Discounted_Amount]]+Table1[[#This Row],[Delivery_Charge]])</f>
        <v>374.42399999999998</v>
      </c>
      <c r="Y83" s="4" t="str">
        <f>Table1[[#This Row],[First_Name]]&amp;" "&amp;Table1[[#This Row],[Last_Name]]</f>
        <v>Christian Clayton</v>
      </c>
      <c r="Z83" s="4" t="str">
        <f>IF(T:T&gt;Table1[[#This Row],[Estimated_Days_to_Deliver]],"Late",IF(T:T=Table1[[#This Row],[Estimated_Days_to_Deliver]],"Intime","BeforeTime"))</f>
        <v>BeforeTime</v>
      </c>
      <c r="AA83" s="4">
        <f>MONTH(Table1[[#This Row],[Order_Date]])</f>
        <v>8</v>
      </c>
      <c r="AB83" s="13">
        <f>Table1[[#This Row],[Amount]]*Table1[[#This Row],[Discount_Percent]]</f>
        <v>80.605999999999995</v>
      </c>
    </row>
    <row r="84" spans="1:28" ht="14.25" customHeight="1">
      <c r="A84" s="1" t="s">
        <v>595</v>
      </c>
      <c r="B84" s="1" t="s">
        <v>596</v>
      </c>
      <c r="C84" s="1" t="s">
        <v>597</v>
      </c>
      <c r="D84" s="1">
        <v>21</v>
      </c>
      <c r="E84" s="1" t="s">
        <v>31</v>
      </c>
      <c r="F84" s="1" t="s">
        <v>44</v>
      </c>
      <c r="G84" s="1" t="s">
        <v>598</v>
      </c>
      <c r="H84" s="1" t="s">
        <v>599</v>
      </c>
      <c r="I84" s="1" t="s">
        <v>600</v>
      </c>
      <c r="J84" s="24">
        <v>45041</v>
      </c>
      <c r="K84" s="1" t="s">
        <v>601</v>
      </c>
      <c r="L84" s="1" t="s">
        <v>83</v>
      </c>
      <c r="M84" s="1">
        <v>330.11</v>
      </c>
      <c r="N84" s="1">
        <v>2</v>
      </c>
      <c r="O84" s="1" t="s">
        <v>38</v>
      </c>
      <c r="P84" s="1">
        <v>5</v>
      </c>
      <c r="Q84" s="1">
        <v>64</v>
      </c>
      <c r="R84" s="24">
        <v>45046</v>
      </c>
      <c r="S84" s="1" t="s">
        <v>602</v>
      </c>
      <c r="T84" s="4">
        <f>Table1[[#This Row],[Delivery_Date]]-Table1[[#This Row],[Order_Date]]</f>
        <v>5</v>
      </c>
      <c r="U84" s="4">
        <f>Table1[[#This Row],[Price]]*Table1[[#This Row],[Quantity]]</f>
        <v>660.22</v>
      </c>
      <c r="V84" s="11">
        <f t="shared" si="1"/>
        <v>0.08</v>
      </c>
      <c r="W84" s="4">
        <f>Table1[[#This Row],[Amount]]-(Table1[[#This Row],[Amount]]*Table1[[#This Row],[Discount_Percent]])</f>
        <v>607.40240000000006</v>
      </c>
      <c r="X84" s="4">
        <f>IF(O84="DEL0", Table1[[#This Row],[Discounted_Amount]],Table1[[#This Row],[Discounted_Amount]]+Table1[[#This Row],[Delivery_Charge]])</f>
        <v>671.40240000000006</v>
      </c>
      <c r="Y84" s="4" t="str">
        <f>Table1[[#This Row],[First_Name]]&amp;" "&amp;Table1[[#This Row],[Last_Name]]</f>
        <v>William Mann</v>
      </c>
      <c r="Z84" s="4" t="str">
        <f>IF(T:T&gt;Table1[[#This Row],[Estimated_Days_to_Deliver]],"Late",IF(T:T=Table1[[#This Row],[Estimated_Days_to_Deliver]],"Intime","BeforeTime"))</f>
        <v>Intime</v>
      </c>
      <c r="AA84" s="4">
        <f>MONTH(Table1[[#This Row],[Order_Date]])</f>
        <v>4</v>
      </c>
      <c r="AB84" s="13">
        <f>Table1[[#This Row],[Amount]]*Table1[[#This Row],[Discount_Percent]]</f>
        <v>52.817600000000006</v>
      </c>
    </row>
    <row r="85" spans="1:28" ht="14.25" customHeight="1">
      <c r="A85" s="1" t="s">
        <v>415</v>
      </c>
      <c r="B85" s="1" t="s">
        <v>231</v>
      </c>
      <c r="C85" s="1" t="s">
        <v>416</v>
      </c>
      <c r="D85" s="1">
        <v>28</v>
      </c>
      <c r="E85" s="1" t="s">
        <v>54</v>
      </c>
      <c r="F85" s="1" t="s">
        <v>142</v>
      </c>
      <c r="G85" s="1" t="s">
        <v>417</v>
      </c>
      <c r="H85" s="1" t="s">
        <v>418</v>
      </c>
      <c r="I85" s="1" t="s">
        <v>603</v>
      </c>
      <c r="J85" s="24">
        <v>45322</v>
      </c>
      <c r="K85" s="1" t="s">
        <v>604</v>
      </c>
      <c r="L85" s="1" t="s">
        <v>273</v>
      </c>
      <c r="M85" s="1">
        <v>62.42</v>
      </c>
      <c r="N85" s="1">
        <v>1</v>
      </c>
      <c r="O85" s="1" t="s">
        <v>87</v>
      </c>
      <c r="P85" s="1">
        <v>5</v>
      </c>
      <c r="Q85" s="1">
        <v>53</v>
      </c>
      <c r="R85" s="24">
        <v>45329</v>
      </c>
      <c r="S85" s="1" t="s">
        <v>605</v>
      </c>
      <c r="T85" s="4">
        <f>Table1[[#This Row],[Delivery_Date]]-Table1[[#This Row],[Order_Date]]</f>
        <v>7</v>
      </c>
      <c r="U85" s="4">
        <f>Table1[[#This Row],[Price]]*Table1[[#This Row],[Quantity]]</f>
        <v>62.42</v>
      </c>
      <c r="V85" s="11">
        <f t="shared" si="1"/>
        <v>0.2</v>
      </c>
      <c r="W85" s="4">
        <f>Table1[[#This Row],[Amount]]-(Table1[[#This Row],[Amount]]*Table1[[#This Row],[Discount_Percent]])</f>
        <v>49.936</v>
      </c>
      <c r="X85" s="4">
        <f>IF(O85="DEL0", Table1[[#This Row],[Discounted_Amount]],Table1[[#This Row],[Discounted_Amount]]+Table1[[#This Row],[Delivery_Charge]])</f>
        <v>102.93600000000001</v>
      </c>
      <c r="Y85" s="4" t="str">
        <f>Table1[[#This Row],[First_Name]]&amp;" "&amp;Table1[[#This Row],[Last_Name]]</f>
        <v>John Ramirez</v>
      </c>
      <c r="Z85" s="4" t="str">
        <f>IF(T:T&gt;Table1[[#This Row],[Estimated_Days_to_Deliver]],"Late",IF(T:T=Table1[[#This Row],[Estimated_Days_to_Deliver]],"Intime","BeforeTime"))</f>
        <v>Late</v>
      </c>
      <c r="AA85" s="4">
        <f>MONTH(Table1[[#This Row],[Order_Date]])</f>
        <v>1</v>
      </c>
      <c r="AB85" s="13">
        <f>Table1[[#This Row],[Amount]]*Table1[[#This Row],[Discount_Percent]]</f>
        <v>12.484000000000002</v>
      </c>
    </row>
    <row r="86" spans="1:28" ht="14.25" customHeight="1">
      <c r="A86" s="1" t="s">
        <v>606</v>
      </c>
      <c r="B86" s="1" t="s">
        <v>607</v>
      </c>
      <c r="C86" s="1" t="s">
        <v>406</v>
      </c>
      <c r="D86" s="1">
        <v>18</v>
      </c>
      <c r="E86" s="1" t="s">
        <v>43</v>
      </c>
      <c r="F86" s="1" t="s">
        <v>44</v>
      </c>
      <c r="G86" s="1" t="s">
        <v>608</v>
      </c>
      <c r="H86" s="1" t="s">
        <v>609</v>
      </c>
      <c r="I86" s="1" t="s">
        <v>610</v>
      </c>
      <c r="J86" s="24">
        <v>45625</v>
      </c>
      <c r="K86" s="1" t="s">
        <v>611</v>
      </c>
      <c r="L86" s="1" t="s">
        <v>83</v>
      </c>
      <c r="M86" s="1">
        <v>330.11</v>
      </c>
      <c r="N86" s="1">
        <v>1</v>
      </c>
      <c r="O86" s="1" t="s">
        <v>87</v>
      </c>
      <c r="P86" s="1">
        <v>5</v>
      </c>
      <c r="Q86" s="1">
        <v>67</v>
      </c>
      <c r="R86" s="24">
        <v>45627</v>
      </c>
      <c r="S86" s="1" t="s">
        <v>612</v>
      </c>
      <c r="T86" s="4">
        <f>Table1[[#This Row],[Delivery_Date]]-Table1[[#This Row],[Order_Date]]</f>
        <v>2</v>
      </c>
      <c r="U86" s="4">
        <f>Table1[[#This Row],[Price]]*Table1[[#This Row],[Quantity]]</f>
        <v>330.11</v>
      </c>
      <c r="V86" s="11">
        <f t="shared" si="1"/>
        <v>0.2</v>
      </c>
      <c r="W86" s="4">
        <f>Table1[[#This Row],[Amount]]-(Table1[[#This Row],[Amount]]*Table1[[#This Row],[Discount_Percent]])</f>
        <v>264.08800000000002</v>
      </c>
      <c r="X86" s="4">
        <f>IF(O86="DEL0", Table1[[#This Row],[Discounted_Amount]],Table1[[#This Row],[Discounted_Amount]]+Table1[[#This Row],[Delivery_Charge]])</f>
        <v>331.08800000000002</v>
      </c>
      <c r="Y86" s="4" t="str">
        <f>Table1[[#This Row],[First_Name]]&amp;" "&amp;Table1[[#This Row],[Last_Name]]</f>
        <v>Kelli Smith</v>
      </c>
      <c r="Z86" s="4" t="str">
        <f>IF(T:T&gt;Table1[[#This Row],[Estimated_Days_to_Deliver]],"Late",IF(T:T=Table1[[#This Row],[Estimated_Days_to_Deliver]],"Intime","BeforeTime"))</f>
        <v>BeforeTime</v>
      </c>
      <c r="AA86" s="4">
        <f>MONTH(Table1[[#This Row],[Order_Date]])</f>
        <v>11</v>
      </c>
      <c r="AB86" s="13">
        <f>Table1[[#This Row],[Amount]]*Table1[[#This Row],[Discount_Percent]]</f>
        <v>66.022000000000006</v>
      </c>
    </row>
    <row r="87" spans="1:28" ht="14.25" customHeight="1">
      <c r="A87" s="1" t="s">
        <v>296</v>
      </c>
      <c r="B87" s="1" t="s">
        <v>297</v>
      </c>
      <c r="C87" s="1" t="s">
        <v>298</v>
      </c>
      <c r="D87" s="1">
        <v>48</v>
      </c>
      <c r="E87" s="1" t="s">
        <v>43</v>
      </c>
      <c r="F87" s="1" t="s">
        <v>92</v>
      </c>
      <c r="G87" s="1" t="s">
        <v>299</v>
      </c>
      <c r="H87" s="1" t="s">
        <v>300</v>
      </c>
      <c r="I87" s="1" t="s">
        <v>613</v>
      </c>
      <c r="J87" s="24">
        <v>45505</v>
      </c>
      <c r="K87" s="1" t="s">
        <v>614</v>
      </c>
      <c r="L87" s="1" t="s">
        <v>116</v>
      </c>
      <c r="M87" s="1">
        <v>48.45</v>
      </c>
      <c r="N87" s="1">
        <v>1</v>
      </c>
      <c r="O87" s="1" t="s">
        <v>60</v>
      </c>
      <c r="P87" s="1">
        <v>5</v>
      </c>
      <c r="Q87" s="1">
        <v>66</v>
      </c>
      <c r="R87" s="24">
        <v>45512</v>
      </c>
      <c r="S87" s="1" t="s">
        <v>615</v>
      </c>
      <c r="T87" s="4">
        <f>Table1[[#This Row],[Delivery_Date]]-Table1[[#This Row],[Order_Date]]</f>
        <v>7</v>
      </c>
      <c r="U87" s="4">
        <f>Table1[[#This Row],[Price]]*Table1[[#This Row],[Quantity]]</f>
        <v>48.45</v>
      </c>
      <c r="V87" s="11">
        <f t="shared" si="1"/>
        <v>0.15</v>
      </c>
      <c r="W87" s="4">
        <f>Table1[[#This Row],[Amount]]-(Table1[[#This Row],[Amount]]*Table1[[#This Row],[Discount_Percent]])</f>
        <v>41.182500000000005</v>
      </c>
      <c r="X87" s="4">
        <f>IF(O87="DEL0", Table1[[#This Row],[Discounted_Amount]],Table1[[#This Row],[Discounted_Amount]]+Table1[[#This Row],[Delivery_Charge]])</f>
        <v>107.1825</v>
      </c>
      <c r="Y87" s="4" t="str">
        <f>Table1[[#This Row],[First_Name]]&amp;" "&amp;Table1[[#This Row],[Last_Name]]</f>
        <v>Heather Schneider</v>
      </c>
      <c r="Z87" s="4" t="str">
        <f>IF(T:T&gt;Table1[[#This Row],[Estimated_Days_to_Deliver]],"Late",IF(T:T=Table1[[#This Row],[Estimated_Days_to_Deliver]],"Intime","BeforeTime"))</f>
        <v>Late</v>
      </c>
      <c r="AA87" s="4">
        <f>MONTH(Table1[[#This Row],[Order_Date]])</f>
        <v>8</v>
      </c>
      <c r="AB87" s="13">
        <f>Table1[[#This Row],[Amount]]*Table1[[#This Row],[Discount_Percent]]</f>
        <v>7.2675000000000001</v>
      </c>
    </row>
    <row r="88" spans="1:28" ht="14.25" customHeight="1">
      <c r="A88" s="1" t="s">
        <v>503</v>
      </c>
      <c r="B88" s="1" t="s">
        <v>504</v>
      </c>
      <c r="C88" s="1" t="s">
        <v>390</v>
      </c>
      <c r="D88" s="1">
        <v>57</v>
      </c>
      <c r="E88" s="1" t="s">
        <v>43</v>
      </c>
      <c r="F88" s="1" t="s">
        <v>223</v>
      </c>
      <c r="G88" s="1" t="s">
        <v>505</v>
      </c>
      <c r="H88" s="1" t="s">
        <v>506</v>
      </c>
      <c r="I88" s="1" t="s">
        <v>616</v>
      </c>
      <c r="J88" s="24">
        <v>45252</v>
      </c>
      <c r="K88" s="1" t="s">
        <v>617</v>
      </c>
      <c r="L88" s="1" t="s">
        <v>64</v>
      </c>
      <c r="M88" s="1">
        <v>405</v>
      </c>
      <c r="N88" s="1">
        <v>2</v>
      </c>
      <c r="O88" s="1" t="s">
        <v>65</v>
      </c>
      <c r="P88" s="1">
        <v>5</v>
      </c>
      <c r="Q88" s="1">
        <v>70</v>
      </c>
      <c r="R88" s="24">
        <v>45257</v>
      </c>
      <c r="S88" s="1" t="s">
        <v>618</v>
      </c>
      <c r="T88" s="4">
        <f>Table1[[#This Row],[Delivery_Date]]-Table1[[#This Row],[Order_Date]]</f>
        <v>5</v>
      </c>
      <c r="U88" s="4">
        <f>Table1[[#This Row],[Price]]*Table1[[#This Row],[Quantity]]</f>
        <v>810</v>
      </c>
      <c r="V88" s="11">
        <f t="shared" si="1"/>
        <v>0</v>
      </c>
      <c r="W88" s="4">
        <f>Table1[[#This Row],[Amount]]-(Table1[[#This Row],[Amount]]*Table1[[#This Row],[Discount_Percent]])</f>
        <v>810</v>
      </c>
      <c r="X88" s="4">
        <f>IF(O88="DEL0", Table1[[#This Row],[Discounted_Amount]],Table1[[#This Row],[Discounted_Amount]]+Table1[[#This Row],[Delivery_Charge]])</f>
        <v>810</v>
      </c>
      <c r="Y88" s="4" t="str">
        <f>Table1[[#This Row],[First_Name]]&amp;" "&amp;Table1[[#This Row],[Last_Name]]</f>
        <v>Sharon Thompson</v>
      </c>
      <c r="Z88" s="4" t="str">
        <f>IF(T:T&gt;Table1[[#This Row],[Estimated_Days_to_Deliver]],"Late",IF(T:T=Table1[[#This Row],[Estimated_Days_to_Deliver]],"Intime","BeforeTime"))</f>
        <v>Intime</v>
      </c>
      <c r="AA88" s="4">
        <f>MONTH(Table1[[#This Row],[Order_Date]])</f>
        <v>11</v>
      </c>
      <c r="AB88" s="13">
        <f>Table1[[#This Row],[Amount]]*Table1[[#This Row],[Discount_Percent]]</f>
        <v>0</v>
      </c>
    </row>
    <row r="89" spans="1:28" ht="14.25" customHeight="1">
      <c r="A89" s="1" t="s">
        <v>503</v>
      </c>
      <c r="B89" s="1" t="s">
        <v>504</v>
      </c>
      <c r="C89" s="1" t="s">
        <v>390</v>
      </c>
      <c r="D89" s="1">
        <v>57</v>
      </c>
      <c r="E89" s="1" t="s">
        <v>43</v>
      </c>
      <c r="F89" s="1" t="s">
        <v>223</v>
      </c>
      <c r="G89" s="1" t="s">
        <v>505</v>
      </c>
      <c r="H89" s="1" t="s">
        <v>506</v>
      </c>
      <c r="I89" s="1" t="s">
        <v>619</v>
      </c>
      <c r="J89" s="24">
        <v>45595</v>
      </c>
      <c r="K89" s="1" t="s">
        <v>620</v>
      </c>
      <c r="L89" s="1" t="s">
        <v>359</v>
      </c>
      <c r="M89" s="1">
        <v>496.59</v>
      </c>
      <c r="N89" s="1">
        <v>2</v>
      </c>
      <c r="O89" s="1" t="s">
        <v>98</v>
      </c>
      <c r="P89" s="1">
        <v>5</v>
      </c>
      <c r="Q89" s="1">
        <v>46</v>
      </c>
      <c r="R89" s="24">
        <v>45598</v>
      </c>
      <c r="S89" s="1" t="s">
        <v>621</v>
      </c>
      <c r="T89" s="4">
        <f>Table1[[#This Row],[Delivery_Date]]-Table1[[#This Row],[Order_Date]]</f>
        <v>3</v>
      </c>
      <c r="U89" s="4">
        <f>Table1[[#This Row],[Price]]*Table1[[#This Row],[Quantity]]</f>
        <v>993.18</v>
      </c>
      <c r="V89" s="11">
        <f t="shared" si="1"/>
        <v>0.1</v>
      </c>
      <c r="W89" s="4">
        <f>Table1[[#This Row],[Amount]]-(Table1[[#This Row],[Amount]]*Table1[[#This Row],[Discount_Percent]])</f>
        <v>893.86199999999997</v>
      </c>
      <c r="X89" s="4">
        <f>IF(O89="DEL0", Table1[[#This Row],[Discounted_Amount]],Table1[[#This Row],[Discounted_Amount]]+Table1[[#This Row],[Delivery_Charge]])</f>
        <v>939.86199999999997</v>
      </c>
      <c r="Y89" s="4" t="str">
        <f>Table1[[#This Row],[First_Name]]&amp;" "&amp;Table1[[#This Row],[Last_Name]]</f>
        <v>Sharon Thompson</v>
      </c>
      <c r="Z89" s="4" t="str">
        <f>IF(T:T&gt;Table1[[#This Row],[Estimated_Days_to_Deliver]],"Late",IF(T:T=Table1[[#This Row],[Estimated_Days_to_Deliver]],"Intime","BeforeTime"))</f>
        <v>BeforeTime</v>
      </c>
      <c r="AA89" s="4">
        <f>MONTH(Table1[[#This Row],[Order_Date]])</f>
        <v>10</v>
      </c>
      <c r="AB89" s="13">
        <f>Table1[[#This Row],[Amount]]*Table1[[#This Row],[Discount_Percent]]</f>
        <v>99.317999999999998</v>
      </c>
    </row>
    <row r="90" spans="1:28" ht="14.25" customHeight="1">
      <c r="A90" s="1" t="s">
        <v>100</v>
      </c>
      <c r="B90" s="1" t="s">
        <v>101</v>
      </c>
      <c r="C90" s="1" t="s">
        <v>102</v>
      </c>
      <c r="D90" s="1">
        <v>39</v>
      </c>
      <c r="E90" s="1" t="s">
        <v>31</v>
      </c>
      <c r="F90" s="1" t="s">
        <v>32</v>
      </c>
      <c r="G90" s="1" t="s">
        <v>103</v>
      </c>
      <c r="H90" s="1" t="s">
        <v>104</v>
      </c>
      <c r="I90" s="1" t="s">
        <v>622</v>
      </c>
      <c r="J90" s="24">
        <v>45227</v>
      </c>
      <c r="K90" s="1" t="s">
        <v>623</v>
      </c>
      <c r="L90" s="1" t="s">
        <v>116</v>
      </c>
      <c r="M90" s="1">
        <v>48.45</v>
      </c>
      <c r="N90" s="1">
        <v>1</v>
      </c>
      <c r="O90" s="1" t="s">
        <v>87</v>
      </c>
      <c r="P90" s="1">
        <v>5</v>
      </c>
      <c r="Q90" s="1">
        <v>66</v>
      </c>
      <c r="R90" s="24">
        <v>45228</v>
      </c>
      <c r="S90" s="1" t="s">
        <v>624</v>
      </c>
      <c r="T90" s="4">
        <f>Table1[[#This Row],[Delivery_Date]]-Table1[[#This Row],[Order_Date]]</f>
        <v>1</v>
      </c>
      <c r="U90" s="4">
        <f>Table1[[#This Row],[Price]]*Table1[[#This Row],[Quantity]]</f>
        <v>48.45</v>
      </c>
      <c r="V90" s="11">
        <f t="shared" si="1"/>
        <v>0.2</v>
      </c>
      <c r="W90" s="4">
        <f>Table1[[#This Row],[Amount]]-(Table1[[#This Row],[Amount]]*Table1[[#This Row],[Discount_Percent]])</f>
        <v>38.760000000000005</v>
      </c>
      <c r="X90" s="4">
        <f>IF(O90="DEL0", Table1[[#This Row],[Discounted_Amount]],Table1[[#This Row],[Discounted_Amount]]+Table1[[#This Row],[Delivery_Charge]])</f>
        <v>104.76</v>
      </c>
      <c r="Y90" s="4" t="str">
        <f>Table1[[#This Row],[First_Name]]&amp;" "&amp;Table1[[#This Row],[Last_Name]]</f>
        <v>Marcus Valenzuela</v>
      </c>
      <c r="Z90" s="4" t="str">
        <f>IF(T:T&gt;Table1[[#This Row],[Estimated_Days_to_Deliver]],"Late",IF(T:T=Table1[[#This Row],[Estimated_Days_to_Deliver]],"Intime","BeforeTime"))</f>
        <v>BeforeTime</v>
      </c>
      <c r="AA90" s="4">
        <f>MONTH(Table1[[#This Row],[Order_Date]])</f>
        <v>10</v>
      </c>
      <c r="AB90" s="13">
        <f>Table1[[#This Row],[Amount]]*Table1[[#This Row],[Discount_Percent]]</f>
        <v>9.6900000000000013</v>
      </c>
    </row>
    <row r="91" spans="1:28" ht="14.25" customHeight="1">
      <c r="A91" s="1" t="s">
        <v>625</v>
      </c>
      <c r="B91" s="1" t="s">
        <v>131</v>
      </c>
      <c r="C91" s="1" t="s">
        <v>626</v>
      </c>
      <c r="D91" s="1">
        <v>47</v>
      </c>
      <c r="E91" s="1" t="s">
        <v>54</v>
      </c>
      <c r="F91" s="1" t="s">
        <v>78</v>
      </c>
      <c r="G91" s="1" t="s">
        <v>627</v>
      </c>
      <c r="H91" s="1" t="s">
        <v>628</v>
      </c>
      <c r="I91" s="1" t="s">
        <v>629</v>
      </c>
      <c r="J91" s="24">
        <v>45076</v>
      </c>
      <c r="K91" s="1" t="s">
        <v>630</v>
      </c>
      <c r="L91" s="1" t="s">
        <v>386</v>
      </c>
      <c r="M91" s="1">
        <v>431.44</v>
      </c>
      <c r="N91" s="1">
        <v>1</v>
      </c>
      <c r="O91" s="1" t="s">
        <v>65</v>
      </c>
      <c r="P91" s="1">
        <v>5</v>
      </c>
      <c r="Q91" s="1">
        <v>35</v>
      </c>
      <c r="R91" s="24">
        <v>45080</v>
      </c>
      <c r="S91" s="1" t="s">
        <v>631</v>
      </c>
      <c r="T91" s="4">
        <f>Table1[[#This Row],[Delivery_Date]]-Table1[[#This Row],[Order_Date]]</f>
        <v>4</v>
      </c>
      <c r="U91" s="4">
        <f>Table1[[#This Row],[Price]]*Table1[[#This Row],[Quantity]]</f>
        <v>431.44</v>
      </c>
      <c r="V91" s="11">
        <f t="shared" si="1"/>
        <v>0</v>
      </c>
      <c r="W91" s="4">
        <f>Table1[[#This Row],[Amount]]-(Table1[[#This Row],[Amount]]*Table1[[#This Row],[Discount_Percent]])</f>
        <v>431.44</v>
      </c>
      <c r="X91" s="4">
        <f>IF(O91="DEL0", Table1[[#This Row],[Discounted_Amount]],Table1[[#This Row],[Discounted_Amount]]+Table1[[#This Row],[Delivery_Charge]])</f>
        <v>431.44</v>
      </c>
      <c r="Y91" s="4" t="str">
        <f>Table1[[#This Row],[First_Name]]&amp;" "&amp;Table1[[#This Row],[Last_Name]]</f>
        <v>Joseph Gaines</v>
      </c>
      <c r="Z91" s="4" t="str">
        <f>IF(T:T&gt;Table1[[#This Row],[Estimated_Days_to_Deliver]],"Late",IF(T:T=Table1[[#This Row],[Estimated_Days_to_Deliver]],"Intime","BeforeTime"))</f>
        <v>BeforeTime</v>
      </c>
      <c r="AA91" s="4">
        <f>MONTH(Table1[[#This Row],[Order_Date]])</f>
        <v>5</v>
      </c>
      <c r="AB91" s="13">
        <f>Table1[[#This Row],[Amount]]*Table1[[#This Row],[Discount_Percent]]</f>
        <v>0</v>
      </c>
    </row>
    <row r="92" spans="1:28" ht="14.25" customHeight="1">
      <c r="A92" s="1" t="s">
        <v>158</v>
      </c>
      <c r="B92" s="1" t="s">
        <v>159</v>
      </c>
      <c r="C92" s="1" t="s">
        <v>160</v>
      </c>
      <c r="D92" s="1">
        <v>24</v>
      </c>
      <c r="E92" s="1" t="s">
        <v>31</v>
      </c>
      <c r="F92" s="1" t="s">
        <v>161</v>
      </c>
      <c r="G92" s="1" t="s">
        <v>162</v>
      </c>
      <c r="H92" s="1" t="s">
        <v>163</v>
      </c>
      <c r="I92" s="1" t="s">
        <v>632</v>
      </c>
      <c r="J92" s="24">
        <v>45555</v>
      </c>
      <c r="K92" s="1" t="s">
        <v>633</v>
      </c>
      <c r="L92" s="1" t="s">
        <v>476</v>
      </c>
      <c r="M92" s="1">
        <v>286.07</v>
      </c>
      <c r="N92" s="1">
        <v>5</v>
      </c>
      <c r="O92" s="1" t="s">
        <v>60</v>
      </c>
      <c r="P92" s="1">
        <v>5</v>
      </c>
      <c r="Q92" s="1">
        <v>65</v>
      </c>
      <c r="R92" s="24">
        <v>45558</v>
      </c>
      <c r="S92" s="1" t="s">
        <v>634</v>
      </c>
      <c r="T92" s="4">
        <f>Table1[[#This Row],[Delivery_Date]]-Table1[[#This Row],[Order_Date]]</f>
        <v>3</v>
      </c>
      <c r="U92" s="4">
        <f>Table1[[#This Row],[Price]]*Table1[[#This Row],[Quantity]]</f>
        <v>1430.35</v>
      </c>
      <c r="V92" s="11">
        <f t="shared" si="1"/>
        <v>0.15</v>
      </c>
      <c r="W92" s="4">
        <f>Table1[[#This Row],[Amount]]-(Table1[[#This Row],[Amount]]*Table1[[#This Row],[Discount_Percent]])</f>
        <v>1215.7974999999999</v>
      </c>
      <c r="X92" s="4">
        <f>IF(O92="DEL0", Table1[[#This Row],[Discounted_Amount]],Table1[[#This Row],[Discounted_Amount]]+Table1[[#This Row],[Delivery_Charge]])</f>
        <v>1280.7974999999999</v>
      </c>
      <c r="Y92" s="4" t="str">
        <f>Table1[[#This Row],[First_Name]]&amp;" "&amp;Table1[[#This Row],[Last_Name]]</f>
        <v>Joshua Campbell</v>
      </c>
      <c r="Z92" s="4" t="str">
        <f>IF(T:T&gt;Table1[[#This Row],[Estimated_Days_to_Deliver]],"Late",IF(T:T=Table1[[#This Row],[Estimated_Days_to_Deliver]],"Intime","BeforeTime"))</f>
        <v>BeforeTime</v>
      </c>
      <c r="AA92" s="4">
        <f>MONTH(Table1[[#This Row],[Order_Date]])</f>
        <v>9</v>
      </c>
      <c r="AB92" s="13">
        <f>Table1[[#This Row],[Amount]]*Table1[[#This Row],[Discount_Percent]]</f>
        <v>214.55249999999998</v>
      </c>
    </row>
    <row r="93" spans="1:28" ht="14.25" customHeight="1">
      <c r="A93" s="1" t="s">
        <v>415</v>
      </c>
      <c r="B93" s="1" t="s">
        <v>231</v>
      </c>
      <c r="C93" s="1" t="s">
        <v>416</v>
      </c>
      <c r="D93" s="1">
        <v>28</v>
      </c>
      <c r="E93" s="1" t="s">
        <v>54</v>
      </c>
      <c r="F93" s="1" t="s">
        <v>142</v>
      </c>
      <c r="G93" s="1" t="s">
        <v>417</v>
      </c>
      <c r="H93" s="1" t="s">
        <v>418</v>
      </c>
      <c r="I93" s="1" t="s">
        <v>635</v>
      </c>
      <c r="J93" s="24">
        <v>45495</v>
      </c>
      <c r="K93" s="1" t="s">
        <v>636</v>
      </c>
      <c r="L93" s="1" t="s">
        <v>245</v>
      </c>
      <c r="M93" s="1">
        <v>126.19</v>
      </c>
      <c r="N93" s="1">
        <v>2</v>
      </c>
      <c r="O93" s="1" t="s">
        <v>38</v>
      </c>
      <c r="P93" s="1">
        <v>5</v>
      </c>
      <c r="Q93" s="1">
        <v>48</v>
      </c>
      <c r="R93" s="24">
        <v>45496</v>
      </c>
      <c r="S93" s="1" t="s">
        <v>637</v>
      </c>
      <c r="T93" s="4">
        <f>Table1[[#This Row],[Delivery_Date]]-Table1[[#This Row],[Order_Date]]</f>
        <v>1</v>
      </c>
      <c r="U93" s="4">
        <f>Table1[[#This Row],[Price]]*Table1[[#This Row],[Quantity]]</f>
        <v>252.38</v>
      </c>
      <c r="V93" s="11">
        <f t="shared" si="1"/>
        <v>0.08</v>
      </c>
      <c r="W93" s="4">
        <f>Table1[[#This Row],[Amount]]-(Table1[[#This Row],[Amount]]*Table1[[#This Row],[Discount_Percent]])</f>
        <v>232.18959999999998</v>
      </c>
      <c r="X93" s="4">
        <f>IF(O93="DEL0", Table1[[#This Row],[Discounted_Amount]],Table1[[#This Row],[Discounted_Amount]]+Table1[[#This Row],[Delivery_Charge]])</f>
        <v>280.18959999999998</v>
      </c>
      <c r="Y93" s="4" t="str">
        <f>Table1[[#This Row],[First_Name]]&amp;" "&amp;Table1[[#This Row],[Last_Name]]</f>
        <v>John Ramirez</v>
      </c>
      <c r="Z93" s="4" t="str">
        <f>IF(T:T&gt;Table1[[#This Row],[Estimated_Days_to_Deliver]],"Late",IF(T:T=Table1[[#This Row],[Estimated_Days_to_Deliver]],"Intime","BeforeTime"))</f>
        <v>BeforeTime</v>
      </c>
      <c r="AA93" s="4">
        <f>MONTH(Table1[[#This Row],[Order_Date]])</f>
        <v>7</v>
      </c>
      <c r="AB93" s="13">
        <f>Table1[[#This Row],[Amount]]*Table1[[#This Row],[Discount_Percent]]</f>
        <v>20.1904</v>
      </c>
    </row>
    <row r="94" spans="1:28" ht="14.25" customHeight="1">
      <c r="A94" s="1" t="s">
        <v>275</v>
      </c>
      <c r="B94" s="1" t="s">
        <v>276</v>
      </c>
      <c r="C94" s="1" t="s">
        <v>277</v>
      </c>
      <c r="D94" s="1">
        <v>44</v>
      </c>
      <c r="E94" s="1" t="s">
        <v>31</v>
      </c>
      <c r="F94" s="1" t="s">
        <v>223</v>
      </c>
      <c r="G94" s="1" t="s">
        <v>278</v>
      </c>
      <c r="H94" s="1" t="s">
        <v>279</v>
      </c>
      <c r="I94" s="1" t="s">
        <v>638</v>
      </c>
      <c r="J94" s="24">
        <v>45307</v>
      </c>
      <c r="K94" s="1" t="s">
        <v>639</v>
      </c>
      <c r="L94" s="1" t="s">
        <v>640</v>
      </c>
      <c r="M94" s="1">
        <v>445.81</v>
      </c>
      <c r="N94" s="1">
        <v>5</v>
      </c>
      <c r="O94" s="1" t="s">
        <v>60</v>
      </c>
      <c r="P94" s="1">
        <v>5</v>
      </c>
      <c r="Q94" s="1">
        <v>56</v>
      </c>
      <c r="R94" s="24">
        <v>45313</v>
      </c>
      <c r="S94" s="1" t="s">
        <v>641</v>
      </c>
      <c r="T94" s="4">
        <f>Table1[[#This Row],[Delivery_Date]]-Table1[[#This Row],[Order_Date]]</f>
        <v>6</v>
      </c>
      <c r="U94" s="4">
        <f>Table1[[#This Row],[Price]]*Table1[[#This Row],[Quantity]]</f>
        <v>2229.0500000000002</v>
      </c>
      <c r="V94" s="11">
        <f t="shared" si="1"/>
        <v>0.15</v>
      </c>
      <c r="W94" s="4">
        <f>Table1[[#This Row],[Amount]]-(Table1[[#This Row],[Amount]]*Table1[[#This Row],[Discount_Percent]])</f>
        <v>1894.6925000000001</v>
      </c>
      <c r="X94" s="4">
        <f>IF(O94="DEL0", Table1[[#This Row],[Discounted_Amount]],Table1[[#This Row],[Discounted_Amount]]+Table1[[#This Row],[Delivery_Charge]])</f>
        <v>1950.6925000000001</v>
      </c>
      <c r="Y94" s="4" t="str">
        <f>Table1[[#This Row],[First_Name]]&amp;" "&amp;Table1[[#This Row],[Last_Name]]</f>
        <v>Lauren Long</v>
      </c>
      <c r="Z94" s="4" t="str">
        <f>IF(T:T&gt;Table1[[#This Row],[Estimated_Days_to_Deliver]],"Late",IF(T:T=Table1[[#This Row],[Estimated_Days_to_Deliver]],"Intime","BeforeTime"))</f>
        <v>Late</v>
      </c>
      <c r="AA94" s="4">
        <f>MONTH(Table1[[#This Row],[Order_Date]])</f>
        <v>1</v>
      </c>
      <c r="AB94" s="13">
        <f>Table1[[#This Row],[Amount]]*Table1[[#This Row],[Discount_Percent]]</f>
        <v>334.35750000000002</v>
      </c>
    </row>
    <row r="95" spans="1:28" ht="14.25" customHeight="1">
      <c r="A95" s="1" t="s">
        <v>642</v>
      </c>
      <c r="B95" s="1" t="s">
        <v>150</v>
      </c>
      <c r="C95" s="1" t="s">
        <v>643</v>
      </c>
      <c r="D95" s="1">
        <v>44</v>
      </c>
      <c r="E95" s="1" t="s">
        <v>54</v>
      </c>
      <c r="F95" s="1" t="s">
        <v>92</v>
      </c>
      <c r="G95" s="1" t="s">
        <v>644</v>
      </c>
      <c r="H95" s="1" t="s">
        <v>645</v>
      </c>
      <c r="I95" s="1" t="s">
        <v>646</v>
      </c>
      <c r="J95" s="24">
        <v>45625</v>
      </c>
      <c r="K95" s="1" t="s">
        <v>647</v>
      </c>
      <c r="L95" s="1" t="s">
        <v>433</v>
      </c>
      <c r="M95" s="1">
        <v>369.03</v>
      </c>
      <c r="N95" s="1">
        <v>4</v>
      </c>
      <c r="O95" s="1" t="s">
        <v>87</v>
      </c>
      <c r="P95" s="1">
        <v>5</v>
      </c>
      <c r="Q95" s="1">
        <v>56</v>
      </c>
      <c r="R95" s="24">
        <v>45630</v>
      </c>
      <c r="S95" s="1" t="s">
        <v>648</v>
      </c>
      <c r="T95" s="4">
        <f>Table1[[#This Row],[Delivery_Date]]-Table1[[#This Row],[Order_Date]]</f>
        <v>5</v>
      </c>
      <c r="U95" s="4">
        <f>Table1[[#This Row],[Price]]*Table1[[#This Row],[Quantity]]</f>
        <v>1476.12</v>
      </c>
      <c r="V95" s="11">
        <f t="shared" si="1"/>
        <v>0.2</v>
      </c>
      <c r="W95" s="4">
        <f>Table1[[#This Row],[Amount]]-(Table1[[#This Row],[Amount]]*Table1[[#This Row],[Discount_Percent]])</f>
        <v>1180.896</v>
      </c>
      <c r="X95" s="4">
        <f>IF(O95="DEL0", Table1[[#This Row],[Discounted_Amount]],Table1[[#This Row],[Discounted_Amount]]+Table1[[#This Row],[Delivery_Charge]])</f>
        <v>1236.896</v>
      </c>
      <c r="Y95" s="4" t="str">
        <f>Table1[[#This Row],[First_Name]]&amp;" "&amp;Table1[[#This Row],[Last_Name]]</f>
        <v>Amy Ellis</v>
      </c>
      <c r="Z95" s="4" t="str">
        <f>IF(T:T&gt;Table1[[#This Row],[Estimated_Days_to_Deliver]],"Late",IF(T:T=Table1[[#This Row],[Estimated_Days_to_Deliver]],"Intime","BeforeTime"))</f>
        <v>Intime</v>
      </c>
      <c r="AA95" s="4">
        <f>MONTH(Table1[[#This Row],[Order_Date]])</f>
        <v>11</v>
      </c>
      <c r="AB95" s="13">
        <f>Table1[[#This Row],[Amount]]*Table1[[#This Row],[Discount_Percent]]</f>
        <v>295.22399999999999</v>
      </c>
    </row>
    <row r="96" spans="1:28" ht="14.25" customHeight="1">
      <c r="A96" s="1" t="s">
        <v>649</v>
      </c>
      <c r="B96" s="1" t="s">
        <v>650</v>
      </c>
      <c r="C96" s="1" t="s">
        <v>651</v>
      </c>
      <c r="D96" s="1">
        <v>45</v>
      </c>
      <c r="E96" s="1" t="s">
        <v>54</v>
      </c>
      <c r="F96" s="1" t="s">
        <v>92</v>
      </c>
      <c r="G96" s="1" t="s">
        <v>652</v>
      </c>
      <c r="H96" s="1" t="s">
        <v>653</v>
      </c>
      <c r="I96" s="1" t="s">
        <v>654</v>
      </c>
      <c r="J96" s="24">
        <v>45504</v>
      </c>
      <c r="K96" s="1" t="s">
        <v>655</v>
      </c>
      <c r="L96" s="1" t="s">
        <v>656</v>
      </c>
      <c r="M96" s="1">
        <v>433.62</v>
      </c>
      <c r="N96" s="1">
        <v>2</v>
      </c>
      <c r="O96" s="1" t="s">
        <v>87</v>
      </c>
      <c r="P96" s="1">
        <v>5</v>
      </c>
      <c r="Q96" s="1">
        <v>41</v>
      </c>
      <c r="R96" s="24">
        <v>45510</v>
      </c>
      <c r="S96" s="1" t="s">
        <v>657</v>
      </c>
      <c r="T96" s="4">
        <f>Table1[[#This Row],[Delivery_Date]]-Table1[[#This Row],[Order_Date]]</f>
        <v>6</v>
      </c>
      <c r="U96" s="4">
        <f>Table1[[#This Row],[Price]]*Table1[[#This Row],[Quantity]]</f>
        <v>867.24</v>
      </c>
      <c r="V96" s="11">
        <f t="shared" si="1"/>
        <v>0.2</v>
      </c>
      <c r="W96" s="4">
        <f>Table1[[#This Row],[Amount]]-(Table1[[#This Row],[Amount]]*Table1[[#This Row],[Discount_Percent]])</f>
        <v>693.79200000000003</v>
      </c>
      <c r="X96" s="4">
        <f>IF(O96="DEL0", Table1[[#This Row],[Discounted_Amount]],Table1[[#This Row],[Discounted_Amount]]+Table1[[#This Row],[Delivery_Charge]])</f>
        <v>734.79200000000003</v>
      </c>
      <c r="Y96" s="4" t="str">
        <f>Table1[[#This Row],[First_Name]]&amp;" "&amp;Table1[[#This Row],[Last_Name]]</f>
        <v>Beth Mason</v>
      </c>
      <c r="Z96" s="4" t="str">
        <f>IF(T:T&gt;Table1[[#This Row],[Estimated_Days_to_Deliver]],"Late",IF(T:T=Table1[[#This Row],[Estimated_Days_to_Deliver]],"Intime","BeforeTime"))</f>
        <v>Late</v>
      </c>
      <c r="AA96" s="4">
        <f>MONTH(Table1[[#This Row],[Order_Date]])</f>
        <v>7</v>
      </c>
      <c r="AB96" s="13">
        <f>Table1[[#This Row],[Amount]]*Table1[[#This Row],[Discount_Percent]]</f>
        <v>173.44800000000001</v>
      </c>
    </row>
    <row r="97" spans="1:31" ht="14.25" customHeight="1">
      <c r="A97" s="1" t="s">
        <v>510</v>
      </c>
      <c r="B97" s="1" t="s">
        <v>511</v>
      </c>
      <c r="C97" s="1" t="s">
        <v>512</v>
      </c>
      <c r="D97" s="1">
        <v>64</v>
      </c>
      <c r="E97" s="1" t="s">
        <v>31</v>
      </c>
      <c r="F97" s="1" t="s">
        <v>32</v>
      </c>
      <c r="G97" s="1" t="s">
        <v>513</v>
      </c>
      <c r="H97" s="1" t="s">
        <v>514</v>
      </c>
      <c r="I97" s="1" t="s">
        <v>658</v>
      </c>
      <c r="J97" s="24">
        <v>45488</v>
      </c>
      <c r="K97" s="1" t="s">
        <v>659</v>
      </c>
      <c r="L97" s="1" t="s">
        <v>660</v>
      </c>
      <c r="M97" s="1">
        <v>235.63</v>
      </c>
      <c r="N97" s="1">
        <v>4</v>
      </c>
      <c r="O97" s="1" t="s">
        <v>87</v>
      </c>
      <c r="P97" s="1">
        <v>5</v>
      </c>
      <c r="Q97" s="1">
        <v>60</v>
      </c>
      <c r="R97" s="24">
        <v>45495</v>
      </c>
      <c r="S97" s="1" t="s">
        <v>661</v>
      </c>
      <c r="T97" s="4">
        <f>Table1[[#This Row],[Delivery_Date]]-Table1[[#This Row],[Order_Date]]</f>
        <v>7</v>
      </c>
      <c r="U97" s="4">
        <f>Table1[[#This Row],[Price]]*Table1[[#This Row],[Quantity]]</f>
        <v>942.52</v>
      </c>
      <c r="V97" s="11">
        <f t="shared" si="1"/>
        <v>0.2</v>
      </c>
      <c r="W97" s="4">
        <f>Table1[[#This Row],[Amount]]-(Table1[[#This Row],[Amount]]*Table1[[#This Row],[Discount_Percent]])</f>
        <v>754.01599999999996</v>
      </c>
      <c r="X97" s="4">
        <f>IF(O97="DEL0", Table1[[#This Row],[Discounted_Amount]],Table1[[#This Row],[Discounted_Amount]]+Table1[[#This Row],[Delivery_Charge]])</f>
        <v>814.01599999999996</v>
      </c>
      <c r="Y97" s="4" t="str">
        <f>Table1[[#This Row],[First_Name]]&amp;" "&amp;Table1[[#This Row],[Last_Name]]</f>
        <v>Sarah Butler</v>
      </c>
      <c r="Z97" s="4" t="str">
        <f>IF(T:T&gt;Table1[[#This Row],[Estimated_Days_to_Deliver]],"Late",IF(T:T=Table1[[#This Row],[Estimated_Days_to_Deliver]],"Intime","BeforeTime"))</f>
        <v>Late</v>
      </c>
      <c r="AA97" s="4">
        <f>MONTH(Table1[[#This Row],[Order_Date]])</f>
        <v>7</v>
      </c>
      <c r="AB97" s="13">
        <f>Table1[[#This Row],[Amount]]*Table1[[#This Row],[Discount_Percent]]</f>
        <v>188.50400000000002</v>
      </c>
    </row>
    <row r="98" spans="1:31" ht="14.25" customHeight="1">
      <c r="A98" s="1" t="s">
        <v>230</v>
      </c>
      <c r="B98" s="1" t="s">
        <v>231</v>
      </c>
      <c r="C98" s="1" t="s">
        <v>232</v>
      </c>
      <c r="D98" s="1">
        <v>64</v>
      </c>
      <c r="E98" s="1" t="s">
        <v>43</v>
      </c>
      <c r="F98" s="1" t="s">
        <v>44</v>
      </c>
      <c r="G98" s="1" t="s">
        <v>233</v>
      </c>
      <c r="H98" s="1" t="s">
        <v>234</v>
      </c>
      <c r="I98" s="1" t="s">
        <v>662</v>
      </c>
      <c r="J98" s="24">
        <v>45118</v>
      </c>
      <c r="K98" s="1" t="s">
        <v>663</v>
      </c>
      <c r="L98" s="1" t="s">
        <v>294</v>
      </c>
      <c r="M98" s="1">
        <v>158.53</v>
      </c>
      <c r="N98" s="1">
        <v>5</v>
      </c>
      <c r="O98" s="1" t="s">
        <v>87</v>
      </c>
      <c r="P98" s="1">
        <v>5</v>
      </c>
      <c r="Q98" s="1">
        <v>57</v>
      </c>
      <c r="R98" s="24">
        <v>45125</v>
      </c>
      <c r="S98" s="1" t="s">
        <v>664</v>
      </c>
      <c r="T98" s="4">
        <f>Table1[[#This Row],[Delivery_Date]]-Table1[[#This Row],[Order_Date]]</f>
        <v>7</v>
      </c>
      <c r="U98" s="4">
        <f>Table1[[#This Row],[Price]]*Table1[[#This Row],[Quantity]]</f>
        <v>792.65</v>
      </c>
      <c r="V98" s="11">
        <f t="shared" si="1"/>
        <v>0.2</v>
      </c>
      <c r="W98" s="4">
        <f>Table1[[#This Row],[Amount]]-(Table1[[#This Row],[Amount]]*Table1[[#This Row],[Discount_Percent]])</f>
        <v>634.12</v>
      </c>
      <c r="X98" s="4">
        <f>IF(O98="DEL0", Table1[[#This Row],[Discounted_Amount]],Table1[[#This Row],[Discounted_Amount]]+Table1[[#This Row],[Delivery_Charge]])</f>
        <v>691.12</v>
      </c>
      <c r="Y98" s="4" t="str">
        <f>Table1[[#This Row],[First_Name]]&amp;" "&amp;Table1[[#This Row],[Last_Name]]</f>
        <v>John Herrera</v>
      </c>
      <c r="Z98" s="4" t="str">
        <f>IF(T:T&gt;Table1[[#This Row],[Estimated_Days_to_Deliver]],"Late",IF(T:T=Table1[[#This Row],[Estimated_Days_to_Deliver]],"Intime","BeforeTime"))</f>
        <v>Late</v>
      </c>
      <c r="AA98" s="4">
        <f>MONTH(Table1[[#This Row],[Order_Date]])</f>
        <v>7</v>
      </c>
      <c r="AB98" s="13">
        <f>Table1[[#This Row],[Amount]]*Table1[[#This Row],[Discount_Percent]]</f>
        <v>158.53</v>
      </c>
    </row>
    <row r="99" spans="1:31" ht="14.25" customHeight="1">
      <c r="A99" s="1" t="s">
        <v>230</v>
      </c>
      <c r="B99" s="1" t="s">
        <v>231</v>
      </c>
      <c r="C99" s="1" t="s">
        <v>232</v>
      </c>
      <c r="D99" s="1">
        <v>64</v>
      </c>
      <c r="E99" s="1" t="s">
        <v>43</v>
      </c>
      <c r="F99" s="1" t="s">
        <v>44</v>
      </c>
      <c r="G99" s="1" t="s">
        <v>233</v>
      </c>
      <c r="H99" s="1" t="s">
        <v>234</v>
      </c>
      <c r="I99" s="1" t="s">
        <v>665</v>
      </c>
      <c r="J99" s="24">
        <v>45183</v>
      </c>
      <c r="K99" s="1" t="s">
        <v>666</v>
      </c>
      <c r="L99" s="1" t="s">
        <v>83</v>
      </c>
      <c r="M99" s="1">
        <v>330.11</v>
      </c>
      <c r="N99" s="1">
        <v>3</v>
      </c>
      <c r="O99" s="1" t="s">
        <v>60</v>
      </c>
      <c r="P99" s="1">
        <v>5</v>
      </c>
      <c r="Q99" s="1">
        <v>65</v>
      </c>
      <c r="R99" s="24">
        <v>45186</v>
      </c>
      <c r="S99" s="1" t="s">
        <v>667</v>
      </c>
      <c r="T99" s="4">
        <f>Table1[[#This Row],[Delivery_Date]]-Table1[[#This Row],[Order_Date]]</f>
        <v>3</v>
      </c>
      <c r="U99" s="4">
        <f>Table1[[#This Row],[Price]]*Table1[[#This Row],[Quantity]]</f>
        <v>990.33</v>
      </c>
      <c r="V99" s="11">
        <f t="shared" si="1"/>
        <v>0.15</v>
      </c>
      <c r="W99" s="4">
        <f>Table1[[#This Row],[Amount]]-(Table1[[#This Row],[Amount]]*Table1[[#This Row],[Discount_Percent]])</f>
        <v>841.78050000000007</v>
      </c>
      <c r="X99" s="4">
        <f>IF(O99="DEL0", Table1[[#This Row],[Discounted_Amount]],Table1[[#This Row],[Discounted_Amount]]+Table1[[#This Row],[Delivery_Charge]])</f>
        <v>906.78050000000007</v>
      </c>
      <c r="Y99" s="4" t="str">
        <f>Table1[[#This Row],[First_Name]]&amp;" "&amp;Table1[[#This Row],[Last_Name]]</f>
        <v>John Herrera</v>
      </c>
      <c r="Z99" s="4" t="str">
        <f>IF(T:T&gt;Table1[[#This Row],[Estimated_Days_to_Deliver]],"Late",IF(T:T=Table1[[#This Row],[Estimated_Days_to_Deliver]],"Intime","BeforeTime"))</f>
        <v>BeforeTime</v>
      </c>
      <c r="AA99" s="4">
        <f>MONTH(Table1[[#This Row],[Order_Date]])</f>
        <v>9</v>
      </c>
      <c r="AB99" s="13">
        <f>Table1[[#This Row],[Amount]]*Table1[[#This Row],[Discount_Percent]]</f>
        <v>148.54949999999999</v>
      </c>
    </row>
    <row r="100" spans="1:31" ht="14.25" customHeight="1">
      <c r="A100" s="1" t="s">
        <v>649</v>
      </c>
      <c r="B100" s="1" t="s">
        <v>650</v>
      </c>
      <c r="C100" s="1" t="s">
        <v>651</v>
      </c>
      <c r="D100" s="1">
        <v>45</v>
      </c>
      <c r="E100" s="1" t="s">
        <v>54</v>
      </c>
      <c r="F100" s="1" t="s">
        <v>92</v>
      </c>
      <c r="G100" s="1" t="s">
        <v>652</v>
      </c>
      <c r="H100" s="1" t="s">
        <v>653</v>
      </c>
      <c r="I100" s="1" t="s">
        <v>668</v>
      </c>
      <c r="J100" s="24">
        <v>45673</v>
      </c>
      <c r="K100" s="1" t="s">
        <v>669</v>
      </c>
      <c r="L100" s="1" t="s">
        <v>156</v>
      </c>
      <c r="M100" s="1">
        <v>220.27</v>
      </c>
      <c r="N100" s="1">
        <v>2</v>
      </c>
      <c r="O100" s="1" t="s">
        <v>87</v>
      </c>
      <c r="P100" s="1">
        <v>5</v>
      </c>
      <c r="Q100" s="1">
        <v>63</v>
      </c>
      <c r="R100" s="24">
        <v>45675</v>
      </c>
      <c r="S100" s="1" t="s">
        <v>670</v>
      </c>
      <c r="T100" s="4">
        <f>Table1[[#This Row],[Delivery_Date]]-Table1[[#This Row],[Order_Date]]</f>
        <v>2</v>
      </c>
      <c r="U100" s="4">
        <f>Table1[[#This Row],[Price]]*Table1[[#This Row],[Quantity]]</f>
        <v>440.54</v>
      </c>
      <c r="V100" s="11">
        <f t="shared" si="1"/>
        <v>0.2</v>
      </c>
      <c r="W100" s="4">
        <f>Table1[[#This Row],[Amount]]-(Table1[[#This Row],[Amount]]*Table1[[#This Row],[Discount_Percent]])</f>
        <v>352.43200000000002</v>
      </c>
      <c r="X100" s="4">
        <f>IF(O100="DEL0", Table1[[#This Row],[Discounted_Amount]],Table1[[#This Row],[Discounted_Amount]]+Table1[[#This Row],[Delivery_Charge]])</f>
        <v>415.43200000000002</v>
      </c>
      <c r="Y100" s="4" t="str">
        <f>Table1[[#This Row],[First_Name]]&amp;" "&amp;Table1[[#This Row],[Last_Name]]</f>
        <v>Beth Mason</v>
      </c>
      <c r="Z100" s="4" t="str">
        <f>IF(T:T&gt;Table1[[#This Row],[Estimated_Days_to_Deliver]],"Late",IF(T:T=Table1[[#This Row],[Estimated_Days_to_Deliver]],"Intime","BeforeTime"))</f>
        <v>BeforeTime</v>
      </c>
      <c r="AA100" s="4">
        <f>MONTH(Table1[[#This Row],[Order_Date]])</f>
        <v>1</v>
      </c>
      <c r="AB100" s="13">
        <f>Table1[[#This Row],[Amount]]*Table1[[#This Row],[Discount_Percent]]</f>
        <v>88.108000000000004</v>
      </c>
    </row>
    <row r="101" spans="1:31" ht="14.25" customHeight="1">
      <c r="A101" s="1" t="s">
        <v>595</v>
      </c>
      <c r="B101" s="1" t="s">
        <v>596</v>
      </c>
      <c r="C101" s="1" t="s">
        <v>597</v>
      </c>
      <c r="D101" s="1">
        <v>21</v>
      </c>
      <c r="E101" s="1" t="s">
        <v>31</v>
      </c>
      <c r="F101" s="1" t="s">
        <v>44</v>
      </c>
      <c r="G101" s="1" t="s">
        <v>598</v>
      </c>
      <c r="H101" s="1" t="s">
        <v>599</v>
      </c>
      <c r="I101" s="1" t="s">
        <v>671</v>
      </c>
      <c r="J101" s="24">
        <v>45321</v>
      </c>
      <c r="K101" s="1" t="s">
        <v>672</v>
      </c>
      <c r="L101" s="1" t="s">
        <v>107</v>
      </c>
      <c r="M101" s="1">
        <v>275.44</v>
      </c>
      <c r="N101" s="1">
        <v>3</v>
      </c>
      <c r="O101" s="1" t="s">
        <v>60</v>
      </c>
      <c r="P101" s="1">
        <v>5</v>
      </c>
      <c r="Q101" s="1">
        <v>47</v>
      </c>
      <c r="R101" s="24">
        <v>45322</v>
      </c>
      <c r="S101" s="1" t="s">
        <v>673</v>
      </c>
      <c r="T101" s="4">
        <f>Table1[[#This Row],[Delivery_Date]]-Table1[[#This Row],[Order_Date]]</f>
        <v>1</v>
      </c>
      <c r="U101" s="4">
        <f>Table1[[#This Row],[Price]]*Table1[[#This Row],[Quantity]]</f>
        <v>826.31999999999994</v>
      </c>
      <c r="V101" s="11">
        <f t="shared" si="1"/>
        <v>0.15</v>
      </c>
      <c r="W101" s="4">
        <f>Table1[[#This Row],[Amount]]-(Table1[[#This Row],[Amount]]*Table1[[#This Row],[Discount_Percent]])</f>
        <v>702.37199999999996</v>
      </c>
      <c r="X101" s="4">
        <f>IF(O101="DEL0", Table1[[#This Row],[Discounted_Amount]],Table1[[#This Row],[Discounted_Amount]]+Table1[[#This Row],[Delivery_Charge]])</f>
        <v>749.37199999999996</v>
      </c>
      <c r="Y101" s="4" t="str">
        <f>Table1[[#This Row],[First_Name]]&amp;" "&amp;Table1[[#This Row],[Last_Name]]</f>
        <v>William Mann</v>
      </c>
      <c r="Z101" s="4" t="str">
        <f>IF(T:T&gt;Table1[[#This Row],[Estimated_Days_to_Deliver]],"Late",IF(T:T=Table1[[#This Row],[Estimated_Days_to_Deliver]],"Intime","BeforeTime"))</f>
        <v>BeforeTime</v>
      </c>
      <c r="AA101" s="4">
        <f>MONTH(Table1[[#This Row],[Order_Date]])</f>
        <v>1</v>
      </c>
      <c r="AB101" s="13">
        <f>Table1[[#This Row],[Amount]]*Table1[[#This Row],[Discount_Percent]]</f>
        <v>123.94799999999998</v>
      </c>
    </row>
    <row r="102" spans="1:31" ht="14.25" customHeight="1">
      <c r="A102" s="1" t="s">
        <v>674</v>
      </c>
      <c r="B102" s="1" t="s">
        <v>675</v>
      </c>
      <c r="C102" s="1" t="s">
        <v>676</v>
      </c>
      <c r="D102" s="1">
        <v>38</v>
      </c>
      <c r="E102" s="1" t="s">
        <v>43</v>
      </c>
      <c r="F102" s="1" t="s">
        <v>223</v>
      </c>
      <c r="G102" s="1" t="s">
        <v>677</v>
      </c>
      <c r="H102" s="1" t="s">
        <v>678</v>
      </c>
      <c r="I102" s="1" t="s">
        <v>679</v>
      </c>
      <c r="J102" s="24">
        <v>45203</v>
      </c>
      <c r="K102" s="1" t="s">
        <v>680</v>
      </c>
      <c r="L102" s="1" t="s">
        <v>576</v>
      </c>
      <c r="M102" s="1">
        <v>477.52</v>
      </c>
      <c r="N102" s="1">
        <v>3</v>
      </c>
      <c r="O102" s="1" t="s">
        <v>38</v>
      </c>
      <c r="P102" s="1">
        <v>5</v>
      </c>
      <c r="Q102" s="1">
        <v>66</v>
      </c>
      <c r="R102" s="24">
        <v>45208</v>
      </c>
      <c r="S102" s="1" t="s">
        <v>681</v>
      </c>
      <c r="T102" s="4">
        <f>Table1[[#This Row],[Delivery_Date]]-Table1[[#This Row],[Order_Date]]</f>
        <v>5</v>
      </c>
      <c r="U102" s="4">
        <f>Table1[[#This Row],[Price]]*Table1[[#This Row],[Quantity]]</f>
        <v>1432.56</v>
      </c>
      <c r="V102" s="11">
        <f t="shared" si="1"/>
        <v>0.08</v>
      </c>
      <c r="W102" s="4">
        <f>Table1[[#This Row],[Amount]]-(Table1[[#This Row],[Amount]]*Table1[[#This Row],[Discount_Percent]])</f>
        <v>1317.9551999999999</v>
      </c>
      <c r="X102" s="4">
        <f>IF(O102="DEL0", Table1[[#This Row],[Discounted_Amount]],Table1[[#This Row],[Discounted_Amount]]+Table1[[#This Row],[Delivery_Charge]])</f>
        <v>1383.9551999999999</v>
      </c>
      <c r="Y102" s="4" t="str">
        <f>Table1[[#This Row],[First_Name]]&amp;" "&amp;Table1[[#This Row],[Last_Name]]</f>
        <v>Christy Chang</v>
      </c>
      <c r="Z102" s="4" t="str">
        <f>IF(T:T&gt;Table1[[#This Row],[Estimated_Days_to_Deliver]],"Late",IF(T:T=Table1[[#This Row],[Estimated_Days_to_Deliver]],"Intime","BeforeTime"))</f>
        <v>Intime</v>
      </c>
      <c r="AA102" s="4">
        <f>MONTH(Table1[[#This Row],[Order_Date]])</f>
        <v>10</v>
      </c>
      <c r="AB102" s="13">
        <f>Table1[[#This Row],[Amount]]*Table1[[#This Row],[Discount_Percent]]</f>
        <v>114.6048</v>
      </c>
    </row>
    <row r="103" spans="1:31" ht="14.25" customHeight="1">
      <c r="A103" s="1" t="s">
        <v>682</v>
      </c>
      <c r="B103" s="1" t="s">
        <v>683</v>
      </c>
      <c r="C103" s="1" t="s">
        <v>684</v>
      </c>
      <c r="D103" s="1">
        <v>68</v>
      </c>
      <c r="E103" s="1" t="s">
        <v>31</v>
      </c>
      <c r="F103" s="1" t="s">
        <v>223</v>
      </c>
      <c r="G103" s="1" t="s">
        <v>685</v>
      </c>
      <c r="H103" s="1" t="s">
        <v>686</v>
      </c>
      <c r="I103" s="1" t="s">
        <v>687</v>
      </c>
      <c r="J103" s="24">
        <v>45636</v>
      </c>
      <c r="K103" s="1" t="s">
        <v>688</v>
      </c>
      <c r="L103" s="1" t="s">
        <v>689</v>
      </c>
      <c r="M103" s="1">
        <v>424.82</v>
      </c>
      <c r="N103" s="1">
        <v>1</v>
      </c>
      <c r="O103" s="1" t="s">
        <v>65</v>
      </c>
      <c r="P103" s="1">
        <v>5</v>
      </c>
      <c r="Q103" s="1">
        <v>44</v>
      </c>
      <c r="R103" s="24">
        <v>45638</v>
      </c>
      <c r="S103" s="1" t="s">
        <v>690</v>
      </c>
      <c r="T103" s="4">
        <f>Table1[[#This Row],[Delivery_Date]]-Table1[[#This Row],[Order_Date]]</f>
        <v>2</v>
      </c>
      <c r="U103" s="4">
        <f>Table1[[#This Row],[Price]]*Table1[[#This Row],[Quantity]]</f>
        <v>424.82</v>
      </c>
      <c r="V103" s="11">
        <f t="shared" si="1"/>
        <v>0</v>
      </c>
      <c r="W103" s="4">
        <f>Table1[[#This Row],[Amount]]-(Table1[[#This Row],[Amount]]*Table1[[#This Row],[Discount_Percent]])</f>
        <v>424.82</v>
      </c>
      <c r="X103" s="4">
        <f>IF(O103="DEL0", Table1[[#This Row],[Discounted_Amount]],Table1[[#This Row],[Discounted_Amount]]+Table1[[#This Row],[Delivery_Charge]])</f>
        <v>424.82</v>
      </c>
      <c r="Y103" s="4" t="str">
        <f>Table1[[#This Row],[First_Name]]&amp;" "&amp;Table1[[#This Row],[Last_Name]]</f>
        <v>Troy Gomez</v>
      </c>
      <c r="Z103" s="4" t="str">
        <f>IF(T:T&gt;Table1[[#This Row],[Estimated_Days_to_Deliver]],"Late",IF(T:T=Table1[[#This Row],[Estimated_Days_to_Deliver]],"Intime","BeforeTime"))</f>
        <v>BeforeTime</v>
      </c>
      <c r="AA103" s="4">
        <f>MONTH(Table1[[#This Row],[Order_Date]])</f>
        <v>12</v>
      </c>
      <c r="AB103" s="13">
        <f>Table1[[#This Row],[Amount]]*Table1[[#This Row],[Discount_Percent]]</f>
        <v>0</v>
      </c>
    </row>
    <row r="104" spans="1:31" ht="14.25" customHeight="1">
      <c r="A104" s="1" t="s">
        <v>691</v>
      </c>
      <c r="B104" s="1" t="s">
        <v>692</v>
      </c>
      <c r="C104" s="1" t="s">
        <v>693</v>
      </c>
      <c r="D104" s="1">
        <v>65</v>
      </c>
      <c r="E104" s="1" t="s">
        <v>43</v>
      </c>
      <c r="F104" s="1" t="s">
        <v>92</v>
      </c>
      <c r="G104" s="1" t="s">
        <v>694</v>
      </c>
      <c r="H104" s="1" t="s">
        <v>695</v>
      </c>
      <c r="I104" s="1" t="s">
        <v>696</v>
      </c>
      <c r="J104" s="24">
        <v>45165</v>
      </c>
      <c r="K104" s="1" t="s">
        <v>697</v>
      </c>
      <c r="L104" s="1" t="s">
        <v>433</v>
      </c>
      <c r="M104" s="1">
        <v>369.03</v>
      </c>
      <c r="N104" s="1">
        <v>4</v>
      </c>
      <c r="O104" s="1" t="s">
        <v>38</v>
      </c>
      <c r="P104" s="1">
        <v>5</v>
      </c>
      <c r="Q104" s="1">
        <v>56</v>
      </c>
      <c r="R104" s="24">
        <v>45169</v>
      </c>
      <c r="S104" s="1" t="s">
        <v>698</v>
      </c>
      <c r="T104" s="4">
        <f>Table1[[#This Row],[Delivery_Date]]-Table1[[#This Row],[Order_Date]]</f>
        <v>4</v>
      </c>
      <c r="U104" s="4">
        <f>Table1[[#This Row],[Price]]*Table1[[#This Row],[Quantity]]</f>
        <v>1476.12</v>
      </c>
      <c r="V104" s="11">
        <f t="shared" si="1"/>
        <v>0.08</v>
      </c>
      <c r="W104" s="4">
        <f>Table1[[#This Row],[Amount]]-(Table1[[#This Row],[Amount]]*Table1[[#This Row],[Discount_Percent]])</f>
        <v>1358.0303999999999</v>
      </c>
      <c r="X104" s="4">
        <f>IF(O104="DEL0", Table1[[#This Row],[Discounted_Amount]],Table1[[#This Row],[Discounted_Amount]]+Table1[[#This Row],[Delivery_Charge]])</f>
        <v>1414.0303999999999</v>
      </c>
      <c r="Y104" s="4" t="str">
        <f>Table1[[#This Row],[First_Name]]&amp;" "&amp;Table1[[#This Row],[Last_Name]]</f>
        <v>Kim Blevins</v>
      </c>
      <c r="Z104" s="4" t="str">
        <f>IF(T:T&gt;Table1[[#This Row],[Estimated_Days_to_Deliver]],"Late",IF(T:T=Table1[[#This Row],[Estimated_Days_to_Deliver]],"Intime","BeforeTime"))</f>
        <v>BeforeTime</v>
      </c>
      <c r="AA104" s="4">
        <f>MONTH(Table1[[#This Row],[Order_Date]])</f>
        <v>8</v>
      </c>
      <c r="AB104" s="13">
        <f>Table1[[#This Row],[Amount]]*Table1[[#This Row],[Discount_Percent]]</f>
        <v>118.08959999999999</v>
      </c>
    </row>
    <row r="105" spans="1:31" ht="14.25" customHeight="1">
      <c r="A105" s="1" t="s">
        <v>453</v>
      </c>
      <c r="B105" s="1" t="s">
        <v>454</v>
      </c>
      <c r="C105" s="1" t="s">
        <v>455</v>
      </c>
      <c r="D105" s="1">
        <v>69</v>
      </c>
      <c r="E105" s="1" t="s">
        <v>31</v>
      </c>
      <c r="F105" s="1" t="s">
        <v>32</v>
      </c>
      <c r="G105" s="1" t="s">
        <v>456</v>
      </c>
      <c r="H105" s="1" t="s">
        <v>457</v>
      </c>
      <c r="I105" s="1" t="s">
        <v>699</v>
      </c>
      <c r="J105" s="24">
        <v>45484</v>
      </c>
      <c r="K105" s="1" t="s">
        <v>700</v>
      </c>
      <c r="L105" s="1" t="s">
        <v>517</v>
      </c>
      <c r="M105" s="1">
        <v>136.30000000000001</v>
      </c>
      <c r="N105" s="1">
        <v>2</v>
      </c>
      <c r="O105" s="1" t="s">
        <v>98</v>
      </c>
      <c r="P105" s="1">
        <v>5</v>
      </c>
      <c r="Q105" s="1">
        <v>54</v>
      </c>
      <c r="R105" s="24">
        <v>45485</v>
      </c>
      <c r="S105" s="1" t="s">
        <v>701</v>
      </c>
      <c r="T105" s="4">
        <f>Table1[[#This Row],[Delivery_Date]]-Table1[[#This Row],[Order_Date]]</f>
        <v>1</v>
      </c>
      <c r="U105" s="4">
        <f>Table1[[#This Row],[Price]]*Table1[[#This Row],[Quantity]]</f>
        <v>272.60000000000002</v>
      </c>
      <c r="V105" s="11">
        <f t="shared" si="1"/>
        <v>0.1</v>
      </c>
      <c r="W105" s="4">
        <f>Table1[[#This Row],[Amount]]-(Table1[[#This Row],[Amount]]*Table1[[#This Row],[Discount_Percent]])</f>
        <v>245.34000000000003</v>
      </c>
      <c r="X105" s="4">
        <f>IF(O105="DEL0", Table1[[#This Row],[Discounted_Amount]],Table1[[#This Row],[Discounted_Amount]]+Table1[[#This Row],[Delivery_Charge]])</f>
        <v>299.34000000000003</v>
      </c>
      <c r="Y105" s="4" t="str">
        <f>Table1[[#This Row],[First_Name]]&amp;" "&amp;Table1[[#This Row],[Last_Name]]</f>
        <v>Brian Kennedy</v>
      </c>
      <c r="Z105" s="4" t="str">
        <f>IF(T:T&gt;Table1[[#This Row],[Estimated_Days_to_Deliver]],"Late",IF(T:T=Table1[[#This Row],[Estimated_Days_to_Deliver]],"Intime","BeforeTime"))</f>
        <v>BeforeTime</v>
      </c>
      <c r="AA105" s="4">
        <f>MONTH(Table1[[#This Row],[Order_Date]])</f>
        <v>7</v>
      </c>
      <c r="AB105" s="13">
        <f>Table1[[#This Row],[Amount]]*Table1[[#This Row],[Discount_Percent]]</f>
        <v>27.260000000000005</v>
      </c>
    </row>
    <row r="106" spans="1:31" ht="14.25" customHeight="1">
      <c r="A106" s="1" t="s">
        <v>415</v>
      </c>
      <c r="B106" s="1" t="s">
        <v>231</v>
      </c>
      <c r="C106" s="1" t="s">
        <v>416</v>
      </c>
      <c r="D106" s="1">
        <v>28</v>
      </c>
      <c r="E106" s="1" t="s">
        <v>54</v>
      </c>
      <c r="F106" s="1" t="s">
        <v>142</v>
      </c>
      <c r="G106" s="1" t="s">
        <v>417</v>
      </c>
      <c r="H106" s="1" t="s">
        <v>418</v>
      </c>
      <c r="I106" s="1" t="s">
        <v>702</v>
      </c>
      <c r="J106" s="24">
        <v>45113</v>
      </c>
      <c r="K106" s="1" t="s">
        <v>703</v>
      </c>
      <c r="L106" s="1" t="s">
        <v>156</v>
      </c>
      <c r="M106" s="1">
        <v>220.27</v>
      </c>
      <c r="N106" s="1">
        <v>4</v>
      </c>
      <c r="O106" s="1" t="s">
        <v>87</v>
      </c>
      <c r="P106" s="1">
        <v>5</v>
      </c>
      <c r="Q106" s="1">
        <v>65</v>
      </c>
      <c r="R106" s="24">
        <v>45117</v>
      </c>
      <c r="S106" s="1" t="s">
        <v>704</v>
      </c>
      <c r="T106" s="4">
        <f>Table1[[#This Row],[Delivery_Date]]-Table1[[#This Row],[Order_Date]]</f>
        <v>4</v>
      </c>
      <c r="U106" s="4">
        <f>Table1[[#This Row],[Price]]*Table1[[#This Row],[Quantity]]</f>
        <v>881.08</v>
      </c>
      <c r="V106" s="11">
        <f t="shared" si="1"/>
        <v>0.2</v>
      </c>
      <c r="W106" s="4">
        <f>Table1[[#This Row],[Amount]]-(Table1[[#This Row],[Amount]]*Table1[[#This Row],[Discount_Percent]])</f>
        <v>704.86400000000003</v>
      </c>
      <c r="X106" s="4">
        <f>IF(O106="DEL0", Table1[[#This Row],[Discounted_Amount]],Table1[[#This Row],[Discounted_Amount]]+Table1[[#This Row],[Delivery_Charge]])</f>
        <v>769.86400000000003</v>
      </c>
      <c r="Y106" s="4" t="str">
        <f>Table1[[#This Row],[First_Name]]&amp;" "&amp;Table1[[#This Row],[Last_Name]]</f>
        <v>John Ramirez</v>
      </c>
      <c r="Z106" s="4" t="str">
        <f>IF(T:T&gt;Table1[[#This Row],[Estimated_Days_to_Deliver]],"Late",IF(T:T=Table1[[#This Row],[Estimated_Days_to_Deliver]],"Intime","BeforeTime"))</f>
        <v>BeforeTime</v>
      </c>
      <c r="AA106" s="4">
        <f>MONTH(Table1[[#This Row],[Order_Date]])</f>
        <v>7</v>
      </c>
      <c r="AB106" s="13">
        <f>Table1[[#This Row],[Amount]]*Table1[[#This Row],[Discount_Percent]]</f>
        <v>176.21600000000001</v>
      </c>
      <c r="AE106">
        <f>COUNTIF(Table1[Coupon_Code],"DEL0")</f>
        <v>102</v>
      </c>
    </row>
    <row r="107" spans="1:31" ht="14.25" customHeight="1">
      <c r="A107" s="1" t="s">
        <v>595</v>
      </c>
      <c r="B107" s="1" t="s">
        <v>596</v>
      </c>
      <c r="C107" s="1" t="s">
        <v>597</v>
      </c>
      <c r="D107" s="1">
        <v>21</v>
      </c>
      <c r="E107" s="1" t="s">
        <v>31</v>
      </c>
      <c r="F107" s="1" t="s">
        <v>44</v>
      </c>
      <c r="G107" s="1" t="s">
        <v>598</v>
      </c>
      <c r="H107" s="1" t="s">
        <v>599</v>
      </c>
      <c r="I107" s="1" t="s">
        <v>705</v>
      </c>
      <c r="J107" s="24">
        <v>45530</v>
      </c>
      <c r="K107" s="1" t="s">
        <v>706</v>
      </c>
      <c r="L107" s="1" t="s">
        <v>566</v>
      </c>
      <c r="M107" s="1">
        <v>133.62</v>
      </c>
      <c r="N107" s="1">
        <v>5</v>
      </c>
      <c r="O107" s="1" t="s">
        <v>60</v>
      </c>
      <c r="P107" s="1">
        <v>5</v>
      </c>
      <c r="Q107" s="1">
        <v>64</v>
      </c>
      <c r="R107" s="24">
        <v>45532</v>
      </c>
      <c r="S107" s="1" t="s">
        <v>707</v>
      </c>
      <c r="T107" s="4">
        <f>Table1[[#This Row],[Delivery_Date]]-Table1[[#This Row],[Order_Date]]</f>
        <v>2</v>
      </c>
      <c r="U107" s="4">
        <f>Table1[[#This Row],[Price]]*Table1[[#This Row],[Quantity]]</f>
        <v>668.1</v>
      </c>
      <c r="V107" s="11">
        <f t="shared" si="1"/>
        <v>0.15</v>
      </c>
      <c r="W107" s="4">
        <f>Table1[[#This Row],[Amount]]-(Table1[[#This Row],[Amount]]*Table1[[#This Row],[Discount_Percent]])</f>
        <v>567.88499999999999</v>
      </c>
      <c r="X107" s="4">
        <f>IF(O107="DEL0", Table1[[#This Row],[Discounted_Amount]],Table1[[#This Row],[Discounted_Amount]]+Table1[[#This Row],[Delivery_Charge]])</f>
        <v>631.88499999999999</v>
      </c>
      <c r="Y107" s="4" t="str">
        <f>Table1[[#This Row],[First_Name]]&amp;" "&amp;Table1[[#This Row],[Last_Name]]</f>
        <v>William Mann</v>
      </c>
      <c r="Z107" s="4" t="str">
        <f>IF(T:T&gt;Table1[[#This Row],[Estimated_Days_to_Deliver]],"Late",IF(T:T=Table1[[#This Row],[Estimated_Days_to_Deliver]],"Intime","BeforeTime"))</f>
        <v>BeforeTime</v>
      </c>
      <c r="AA107" s="4">
        <f>MONTH(Table1[[#This Row],[Order_Date]])</f>
        <v>8</v>
      </c>
      <c r="AB107" s="13">
        <f>Table1[[#This Row],[Amount]]*Table1[[#This Row],[Discount_Percent]]</f>
        <v>100.215</v>
      </c>
    </row>
    <row r="108" spans="1:31" ht="14.25" customHeight="1">
      <c r="A108" s="1" t="s">
        <v>708</v>
      </c>
      <c r="B108" s="1" t="s">
        <v>709</v>
      </c>
      <c r="C108" s="1" t="s">
        <v>710</v>
      </c>
      <c r="D108" s="1">
        <v>26</v>
      </c>
      <c r="E108" s="1" t="s">
        <v>54</v>
      </c>
      <c r="F108" s="1" t="s">
        <v>78</v>
      </c>
      <c r="G108" s="1" t="s">
        <v>711</v>
      </c>
      <c r="H108" s="1" t="s">
        <v>712</v>
      </c>
      <c r="I108" s="1" t="s">
        <v>713</v>
      </c>
      <c r="J108" s="24">
        <v>45432</v>
      </c>
      <c r="K108" s="1" t="s">
        <v>714</v>
      </c>
      <c r="L108" s="1" t="s">
        <v>37</v>
      </c>
      <c r="M108" s="1">
        <v>308.88</v>
      </c>
      <c r="N108" s="1">
        <v>2</v>
      </c>
      <c r="O108" s="1" t="s">
        <v>87</v>
      </c>
      <c r="P108" s="1">
        <v>5</v>
      </c>
      <c r="Q108" s="1">
        <v>61</v>
      </c>
      <c r="R108" s="24">
        <v>45436</v>
      </c>
      <c r="S108" s="1" t="s">
        <v>715</v>
      </c>
      <c r="T108" s="4">
        <f>Table1[[#This Row],[Delivery_Date]]-Table1[[#This Row],[Order_Date]]</f>
        <v>4</v>
      </c>
      <c r="U108" s="4">
        <f>Table1[[#This Row],[Price]]*Table1[[#This Row],[Quantity]]</f>
        <v>617.76</v>
      </c>
      <c r="V108" s="11">
        <f t="shared" si="1"/>
        <v>0.2</v>
      </c>
      <c r="W108" s="4">
        <f>Table1[[#This Row],[Amount]]-(Table1[[#This Row],[Amount]]*Table1[[#This Row],[Discount_Percent]])</f>
        <v>494.20799999999997</v>
      </c>
      <c r="X108" s="4">
        <f>IF(O108="DEL0", Table1[[#This Row],[Discounted_Amount]],Table1[[#This Row],[Discounted_Amount]]+Table1[[#This Row],[Delivery_Charge]])</f>
        <v>555.20799999999997</v>
      </c>
      <c r="Y108" s="4" t="str">
        <f>Table1[[#This Row],[First_Name]]&amp;" "&amp;Table1[[#This Row],[Last_Name]]</f>
        <v>Gregory Lee</v>
      </c>
      <c r="Z108" s="4" t="str">
        <f>IF(T:T&gt;Table1[[#This Row],[Estimated_Days_to_Deliver]],"Late",IF(T:T=Table1[[#This Row],[Estimated_Days_to_Deliver]],"Intime","BeforeTime"))</f>
        <v>BeforeTime</v>
      </c>
      <c r="AA108" s="4">
        <f>MONTH(Table1[[#This Row],[Order_Date]])</f>
        <v>5</v>
      </c>
      <c r="AB108" s="13">
        <f>Table1[[#This Row],[Amount]]*Table1[[#This Row],[Discount_Percent]]</f>
        <v>123.55200000000001</v>
      </c>
    </row>
    <row r="109" spans="1:31" ht="14.25" customHeight="1">
      <c r="A109" s="1" t="s">
        <v>239</v>
      </c>
      <c r="B109" s="1" t="s">
        <v>68</v>
      </c>
      <c r="C109" s="1" t="s">
        <v>240</v>
      </c>
      <c r="D109" s="1">
        <v>52</v>
      </c>
      <c r="E109" s="1" t="s">
        <v>54</v>
      </c>
      <c r="F109" s="1" t="s">
        <v>44</v>
      </c>
      <c r="G109" s="1" t="s">
        <v>241</v>
      </c>
      <c r="H109" s="1" t="s">
        <v>242</v>
      </c>
      <c r="I109" s="1" t="s">
        <v>716</v>
      </c>
      <c r="J109" s="24">
        <v>45427</v>
      </c>
      <c r="K109" s="1" t="s">
        <v>717</v>
      </c>
      <c r="L109" s="1" t="s">
        <v>228</v>
      </c>
      <c r="M109" s="1">
        <v>461.07</v>
      </c>
      <c r="N109" s="1">
        <v>1</v>
      </c>
      <c r="O109" s="1" t="s">
        <v>87</v>
      </c>
      <c r="P109" s="1">
        <v>5</v>
      </c>
      <c r="Q109" s="1">
        <v>57</v>
      </c>
      <c r="R109" s="24">
        <v>45434</v>
      </c>
      <c r="S109" s="1" t="s">
        <v>718</v>
      </c>
      <c r="T109" s="4">
        <f>Table1[[#This Row],[Delivery_Date]]-Table1[[#This Row],[Order_Date]]</f>
        <v>7</v>
      </c>
      <c r="U109" s="4">
        <f>Table1[[#This Row],[Price]]*Table1[[#This Row],[Quantity]]</f>
        <v>461.07</v>
      </c>
      <c r="V109" s="11">
        <f t="shared" si="1"/>
        <v>0.2</v>
      </c>
      <c r="W109" s="4">
        <f>Table1[[#This Row],[Amount]]-(Table1[[#This Row],[Amount]]*Table1[[#This Row],[Discount_Percent]])</f>
        <v>368.85599999999999</v>
      </c>
      <c r="X109" s="4">
        <f>IF(O109="DEL0", Table1[[#This Row],[Discounted_Amount]],Table1[[#This Row],[Discounted_Amount]]+Table1[[#This Row],[Delivery_Charge]])</f>
        <v>425.85599999999999</v>
      </c>
      <c r="Y109" s="4" t="str">
        <f>Table1[[#This Row],[First_Name]]&amp;" "&amp;Table1[[#This Row],[Last_Name]]</f>
        <v>Angela Evans</v>
      </c>
      <c r="Z109" s="4" t="str">
        <f>IF(T:T&gt;Table1[[#This Row],[Estimated_Days_to_Deliver]],"Late",IF(T:T=Table1[[#This Row],[Estimated_Days_to_Deliver]],"Intime","BeforeTime"))</f>
        <v>Late</v>
      </c>
      <c r="AA109" s="4">
        <f>MONTH(Table1[[#This Row],[Order_Date]])</f>
        <v>5</v>
      </c>
      <c r="AB109" s="13">
        <f>Table1[[#This Row],[Amount]]*Table1[[#This Row],[Discount_Percent]]</f>
        <v>92.213999999999999</v>
      </c>
    </row>
    <row r="110" spans="1:31" ht="14.25" customHeight="1">
      <c r="A110" s="1" t="s">
        <v>719</v>
      </c>
      <c r="B110" s="1" t="s">
        <v>720</v>
      </c>
      <c r="C110" s="1" t="s">
        <v>721</v>
      </c>
      <c r="D110" s="1">
        <v>32</v>
      </c>
      <c r="E110" s="1" t="s">
        <v>43</v>
      </c>
      <c r="F110" s="1" t="s">
        <v>32</v>
      </c>
      <c r="G110" s="1" t="s">
        <v>722</v>
      </c>
      <c r="H110" s="1" t="s">
        <v>723</v>
      </c>
      <c r="I110" s="1" t="s">
        <v>724</v>
      </c>
      <c r="J110" s="24">
        <v>45021</v>
      </c>
      <c r="K110" s="1" t="s">
        <v>725</v>
      </c>
      <c r="L110" s="1" t="s">
        <v>359</v>
      </c>
      <c r="M110" s="1">
        <v>496.59</v>
      </c>
      <c r="N110" s="1">
        <v>5</v>
      </c>
      <c r="O110" s="1" t="s">
        <v>87</v>
      </c>
      <c r="P110" s="1">
        <v>5</v>
      </c>
      <c r="Q110" s="1">
        <v>40</v>
      </c>
      <c r="R110" s="24">
        <v>45025</v>
      </c>
      <c r="S110" s="1" t="s">
        <v>726</v>
      </c>
      <c r="T110" s="4">
        <f>Table1[[#This Row],[Delivery_Date]]-Table1[[#This Row],[Order_Date]]</f>
        <v>4</v>
      </c>
      <c r="U110" s="4">
        <f>Table1[[#This Row],[Price]]*Table1[[#This Row],[Quantity]]</f>
        <v>2482.9499999999998</v>
      </c>
      <c r="V110" s="11">
        <f t="shared" si="1"/>
        <v>0.2</v>
      </c>
      <c r="W110" s="4">
        <f>Table1[[#This Row],[Amount]]-(Table1[[#This Row],[Amount]]*Table1[[#This Row],[Discount_Percent]])</f>
        <v>1986.36</v>
      </c>
      <c r="X110" s="4">
        <f>IF(O110="DEL0", Table1[[#This Row],[Discounted_Amount]],Table1[[#This Row],[Discounted_Amount]]+Table1[[#This Row],[Delivery_Charge]])</f>
        <v>2026.36</v>
      </c>
      <c r="Y110" s="4" t="str">
        <f>Table1[[#This Row],[First_Name]]&amp;" "&amp;Table1[[#This Row],[Last_Name]]</f>
        <v>Bruce Allen</v>
      </c>
      <c r="Z110" s="4" t="str">
        <f>IF(T:T&gt;Table1[[#This Row],[Estimated_Days_to_Deliver]],"Late",IF(T:T=Table1[[#This Row],[Estimated_Days_to_Deliver]],"Intime","BeforeTime"))</f>
        <v>BeforeTime</v>
      </c>
      <c r="AA110" s="4">
        <f>MONTH(Table1[[#This Row],[Order_Date]])</f>
        <v>4</v>
      </c>
      <c r="AB110" s="13">
        <f>Table1[[#This Row],[Amount]]*Table1[[#This Row],[Discount_Percent]]</f>
        <v>496.59</v>
      </c>
    </row>
    <row r="111" spans="1:31" ht="14.25" customHeight="1">
      <c r="A111" s="1" t="s">
        <v>727</v>
      </c>
      <c r="B111" s="1" t="s">
        <v>728</v>
      </c>
      <c r="C111" s="1" t="s">
        <v>169</v>
      </c>
      <c r="D111" s="1">
        <v>70</v>
      </c>
      <c r="E111" s="1" t="s">
        <v>43</v>
      </c>
      <c r="F111" s="1" t="s">
        <v>92</v>
      </c>
      <c r="G111" s="1" t="s">
        <v>729</v>
      </c>
      <c r="H111" s="1" t="s">
        <v>730</v>
      </c>
      <c r="I111" s="1" t="s">
        <v>731</v>
      </c>
      <c r="J111" s="24">
        <v>45005</v>
      </c>
      <c r="K111" s="1" t="s">
        <v>732</v>
      </c>
      <c r="L111" s="1" t="s">
        <v>185</v>
      </c>
      <c r="M111" s="1">
        <v>104.18</v>
      </c>
      <c r="N111" s="1">
        <v>2</v>
      </c>
      <c r="O111" s="1" t="s">
        <v>38</v>
      </c>
      <c r="P111" s="1">
        <v>5</v>
      </c>
      <c r="Q111" s="1">
        <v>40</v>
      </c>
      <c r="R111" s="24">
        <v>45010</v>
      </c>
      <c r="S111" s="1" t="s">
        <v>733</v>
      </c>
      <c r="T111" s="4">
        <f>Table1[[#This Row],[Delivery_Date]]-Table1[[#This Row],[Order_Date]]</f>
        <v>5</v>
      </c>
      <c r="U111" s="4">
        <f>Table1[[#This Row],[Price]]*Table1[[#This Row],[Quantity]]</f>
        <v>208.36</v>
      </c>
      <c r="V111" s="11">
        <f t="shared" si="1"/>
        <v>0.08</v>
      </c>
      <c r="W111" s="4">
        <f>Table1[[#This Row],[Amount]]-(Table1[[#This Row],[Amount]]*Table1[[#This Row],[Discount_Percent]])</f>
        <v>191.69120000000001</v>
      </c>
      <c r="X111" s="4">
        <f>IF(O111="DEL0", Table1[[#This Row],[Discounted_Amount]],Table1[[#This Row],[Discounted_Amount]]+Table1[[#This Row],[Delivery_Charge]])</f>
        <v>231.69120000000001</v>
      </c>
      <c r="Y111" s="4" t="str">
        <f>Table1[[#This Row],[First_Name]]&amp;" "&amp;Table1[[#This Row],[Last_Name]]</f>
        <v>Lisa Miller</v>
      </c>
      <c r="Z111" s="4" t="str">
        <f>IF(T:T&gt;Table1[[#This Row],[Estimated_Days_to_Deliver]],"Late",IF(T:T=Table1[[#This Row],[Estimated_Days_to_Deliver]],"Intime","BeforeTime"))</f>
        <v>Intime</v>
      </c>
      <c r="AA111" s="4">
        <f>MONTH(Table1[[#This Row],[Order_Date]])</f>
        <v>3</v>
      </c>
      <c r="AB111" s="13">
        <f>Table1[[#This Row],[Amount]]*Table1[[#This Row],[Discount_Percent]]</f>
        <v>16.668800000000001</v>
      </c>
    </row>
    <row r="112" spans="1:31" ht="14.25" customHeight="1">
      <c r="A112" s="1" t="s">
        <v>734</v>
      </c>
      <c r="B112" s="1" t="s">
        <v>735</v>
      </c>
      <c r="C112" s="1" t="s">
        <v>736</v>
      </c>
      <c r="D112" s="1">
        <v>30</v>
      </c>
      <c r="E112" s="1" t="s">
        <v>31</v>
      </c>
      <c r="F112" s="1" t="s">
        <v>161</v>
      </c>
      <c r="G112" s="1" t="s">
        <v>737</v>
      </c>
      <c r="H112" s="1" t="s">
        <v>738</v>
      </c>
      <c r="I112" s="1" t="s">
        <v>739</v>
      </c>
      <c r="J112" s="24">
        <v>45406</v>
      </c>
      <c r="K112" s="1" t="s">
        <v>740</v>
      </c>
      <c r="L112" s="1" t="s">
        <v>741</v>
      </c>
      <c r="M112" s="1">
        <v>110.95</v>
      </c>
      <c r="N112" s="1">
        <v>2</v>
      </c>
      <c r="O112" s="1" t="s">
        <v>38</v>
      </c>
      <c r="P112" s="1">
        <v>5</v>
      </c>
      <c r="Q112" s="1">
        <v>68</v>
      </c>
      <c r="R112" s="24">
        <v>45408</v>
      </c>
      <c r="S112" s="1" t="s">
        <v>742</v>
      </c>
      <c r="T112" s="4">
        <f>Table1[[#This Row],[Delivery_Date]]-Table1[[#This Row],[Order_Date]]</f>
        <v>2</v>
      </c>
      <c r="U112" s="4">
        <f>Table1[[#This Row],[Price]]*Table1[[#This Row],[Quantity]]</f>
        <v>221.9</v>
      </c>
      <c r="V112" s="11">
        <f t="shared" si="1"/>
        <v>0.08</v>
      </c>
      <c r="W112" s="4">
        <f>Table1[[#This Row],[Amount]]-(Table1[[#This Row],[Amount]]*Table1[[#This Row],[Discount_Percent]])</f>
        <v>204.148</v>
      </c>
      <c r="X112" s="4">
        <f>IF(O112="DEL0", Table1[[#This Row],[Discounted_Amount]],Table1[[#This Row],[Discounted_Amount]]+Table1[[#This Row],[Delivery_Charge]])</f>
        <v>272.14800000000002</v>
      </c>
      <c r="Y112" s="4" t="str">
        <f>Table1[[#This Row],[First_Name]]&amp;" "&amp;Table1[[#This Row],[Last_Name]]</f>
        <v>Melissa Levy</v>
      </c>
      <c r="Z112" s="4" t="str">
        <f>IF(T:T&gt;Table1[[#This Row],[Estimated_Days_to_Deliver]],"Late",IF(T:T=Table1[[#This Row],[Estimated_Days_to_Deliver]],"Intime","BeforeTime"))</f>
        <v>BeforeTime</v>
      </c>
      <c r="AA112" s="4">
        <f>MONTH(Table1[[#This Row],[Order_Date]])</f>
        <v>4</v>
      </c>
      <c r="AB112" s="13">
        <f>Table1[[#This Row],[Amount]]*Table1[[#This Row],[Discount_Percent]]</f>
        <v>17.752000000000002</v>
      </c>
    </row>
    <row r="113" spans="1:28" ht="14.25" customHeight="1">
      <c r="A113" s="1" t="s">
        <v>649</v>
      </c>
      <c r="B113" s="1" t="s">
        <v>650</v>
      </c>
      <c r="C113" s="1" t="s">
        <v>651</v>
      </c>
      <c r="D113" s="1">
        <v>45</v>
      </c>
      <c r="E113" s="1" t="s">
        <v>54</v>
      </c>
      <c r="F113" s="1" t="s">
        <v>92</v>
      </c>
      <c r="G113" s="1" t="s">
        <v>652</v>
      </c>
      <c r="H113" s="1" t="s">
        <v>653</v>
      </c>
      <c r="I113" s="1" t="s">
        <v>743</v>
      </c>
      <c r="J113" s="24">
        <v>45665</v>
      </c>
      <c r="K113" s="1" t="s">
        <v>744</v>
      </c>
      <c r="L113" s="1" t="s">
        <v>359</v>
      </c>
      <c r="M113" s="1">
        <v>496.59</v>
      </c>
      <c r="N113" s="1">
        <v>2</v>
      </c>
      <c r="O113" s="1" t="s">
        <v>65</v>
      </c>
      <c r="P113" s="1">
        <v>5</v>
      </c>
      <c r="Q113" s="1">
        <v>40</v>
      </c>
      <c r="R113" s="24">
        <v>45667</v>
      </c>
      <c r="S113" s="1" t="s">
        <v>745</v>
      </c>
      <c r="T113" s="4">
        <f>Table1[[#This Row],[Delivery_Date]]-Table1[[#This Row],[Order_Date]]</f>
        <v>2</v>
      </c>
      <c r="U113" s="4">
        <f>Table1[[#This Row],[Price]]*Table1[[#This Row],[Quantity]]</f>
        <v>993.18</v>
      </c>
      <c r="V113" s="11">
        <f t="shared" si="1"/>
        <v>0</v>
      </c>
      <c r="W113" s="4">
        <f>Table1[[#This Row],[Amount]]-(Table1[[#This Row],[Amount]]*Table1[[#This Row],[Discount_Percent]])</f>
        <v>993.18</v>
      </c>
      <c r="X113" s="4">
        <f>IF(O113="DEL0", Table1[[#This Row],[Discounted_Amount]],Table1[[#This Row],[Discounted_Amount]]+Table1[[#This Row],[Delivery_Charge]])</f>
        <v>993.18</v>
      </c>
      <c r="Y113" s="4" t="str">
        <f>Table1[[#This Row],[First_Name]]&amp;" "&amp;Table1[[#This Row],[Last_Name]]</f>
        <v>Beth Mason</v>
      </c>
      <c r="Z113" s="4" t="str">
        <f>IF(T:T&gt;Table1[[#This Row],[Estimated_Days_to_Deliver]],"Late",IF(T:T=Table1[[#This Row],[Estimated_Days_to_Deliver]],"Intime","BeforeTime"))</f>
        <v>BeforeTime</v>
      </c>
      <c r="AA113" s="4">
        <f>MONTH(Table1[[#This Row],[Order_Date]])</f>
        <v>1</v>
      </c>
      <c r="AB113" s="13">
        <f>Table1[[#This Row],[Amount]]*Table1[[#This Row],[Discount_Percent]]</f>
        <v>0</v>
      </c>
    </row>
    <row r="114" spans="1:28" ht="14.25" customHeight="1">
      <c r="A114" s="1" t="s">
        <v>493</v>
      </c>
      <c r="B114" s="1" t="s">
        <v>189</v>
      </c>
      <c r="C114" s="1" t="s">
        <v>330</v>
      </c>
      <c r="D114" s="1">
        <v>39</v>
      </c>
      <c r="E114" s="1" t="s">
        <v>54</v>
      </c>
      <c r="F114" s="1" t="s">
        <v>44</v>
      </c>
      <c r="G114" s="1" t="s">
        <v>494</v>
      </c>
      <c r="H114" s="1" t="s">
        <v>495</v>
      </c>
      <c r="I114" s="1" t="s">
        <v>746</v>
      </c>
      <c r="J114" s="24">
        <v>45397</v>
      </c>
      <c r="K114" s="1" t="s">
        <v>747</v>
      </c>
      <c r="L114" s="1" t="s">
        <v>128</v>
      </c>
      <c r="M114" s="1">
        <v>257.06</v>
      </c>
      <c r="N114" s="1">
        <v>4</v>
      </c>
      <c r="O114" s="1" t="s">
        <v>87</v>
      </c>
      <c r="P114" s="1">
        <v>5</v>
      </c>
      <c r="Q114" s="1">
        <v>50</v>
      </c>
      <c r="R114" s="24">
        <v>45401</v>
      </c>
      <c r="S114" s="1" t="s">
        <v>748</v>
      </c>
      <c r="T114" s="4">
        <f>Table1[[#This Row],[Delivery_Date]]-Table1[[#This Row],[Order_Date]]</f>
        <v>4</v>
      </c>
      <c r="U114" s="4">
        <f>Table1[[#This Row],[Price]]*Table1[[#This Row],[Quantity]]</f>
        <v>1028.24</v>
      </c>
      <c r="V114" s="11">
        <f t="shared" si="1"/>
        <v>0.2</v>
      </c>
      <c r="W114" s="4">
        <f>Table1[[#This Row],[Amount]]-(Table1[[#This Row],[Amount]]*Table1[[#This Row],[Discount_Percent]])</f>
        <v>822.59199999999998</v>
      </c>
      <c r="X114" s="4">
        <f>IF(O114="DEL0", Table1[[#This Row],[Discounted_Amount]],Table1[[#This Row],[Discounted_Amount]]+Table1[[#This Row],[Delivery_Charge]])</f>
        <v>872.59199999999998</v>
      </c>
      <c r="Y114" s="4" t="str">
        <f>Table1[[#This Row],[First_Name]]&amp;" "&amp;Table1[[#This Row],[Last_Name]]</f>
        <v>Mitchell Parker</v>
      </c>
      <c r="Z114" s="4" t="str">
        <f>IF(T:T&gt;Table1[[#This Row],[Estimated_Days_to_Deliver]],"Late",IF(T:T=Table1[[#This Row],[Estimated_Days_to_Deliver]],"Intime","BeforeTime"))</f>
        <v>BeforeTime</v>
      </c>
      <c r="AA114" s="4">
        <f>MONTH(Table1[[#This Row],[Order_Date]])</f>
        <v>4</v>
      </c>
      <c r="AB114" s="13">
        <f>Table1[[#This Row],[Amount]]*Table1[[#This Row],[Discount_Percent]]</f>
        <v>205.64800000000002</v>
      </c>
    </row>
    <row r="115" spans="1:28" ht="14.25" customHeight="1">
      <c r="A115" s="1" t="s">
        <v>625</v>
      </c>
      <c r="B115" s="1" t="s">
        <v>131</v>
      </c>
      <c r="C115" s="1" t="s">
        <v>626</v>
      </c>
      <c r="D115" s="1">
        <v>47</v>
      </c>
      <c r="E115" s="1" t="s">
        <v>54</v>
      </c>
      <c r="F115" s="1" t="s">
        <v>78</v>
      </c>
      <c r="G115" s="1" t="s">
        <v>627</v>
      </c>
      <c r="H115" s="1" t="s">
        <v>628</v>
      </c>
      <c r="I115" s="1" t="s">
        <v>749</v>
      </c>
      <c r="J115" s="24">
        <v>45397</v>
      </c>
      <c r="K115" s="1" t="s">
        <v>750</v>
      </c>
      <c r="L115" s="1" t="s">
        <v>751</v>
      </c>
      <c r="M115" s="1">
        <v>381.73</v>
      </c>
      <c r="N115" s="1">
        <v>4</v>
      </c>
      <c r="O115" s="1" t="s">
        <v>98</v>
      </c>
      <c r="P115" s="1">
        <v>5</v>
      </c>
      <c r="Q115" s="1">
        <v>66</v>
      </c>
      <c r="R115" s="24">
        <v>45400</v>
      </c>
      <c r="S115" s="1" t="s">
        <v>752</v>
      </c>
      <c r="T115" s="4">
        <f>Table1[[#This Row],[Delivery_Date]]-Table1[[#This Row],[Order_Date]]</f>
        <v>3</v>
      </c>
      <c r="U115" s="4">
        <f>Table1[[#This Row],[Price]]*Table1[[#This Row],[Quantity]]</f>
        <v>1526.92</v>
      </c>
      <c r="V115" s="11">
        <f t="shared" si="1"/>
        <v>0.1</v>
      </c>
      <c r="W115" s="4">
        <f>Table1[[#This Row],[Amount]]-(Table1[[#This Row],[Amount]]*Table1[[#This Row],[Discount_Percent]])</f>
        <v>1374.2280000000001</v>
      </c>
      <c r="X115" s="4">
        <f>IF(O115="DEL0", Table1[[#This Row],[Discounted_Amount]],Table1[[#This Row],[Discounted_Amount]]+Table1[[#This Row],[Delivery_Charge]])</f>
        <v>1440.2280000000001</v>
      </c>
      <c r="Y115" s="4" t="str">
        <f>Table1[[#This Row],[First_Name]]&amp;" "&amp;Table1[[#This Row],[Last_Name]]</f>
        <v>Joseph Gaines</v>
      </c>
      <c r="Z115" s="4" t="str">
        <f>IF(T:T&gt;Table1[[#This Row],[Estimated_Days_to_Deliver]],"Late",IF(T:T=Table1[[#This Row],[Estimated_Days_to_Deliver]],"Intime","BeforeTime"))</f>
        <v>BeforeTime</v>
      </c>
      <c r="AA115" s="4">
        <f>MONTH(Table1[[#This Row],[Order_Date]])</f>
        <v>4</v>
      </c>
      <c r="AB115" s="13">
        <f>Table1[[#This Row],[Amount]]*Table1[[#This Row],[Discount_Percent]]</f>
        <v>152.69200000000001</v>
      </c>
    </row>
    <row r="116" spans="1:28" ht="14.25" customHeight="1">
      <c r="A116" s="1" t="s">
        <v>753</v>
      </c>
      <c r="B116" s="1" t="s">
        <v>754</v>
      </c>
      <c r="C116" s="1" t="s">
        <v>755</v>
      </c>
      <c r="D116" s="1">
        <v>43</v>
      </c>
      <c r="E116" s="1" t="s">
        <v>54</v>
      </c>
      <c r="F116" s="1" t="s">
        <v>161</v>
      </c>
      <c r="G116" s="1" t="s">
        <v>756</v>
      </c>
      <c r="H116" s="1" t="s">
        <v>757</v>
      </c>
      <c r="I116" s="1" t="s">
        <v>758</v>
      </c>
      <c r="J116" s="24">
        <v>45276</v>
      </c>
      <c r="K116" s="1" t="s">
        <v>759</v>
      </c>
      <c r="L116" s="1" t="s">
        <v>386</v>
      </c>
      <c r="M116" s="1">
        <v>431.44</v>
      </c>
      <c r="N116" s="1">
        <v>5</v>
      </c>
      <c r="O116" s="1" t="s">
        <v>60</v>
      </c>
      <c r="P116" s="1">
        <v>5</v>
      </c>
      <c r="Q116" s="1">
        <v>42</v>
      </c>
      <c r="R116" s="24">
        <v>45280</v>
      </c>
      <c r="S116" s="1" t="s">
        <v>760</v>
      </c>
      <c r="T116" s="4">
        <f>Table1[[#This Row],[Delivery_Date]]-Table1[[#This Row],[Order_Date]]</f>
        <v>4</v>
      </c>
      <c r="U116" s="4">
        <f>Table1[[#This Row],[Price]]*Table1[[#This Row],[Quantity]]</f>
        <v>2157.1999999999998</v>
      </c>
      <c r="V116" s="11">
        <f t="shared" si="1"/>
        <v>0.15</v>
      </c>
      <c r="W116" s="4">
        <f>Table1[[#This Row],[Amount]]-(Table1[[#This Row],[Amount]]*Table1[[#This Row],[Discount_Percent]])</f>
        <v>1833.62</v>
      </c>
      <c r="X116" s="4">
        <f>IF(O116="DEL0", Table1[[#This Row],[Discounted_Amount]],Table1[[#This Row],[Discounted_Amount]]+Table1[[#This Row],[Delivery_Charge]])</f>
        <v>1875.62</v>
      </c>
      <c r="Y116" s="4" t="str">
        <f>Table1[[#This Row],[First_Name]]&amp;" "&amp;Table1[[#This Row],[Last_Name]]</f>
        <v>Barbara Fuller</v>
      </c>
      <c r="Z116" s="4" t="str">
        <f>IF(T:T&gt;Table1[[#This Row],[Estimated_Days_to_Deliver]],"Late",IF(T:T=Table1[[#This Row],[Estimated_Days_to_Deliver]],"Intime","BeforeTime"))</f>
        <v>BeforeTime</v>
      </c>
      <c r="AA116" s="4">
        <f>MONTH(Table1[[#This Row],[Order_Date]])</f>
        <v>12</v>
      </c>
      <c r="AB116" s="13">
        <f>Table1[[#This Row],[Amount]]*Table1[[#This Row],[Discount_Percent]]</f>
        <v>323.58</v>
      </c>
    </row>
    <row r="117" spans="1:28" ht="14.25" customHeight="1">
      <c r="A117" s="1" t="s">
        <v>538</v>
      </c>
      <c r="B117" s="1" t="s">
        <v>539</v>
      </c>
      <c r="C117" s="1" t="s">
        <v>540</v>
      </c>
      <c r="D117" s="1">
        <v>32</v>
      </c>
      <c r="E117" s="1" t="s">
        <v>54</v>
      </c>
      <c r="F117" s="1" t="s">
        <v>92</v>
      </c>
      <c r="G117" s="1" t="s">
        <v>541</v>
      </c>
      <c r="H117" s="1" t="s">
        <v>542</v>
      </c>
      <c r="I117" s="1" t="s">
        <v>761</v>
      </c>
      <c r="J117" s="24">
        <v>45131</v>
      </c>
      <c r="K117" s="1" t="s">
        <v>762</v>
      </c>
      <c r="L117" s="1" t="s">
        <v>137</v>
      </c>
      <c r="M117" s="1">
        <v>175.93</v>
      </c>
      <c r="N117" s="1">
        <v>5</v>
      </c>
      <c r="O117" s="1" t="s">
        <v>65</v>
      </c>
      <c r="P117" s="1">
        <v>5</v>
      </c>
      <c r="Q117" s="1">
        <v>63</v>
      </c>
      <c r="R117" s="24">
        <v>45138</v>
      </c>
      <c r="S117" s="1" t="s">
        <v>763</v>
      </c>
      <c r="T117" s="4">
        <f>Table1[[#This Row],[Delivery_Date]]-Table1[[#This Row],[Order_Date]]</f>
        <v>7</v>
      </c>
      <c r="U117" s="4">
        <f>Table1[[#This Row],[Price]]*Table1[[#This Row],[Quantity]]</f>
        <v>879.65000000000009</v>
      </c>
      <c r="V117" s="11">
        <f t="shared" si="1"/>
        <v>0</v>
      </c>
      <c r="W117" s="4">
        <f>Table1[[#This Row],[Amount]]-(Table1[[#This Row],[Amount]]*Table1[[#This Row],[Discount_Percent]])</f>
        <v>879.65000000000009</v>
      </c>
      <c r="X117" s="4">
        <f>IF(O117="DEL0", Table1[[#This Row],[Discounted_Amount]],Table1[[#This Row],[Discounted_Amount]]+Table1[[#This Row],[Delivery_Charge]])</f>
        <v>879.65000000000009</v>
      </c>
      <c r="Y117" s="4" t="str">
        <f>Table1[[#This Row],[First_Name]]&amp;" "&amp;Table1[[#This Row],[Last_Name]]</f>
        <v>Brandon Cruz</v>
      </c>
      <c r="Z117" s="4" t="str">
        <f>IF(T:T&gt;Table1[[#This Row],[Estimated_Days_to_Deliver]],"Late",IF(T:T=Table1[[#This Row],[Estimated_Days_to_Deliver]],"Intime","BeforeTime"))</f>
        <v>Late</v>
      </c>
      <c r="AA117" s="4">
        <f>MONTH(Table1[[#This Row],[Order_Date]])</f>
        <v>7</v>
      </c>
      <c r="AB117" s="13">
        <f>Table1[[#This Row],[Amount]]*Table1[[#This Row],[Discount_Percent]]</f>
        <v>0</v>
      </c>
    </row>
    <row r="118" spans="1:28" ht="14.25" customHeight="1">
      <c r="A118" s="1" t="s">
        <v>121</v>
      </c>
      <c r="B118" s="1" t="s">
        <v>122</v>
      </c>
      <c r="C118" s="1" t="s">
        <v>123</v>
      </c>
      <c r="D118" s="1">
        <v>20</v>
      </c>
      <c r="E118" s="1" t="s">
        <v>31</v>
      </c>
      <c r="F118" s="1" t="s">
        <v>92</v>
      </c>
      <c r="G118" s="1" t="s">
        <v>124</v>
      </c>
      <c r="H118" s="1" t="s">
        <v>125</v>
      </c>
      <c r="I118" s="1" t="s">
        <v>764</v>
      </c>
      <c r="J118" s="24">
        <v>45156</v>
      </c>
      <c r="K118" s="1" t="s">
        <v>765</v>
      </c>
      <c r="L118" s="1" t="s">
        <v>59</v>
      </c>
      <c r="M118" s="1">
        <v>202.54</v>
      </c>
      <c r="N118" s="1">
        <v>5</v>
      </c>
      <c r="O118" s="1" t="s">
        <v>38</v>
      </c>
      <c r="P118" s="1">
        <v>5</v>
      </c>
      <c r="Q118" s="1">
        <v>68</v>
      </c>
      <c r="R118" s="24">
        <v>45159</v>
      </c>
      <c r="S118" s="1" t="s">
        <v>766</v>
      </c>
      <c r="T118" s="4">
        <f>Table1[[#This Row],[Delivery_Date]]-Table1[[#This Row],[Order_Date]]</f>
        <v>3</v>
      </c>
      <c r="U118" s="4">
        <f>Table1[[#This Row],[Price]]*Table1[[#This Row],[Quantity]]</f>
        <v>1012.6999999999999</v>
      </c>
      <c r="V118" s="11">
        <f t="shared" si="1"/>
        <v>0.08</v>
      </c>
      <c r="W118" s="4">
        <f>Table1[[#This Row],[Amount]]-(Table1[[#This Row],[Amount]]*Table1[[#This Row],[Discount_Percent]])</f>
        <v>931.68399999999997</v>
      </c>
      <c r="X118" s="4">
        <f>IF(O118="DEL0", Table1[[#This Row],[Discounted_Amount]],Table1[[#This Row],[Discounted_Amount]]+Table1[[#This Row],[Delivery_Charge]])</f>
        <v>999.68399999999997</v>
      </c>
      <c r="Y118" s="4" t="str">
        <f>Table1[[#This Row],[First_Name]]&amp;" "&amp;Table1[[#This Row],[Last_Name]]</f>
        <v>Bobby Forbes</v>
      </c>
      <c r="Z118" s="4" t="str">
        <f>IF(T:T&gt;Table1[[#This Row],[Estimated_Days_to_Deliver]],"Late",IF(T:T=Table1[[#This Row],[Estimated_Days_to_Deliver]],"Intime","BeforeTime"))</f>
        <v>BeforeTime</v>
      </c>
      <c r="AA118" s="4">
        <f>MONTH(Table1[[#This Row],[Order_Date]])</f>
        <v>8</v>
      </c>
      <c r="AB118" s="13">
        <f>Table1[[#This Row],[Amount]]*Table1[[#This Row],[Discount_Percent]]</f>
        <v>81.015999999999991</v>
      </c>
    </row>
    <row r="119" spans="1:28" ht="14.25" customHeight="1">
      <c r="A119" s="1" t="s">
        <v>606</v>
      </c>
      <c r="B119" s="1" t="s">
        <v>607</v>
      </c>
      <c r="C119" s="1" t="s">
        <v>406</v>
      </c>
      <c r="D119" s="1">
        <v>18</v>
      </c>
      <c r="E119" s="1" t="s">
        <v>43</v>
      </c>
      <c r="F119" s="1" t="s">
        <v>44</v>
      </c>
      <c r="G119" s="1" t="s">
        <v>608</v>
      </c>
      <c r="H119" s="1" t="s">
        <v>609</v>
      </c>
      <c r="I119" s="1" t="s">
        <v>767</v>
      </c>
      <c r="J119" s="24">
        <v>45023</v>
      </c>
      <c r="K119" s="1" t="s">
        <v>768</v>
      </c>
      <c r="L119" s="1" t="s">
        <v>128</v>
      </c>
      <c r="M119" s="1">
        <v>257.06</v>
      </c>
      <c r="N119" s="1">
        <v>4</v>
      </c>
      <c r="O119" s="1" t="s">
        <v>98</v>
      </c>
      <c r="P119" s="1">
        <v>5</v>
      </c>
      <c r="Q119" s="1">
        <v>65</v>
      </c>
      <c r="R119" s="24">
        <v>45025</v>
      </c>
      <c r="S119" s="1" t="s">
        <v>769</v>
      </c>
      <c r="T119" s="4">
        <f>Table1[[#This Row],[Delivery_Date]]-Table1[[#This Row],[Order_Date]]</f>
        <v>2</v>
      </c>
      <c r="U119" s="4">
        <f>Table1[[#This Row],[Price]]*Table1[[#This Row],[Quantity]]</f>
        <v>1028.24</v>
      </c>
      <c r="V119" s="11">
        <f t="shared" si="1"/>
        <v>0.1</v>
      </c>
      <c r="W119" s="4">
        <f>Table1[[#This Row],[Amount]]-(Table1[[#This Row],[Amount]]*Table1[[#This Row],[Discount_Percent]])</f>
        <v>925.41599999999994</v>
      </c>
      <c r="X119" s="4">
        <f>IF(O119="DEL0", Table1[[#This Row],[Discounted_Amount]],Table1[[#This Row],[Discounted_Amount]]+Table1[[#This Row],[Delivery_Charge]])</f>
        <v>990.41599999999994</v>
      </c>
      <c r="Y119" s="4" t="str">
        <f>Table1[[#This Row],[First_Name]]&amp;" "&amp;Table1[[#This Row],[Last_Name]]</f>
        <v>Kelli Smith</v>
      </c>
      <c r="Z119" s="4" t="str">
        <f>IF(T:T&gt;Table1[[#This Row],[Estimated_Days_to_Deliver]],"Late",IF(T:T=Table1[[#This Row],[Estimated_Days_to_Deliver]],"Intime","BeforeTime"))</f>
        <v>BeforeTime</v>
      </c>
      <c r="AA119" s="4">
        <f>MONTH(Table1[[#This Row],[Order_Date]])</f>
        <v>4</v>
      </c>
      <c r="AB119" s="13">
        <f>Table1[[#This Row],[Amount]]*Table1[[#This Row],[Discount_Percent]]</f>
        <v>102.82400000000001</v>
      </c>
    </row>
    <row r="120" spans="1:28" ht="14.25" customHeight="1">
      <c r="A120" s="1" t="s">
        <v>770</v>
      </c>
      <c r="B120" s="1" t="s">
        <v>771</v>
      </c>
      <c r="C120" s="1" t="s">
        <v>772</v>
      </c>
      <c r="D120" s="1">
        <v>27</v>
      </c>
      <c r="E120" s="1" t="s">
        <v>31</v>
      </c>
      <c r="F120" s="1" t="s">
        <v>44</v>
      </c>
      <c r="G120" s="1" t="s">
        <v>773</v>
      </c>
      <c r="H120" s="1" t="s">
        <v>774</v>
      </c>
      <c r="I120" s="1" t="s">
        <v>775</v>
      </c>
      <c r="J120" s="24">
        <v>45183</v>
      </c>
      <c r="K120" s="1" t="s">
        <v>776</v>
      </c>
      <c r="L120" s="1" t="s">
        <v>777</v>
      </c>
      <c r="M120" s="1">
        <v>20</v>
      </c>
      <c r="N120" s="1">
        <v>1</v>
      </c>
      <c r="O120" s="1" t="s">
        <v>98</v>
      </c>
      <c r="P120" s="1">
        <v>5</v>
      </c>
      <c r="Q120" s="1">
        <v>68</v>
      </c>
      <c r="R120" s="24">
        <v>45185</v>
      </c>
      <c r="S120" s="1" t="s">
        <v>778</v>
      </c>
      <c r="T120" s="4">
        <f>Table1[[#This Row],[Delivery_Date]]-Table1[[#This Row],[Order_Date]]</f>
        <v>2</v>
      </c>
      <c r="U120" s="4">
        <f>Table1[[#This Row],[Price]]*Table1[[#This Row],[Quantity]]</f>
        <v>20</v>
      </c>
      <c r="V120" s="11">
        <f t="shared" si="1"/>
        <v>0.1</v>
      </c>
      <c r="W120" s="4">
        <f>Table1[[#This Row],[Amount]]-(Table1[[#This Row],[Amount]]*Table1[[#This Row],[Discount_Percent]])</f>
        <v>18</v>
      </c>
      <c r="X120" s="4">
        <f>IF(O120="DEL0", Table1[[#This Row],[Discounted_Amount]],Table1[[#This Row],[Discounted_Amount]]+Table1[[#This Row],[Delivery_Charge]])</f>
        <v>86</v>
      </c>
      <c r="Y120" s="4" t="str">
        <f>Table1[[#This Row],[First_Name]]&amp;" "&amp;Table1[[#This Row],[Last_Name]]</f>
        <v>Kristina Haynes</v>
      </c>
      <c r="Z120" s="4" t="str">
        <f>IF(T:T&gt;Table1[[#This Row],[Estimated_Days_to_Deliver]],"Late",IF(T:T=Table1[[#This Row],[Estimated_Days_to_Deliver]],"Intime","BeforeTime"))</f>
        <v>BeforeTime</v>
      </c>
      <c r="AA120" s="4">
        <f>MONTH(Table1[[#This Row],[Order_Date]])</f>
        <v>9</v>
      </c>
      <c r="AB120" s="13">
        <f>Table1[[#This Row],[Amount]]*Table1[[#This Row],[Discount_Percent]]</f>
        <v>2</v>
      </c>
    </row>
    <row r="121" spans="1:28" ht="14.25" customHeight="1">
      <c r="A121" s="1" t="s">
        <v>779</v>
      </c>
      <c r="B121" s="1" t="s">
        <v>780</v>
      </c>
      <c r="C121" s="1" t="s">
        <v>781</v>
      </c>
      <c r="D121" s="1">
        <v>32</v>
      </c>
      <c r="E121" s="1" t="s">
        <v>31</v>
      </c>
      <c r="F121" s="1" t="s">
        <v>161</v>
      </c>
      <c r="G121" s="1" t="s">
        <v>782</v>
      </c>
      <c r="H121" s="1" t="s">
        <v>783</v>
      </c>
      <c r="I121" s="1" t="s">
        <v>784</v>
      </c>
      <c r="J121" s="24">
        <v>45106</v>
      </c>
      <c r="K121" s="1" t="s">
        <v>785</v>
      </c>
      <c r="L121" s="1" t="s">
        <v>202</v>
      </c>
      <c r="M121" s="1">
        <v>20.7</v>
      </c>
      <c r="N121" s="1">
        <v>2</v>
      </c>
      <c r="O121" s="1" t="s">
        <v>65</v>
      </c>
      <c r="P121" s="1">
        <v>5</v>
      </c>
      <c r="Q121" s="1">
        <v>43</v>
      </c>
      <c r="R121" s="24">
        <v>45107</v>
      </c>
      <c r="S121" s="1" t="s">
        <v>786</v>
      </c>
      <c r="T121" s="4">
        <f>Table1[[#This Row],[Delivery_Date]]-Table1[[#This Row],[Order_Date]]</f>
        <v>1</v>
      </c>
      <c r="U121" s="4">
        <f>Table1[[#This Row],[Price]]*Table1[[#This Row],[Quantity]]</f>
        <v>41.4</v>
      </c>
      <c r="V121" s="11">
        <f t="shared" si="1"/>
        <v>0</v>
      </c>
      <c r="W121" s="4">
        <f>Table1[[#This Row],[Amount]]-(Table1[[#This Row],[Amount]]*Table1[[#This Row],[Discount_Percent]])</f>
        <v>41.4</v>
      </c>
      <c r="X121" s="4">
        <f>IF(O121="DEL0", Table1[[#This Row],[Discounted_Amount]],Table1[[#This Row],[Discounted_Amount]]+Table1[[#This Row],[Delivery_Charge]])</f>
        <v>41.4</v>
      </c>
      <c r="Y121" s="4" t="str">
        <f>Table1[[#This Row],[First_Name]]&amp;" "&amp;Table1[[#This Row],[Last_Name]]</f>
        <v>Lindsey Byrd</v>
      </c>
      <c r="Z121" s="4" t="str">
        <f>IF(T:T&gt;Table1[[#This Row],[Estimated_Days_to_Deliver]],"Late",IF(T:T=Table1[[#This Row],[Estimated_Days_to_Deliver]],"Intime","BeforeTime"))</f>
        <v>BeforeTime</v>
      </c>
      <c r="AA121" s="4">
        <f>MONTH(Table1[[#This Row],[Order_Date]])</f>
        <v>6</v>
      </c>
      <c r="AB121" s="13">
        <f>Table1[[#This Row],[Amount]]*Table1[[#This Row],[Discount_Percent]]</f>
        <v>0</v>
      </c>
    </row>
    <row r="122" spans="1:28" ht="14.25" customHeight="1">
      <c r="A122" s="1" t="s">
        <v>158</v>
      </c>
      <c r="B122" s="1" t="s">
        <v>159</v>
      </c>
      <c r="C122" s="1" t="s">
        <v>160</v>
      </c>
      <c r="D122" s="1">
        <v>24</v>
      </c>
      <c r="E122" s="1" t="s">
        <v>31</v>
      </c>
      <c r="F122" s="1" t="s">
        <v>161</v>
      </c>
      <c r="G122" s="1" t="s">
        <v>162</v>
      </c>
      <c r="H122" s="1" t="s">
        <v>163</v>
      </c>
      <c r="I122" s="1" t="s">
        <v>787</v>
      </c>
      <c r="J122" s="24">
        <v>45003</v>
      </c>
      <c r="K122" s="1" t="s">
        <v>788</v>
      </c>
      <c r="L122" s="1" t="s">
        <v>751</v>
      </c>
      <c r="M122" s="1">
        <v>381.73</v>
      </c>
      <c r="N122" s="1">
        <v>2</v>
      </c>
      <c r="O122" s="1" t="s">
        <v>65</v>
      </c>
      <c r="P122" s="1">
        <v>5</v>
      </c>
      <c r="Q122" s="1">
        <v>41</v>
      </c>
      <c r="R122" s="24">
        <v>45008</v>
      </c>
      <c r="S122" s="1" t="s">
        <v>789</v>
      </c>
      <c r="T122" s="4">
        <f>Table1[[#This Row],[Delivery_Date]]-Table1[[#This Row],[Order_Date]]</f>
        <v>5</v>
      </c>
      <c r="U122" s="4">
        <f>Table1[[#This Row],[Price]]*Table1[[#This Row],[Quantity]]</f>
        <v>763.46</v>
      </c>
      <c r="V122" s="11">
        <f t="shared" si="1"/>
        <v>0</v>
      </c>
      <c r="W122" s="4">
        <f>Table1[[#This Row],[Amount]]-(Table1[[#This Row],[Amount]]*Table1[[#This Row],[Discount_Percent]])</f>
        <v>763.46</v>
      </c>
      <c r="X122" s="4">
        <f>IF(O122="DEL0", Table1[[#This Row],[Discounted_Amount]],Table1[[#This Row],[Discounted_Amount]]+Table1[[#This Row],[Delivery_Charge]])</f>
        <v>763.46</v>
      </c>
      <c r="Y122" s="4" t="str">
        <f>Table1[[#This Row],[First_Name]]&amp;" "&amp;Table1[[#This Row],[Last_Name]]</f>
        <v>Joshua Campbell</v>
      </c>
      <c r="Z122" s="4" t="str">
        <f>IF(T:T&gt;Table1[[#This Row],[Estimated_Days_to_Deliver]],"Late",IF(T:T=Table1[[#This Row],[Estimated_Days_to_Deliver]],"Intime","BeforeTime"))</f>
        <v>Intime</v>
      </c>
      <c r="AA122" s="4">
        <f>MONTH(Table1[[#This Row],[Order_Date]])</f>
        <v>3</v>
      </c>
      <c r="AB122" s="13">
        <f>Table1[[#This Row],[Amount]]*Table1[[#This Row],[Discount_Percent]]</f>
        <v>0</v>
      </c>
    </row>
    <row r="123" spans="1:28" ht="14.25" customHeight="1">
      <c r="A123" s="1" t="s">
        <v>296</v>
      </c>
      <c r="B123" s="1" t="s">
        <v>297</v>
      </c>
      <c r="C123" s="1" t="s">
        <v>298</v>
      </c>
      <c r="D123" s="1">
        <v>48</v>
      </c>
      <c r="E123" s="1" t="s">
        <v>43</v>
      </c>
      <c r="F123" s="1" t="s">
        <v>92</v>
      </c>
      <c r="G123" s="1" t="s">
        <v>299</v>
      </c>
      <c r="H123" s="1" t="s">
        <v>300</v>
      </c>
      <c r="I123" s="1" t="s">
        <v>790</v>
      </c>
      <c r="J123" s="24">
        <v>45499</v>
      </c>
      <c r="K123" s="1" t="s">
        <v>791</v>
      </c>
      <c r="L123" s="1" t="s">
        <v>326</v>
      </c>
      <c r="M123" s="1">
        <v>481.48</v>
      </c>
      <c r="N123" s="1">
        <v>1</v>
      </c>
      <c r="O123" s="1" t="s">
        <v>38</v>
      </c>
      <c r="P123" s="1">
        <v>5</v>
      </c>
      <c r="Q123" s="1">
        <v>69</v>
      </c>
      <c r="R123" s="24">
        <v>45503</v>
      </c>
      <c r="S123" s="1" t="s">
        <v>792</v>
      </c>
      <c r="T123" s="4">
        <f>Table1[[#This Row],[Delivery_Date]]-Table1[[#This Row],[Order_Date]]</f>
        <v>4</v>
      </c>
      <c r="U123" s="4">
        <f>Table1[[#This Row],[Price]]*Table1[[#This Row],[Quantity]]</f>
        <v>481.48</v>
      </c>
      <c r="V123" s="11">
        <f t="shared" si="1"/>
        <v>0.08</v>
      </c>
      <c r="W123" s="4">
        <f>Table1[[#This Row],[Amount]]-(Table1[[#This Row],[Amount]]*Table1[[#This Row],[Discount_Percent]])</f>
        <v>442.96160000000003</v>
      </c>
      <c r="X123" s="4">
        <f>IF(O123="DEL0", Table1[[#This Row],[Discounted_Amount]],Table1[[#This Row],[Discounted_Amount]]+Table1[[#This Row],[Delivery_Charge]])</f>
        <v>511.96160000000003</v>
      </c>
      <c r="Y123" s="4" t="str">
        <f>Table1[[#This Row],[First_Name]]&amp;" "&amp;Table1[[#This Row],[Last_Name]]</f>
        <v>Heather Schneider</v>
      </c>
      <c r="Z123" s="4" t="str">
        <f>IF(T:T&gt;Table1[[#This Row],[Estimated_Days_to_Deliver]],"Late",IF(T:T=Table1[[#This Row],[Estimated_Days_to_Deliver]],"Intime","BeforeTime"))</f>
        <v>BeforeTime</v>
      </c>
      <c r="AA123" s="4">
        <f>MONTH(Table1[[#This Row],[Order_Date]])</f>
        <v>7</v>
      </c>
      <c r="AB123" s="13">
        <f>Table1[[#This Row],[Amount]]*Table1[[#This Row],[Discount_Percent]]</f>
        <v>38.5184</v>
      </c>
    </row>
    <row r="124" spans="1:28" ht="14.25" customHeight="1">
      <c r="A124" s="1" t="s">
        <v>531</v>
      </c>
      <c r="B124" s="1" t="s">
        <v>397</v>
      </c>
      <c r="C124" s="1" t="s">
        <v>532</v>
      </c>
      <c r="D124" s="1">
        <v>51</v>
      </c>
      <c r="E124" s="1" t="s">
        <v>54</v>
      </c>
      <c r="F124" s="1" t="s">
        <v>142</v>
      </c>
      <c r="G124" s="1" t="s">
        <v>533</v>
      </c>
      <c r="H124" s="1" t="s">
        <v>534</v>
      </c>
      <c r="I124" s="1" t="s">
        <v>793</v>
      </c>
      <c r="J124" s="24">
        <v>45335</v>
      </c>
      <c r="K124" s="1" t="s">
        <v>794</v>
      </c>
      <c r="L124" s="1" t="s">
        <v>343</v>
      </c>
      <c r="M124" s="1">
        <v>77.84</v>
      </c>
      <c r="N124" s="1">
        <v>2</v>
      </c>
      <c r="O124" s="1" t="s">
        <v>38</v>
      </c>
      <c r="P124" s="1">
        <v>5</v>
      </c>
      <c r="Q124" s="1">
        <v>36</v>
      </c>
      <c r="R124" s="24">
        <v>45341</v>
      </c>
      <c r="S124" s="1" t="s">
        <v>795</v>
      </c>
      <c r="T124" s="4">
        <f>Table1[[#This Row],[Delivery_Date]]-Table1[[#This Row],[Order_Date]]</f>
        <v>6</v>
      </c>
      <c r="U124" s="4">
        <f>Table1[[#This Row],[Price]]*Table1[[#This Row],[Quantity]]</f>
        <v>155.68</v>
      </c>
      <c r="V124" s="11">
        <f t="shared" si="1"/>
        <v>0.08</v>
      </c>
      <c r="W124" s="4">
        <f>Table1[[#This Row],[Amount]]-(Table1[[#This Row],[Amount]]*Table1[[#This Row],[Discount_Percent]])</f>
        <v>143.22560000000001</v>
      </c>
      <c r="X124" s="4">
        <f>IF(O124="DEL0", Table1[[#This Row],[Discounted_Amount]],Table1[[#This Row],[Discounted_Amount]]+Table1[[#This Row],[Delivery_Charge]])</f>
        <v>179.22560000000001</v>
      </c>
      <c r="Y124" s="4" t="str">
        <f>Table1[[#This Row],[First_Name]]&amp;" "&amp;Table1[[#This Row],[Last_Name]]</f>
        <v>Jason Nguyen</v>
      </c>
      <c r="Z124" s="4" t="str">
        <f>IF(T:T&gt;Table1[[#This Row],[Estimated_Days_to_Deliver]],"Late",IF(T:T=Table1[[#This Row],[Estimated_Days_to_Deliver]],"Intime","BeforeTime"))</f>
        <v>Late</v>
      </c>
      <c r="AA124" s="4">
        <f>MONTH(Table1[[#This Row],[Order_Date]])</f>
        <v>2</v>
      </c>
      <c r="AB124" s="13">
        <f>Table1[[#This Row],[Amount]]*Table1[[#This Row],[Discount_Percent]]</f>
        <v>12.454400000000001</v>
      </c>
    </row>
    <row r="125" spans="1:28" ht="14.25" customHeight="1">
      <c r="A125" s="1" t="s">
        <v>396</v>
      </c>
      <c r="B125" s="1" t="s">
        <v>397</v>
      </c>
      <c r="C125" s="1" t="s">
        <v>398</v>
      </c>
      <c r="D125" s="1">
        <v>40</v>
      </c>
      <c r="E125" s="1" t="s">
        <v>54</v>
      </c>
      <c r="F125" s="1" t="s">
        <v>170</v>
      </c>
      <c r="G125" s="1" t="s">
        <v>399</v>
      </c>
      <c r="H125" s="1" t="s">
        <v>400</v>
      </c>
      <c r="I125" s="1" t="s">
        <v>796</v>
      </c>
      <c r="J125" s="24">
        <v>45186</v>
      </c>
      <c r="K125" s="1" t="s">
        <v>797</v>
      </c>
      <c r="L125" s="1" t="s">
        <v>517</v>
      </c>
      <c r="M125" s="1">
        <v>136.30000000000001</v>
      </c>
      <c r="N125" s="1">
        <v>1</v>
      </c>
      <c r="O125" s="1" t="s">
        <v>87</v>
      </c>
      <c r="P125" s="1">
        <v>5</v>
      </c>
      <c r="Q125" s="1">
        <v>41</v>
      </c>
      <c r="R125" s="24">
        <v>45189</v>
      </c>
      <c r="S125" s="1" t="s">
        <v>798</v>
      </c>
      <c r="T125" s="4">
        <f>Table1[[#This Row],[Delivery_Date]]-Table1[[#This Row],[Order_Date]]</f>
        <v>3</v>
      </c>
      <c r="U125" s="4">
        <f>Table1[[#This Row],[Price]]*Table1[[#This Row],[Quantity]]</f>
        <v>136.30000000000001</v>
      </c>
      <c r="V125" s="11">
        <f t="shared" si="1"/>
        <v>0.2</v>
      </c>
      <c r="W125" s="4">
        <f>Table1[[#This Row],[Amount]]-(Table1[[#This Row],[Amount]]*Table1[[#This Row],[Discount_Percent]])</f>
        <v>109.04</v>
      </c>
      <c r="X125" s="4">
        <f>IF(O125="DEL0", Table1[[#This Row],[Discounted_Amount]],Table1[[#This Row],[Discounted_Amount]]+Table1[[#This Row],[Delivery_Charge]])</f>
        <v>150.04000000000002</v>
      </c>
      <c r="Y125" s="4" t="str">
        <f>Table1[[#This Row],[First_Name]]&amp;" "&amp;Table1[[#This Row],[Last_Name]]</f>
        <v>Jason Lopez</v>
      </c>
      <c r="Z125" s="4" t="str">
        <f>IF(T:T&gt;Table1[[#This Row],[Estimated_Days_to_Deliver]],"Late",IF(T:T=Table1[[#This Row],[Estimated_Days_to_Deliver]],"Intime","BeforeTime"))</f>
        <v>BeforeTime</v>
      </c>
      <c r="AA125" s="4">
        <f>MONTH(Table1[[#This Row],[Order_Date]])</f>
        <v>9</v>
      </c>
      <c r="AB125" s="13">
        <f>Table1[[#This Row],[Amount]]*Table1[[#This Row],[Discount_Percent]]</f>
        <v>27.260000000000005</v>
      </c>
    </row>
    <row r="126" spans="1:28" ht="14.25" customHeight="1">
      <c r="A126" s="1" t="s">
        <v>415</v>
      </c>
      <c r="B126" s="1" t="s">
        <v>231</v>
      </c>
      <c r="C126" s="1" t="s">
        <v>416</v>
      </c>
      <c r="D126" s="1">
        <v>28</v>
      </c>
      <c r="E126" s="1" t="s">
        <v>54</v>
      </c>
      <c r="F126" s="1" t="s">
        <v>142</v>
      </c>
      <c r="G126" s="1" t="s">
        <v>417</v>
      </c>
      <c r="H126" s="1" t="s">
        <v>418</v>
      </c>
      <c r="I126" s="1" t="s">
        <v>799</v>
      </c>
      <c r="J126" s="24">
        <v>45213</v>
      </c>
      <c r="K126" s="1" t="s">
        <v>800</v>
      </c>
      <c r="L126" s="1" t="s">
        <v>689</v>
      </c>
      <c r="M126" s="1">
        <v>424.82</v>
      </c>
      <c r="N126" s="1">
        <v>3</v>
      </c>
      <c r="O126" s="1" t="s">
        <v>38</v>
      </c>
      <c r="P126" s="1">
        <v>5</v>
      </c>
      <c r="Q126" s="1">
        <v>67</v>
      </c>
      <c r="R126" s="24">
        <v>45215</v>
      </c>
      <c r="S126" s="1" t="s">
        <v>801</v>
      </c>
      <c r="T126" s="4">
        <f>Table1[[#This Row],[Delivery_Date]]-Table1[[#This Row],[Order_Date]]</f>
        <v>2</v>
      </c>
      <c r="U126" s="4">
        <f>Table1[[#This Row],[Price]]*Table1[[#This Row],[Quantity]]</f>
        <v>1274.46</v>
      </c>
      <c r="V126" s="11">
        <f t="shared" si="1"/>
        <v>0.08</v>
      </c>
      <c r="W126" s="4">
        <f>Table1[[#This Row],[Amount]]-(Table1[[#This Row],[Amount]]*Table1[[#This Row],[Discount_Percent]])</f>
        <v>1172.5032000000001</v>
      </c>
      <c r="X126" s="4">
        <f>IF(O126="DEL0", Table1[[#This Row],[Discounted_Amount]],Table1[[#This Row],[Discounted_Amount]]+Table1[[#This Row],[Delivery_Charge]])</f>
        <v>1239.5032000000001</v>
      </c>
      <c r="Y126" s="4" t="str">
        <f>Table1[[#This Row],[First_Name]]&amp;" "&amp;Table1[[#This Row],[Last_Name]]</f>
        <v>John Ramirez</v>
      </c>
      <c r="Z126" s="4" t="str">
        <f>IF(T:T&gt;Table1[[#This Row],[Estimated_Days_to_Deliver]],"Late",IF(T:T=Table1[[#This Row],[Estimated_Days_to_Deliver]],"Intime","BeforeTime"))</f>
        <v>BeforeTime</v>
      </c>
      <c r="AA126" s="4">
        <f>MONTH(Table1[[#This Row],[Order_Date]])</f>
        <v>10</v>
      </c>
      <c r="AB126" s="13">
        <f>Table1[[#This Row],[Amount]]*Table1[[#This Row],[Discount_Percent]]</f>
        <v>101.9568</v>
      </c>
    </row>
    <row r="127" spans="1:28" ht="14.25" customHeight="1">
      <c r="A127" s="1" t="s">
        <v>195</v>
      </c>
      <c r="B127" s="1" t="s">
        <v>196</v>
      </c>
      <c r="C127" s="1" t="s">
        <v>197</v>
      </c>
      <c r="D127" s="1">
        <v>34</v>
      </c>
      <c r="E127" s="1" t="s">
        <v>31</v>
      </c>
      <c r="F127" s="1" t="s">
        <v>92</v>
      </c>
      <c r="G127" s="1" t="s">
        <v>198</v>
      </c>
      <c r="H127" s="1" t="s">
        <v>199</v>
      </c>
      <c r="I127" s="1" t="s">
        <v>802</v>
      </c>
      <c r="J127" s="24">
        <v>45667</v>
      </c>
      <c r="K127" s="1" t="s">
        <v>803</v>
      </c>
      <c r="L127" s="1" t="s">
        <v>517</v>
      </c>
      <c r="M127" s="1">
        <v>136.30000000000001</v>
      </c>
      <c r="N127" s="1">
        <v>2</v>
      </c>
      <c r="O127" s="1" t="s">
        <v>98</v>
      </c>
      <c r="P127" s="1">
        <v>5</v>
      </c>
      <c r="Q127" s="1">
        <v>68</v>
      </c>
      <c r="R127" s="24">
        <v>45674</v>
      </c>
      <c r="S127" s="1" t="s">
        <v>804</v>
      </c>
      <c r="T127" s="4">
        <f>Table1[[#This Row],[Delivery_Date]]-Table1[[#This Row],[Order_Date]]</f>
        <v>7</v>
      </c>
      <c r="U127" s="4">
        <f>Table1[[#This Row],[Price]]*Table1[[#This Row],[Quantity]]</f>
        <v>272.60000000000002</v>
      </c>
      <c r="V127" s="11">
        <f t="shared" si="1"/>
        <v>0.1</v>
      </c>
      <c r="W127" s="4">
        <f>Table1[[#This Row],[Amount]]-(Table1[[#This Row],[Amount]]*Table1[[#This Row],[Discount_Percent]])</f>
        <v>245.34000000000003</v>
      </c>
      <c r="X127" s="4">
        <f>IF(O127="DEL0", Table1[[#This Row],[Discounted_Amount]],Table1[[#This Row],[Discounted_Amount]]+Table1[[#This Row],[Delivery_Charge]])</f>
        <v>313.34000000000003</v>
      </c>
      <c r="Y127" s="4" t="str">
        <f>Table1[[#This Row],[First_Name]]&amp;" "&amp;Table1[[#This Row],[Last_Name]]</f>
        <v>Traci Jones</v>
      </c>
      <c r="Z127" s="4" t="str">
        <f>IF(T:T&gt;Table1[[#This Row],[Estimated_Days_to_Deliver]],"Late",IF(T:T=Table1[[#This Row],[Estimated_Days_to_Deliver]],"Intime","BeforeTime"))</f>
        <v>Late</v>
      </c>
      <c r="AA127" s="4">
        <f>MONTH(Table1[[#This Row],[Order_Date]])</f>
        <v>1</v>
      </c>
      <c r="AB127" s="13">
        <f>Table1[[#This Row],[Amount]]*Table1[[#This Row],[Discount_Percent]]</f>
        <v>27.260000000000005</v>
      </c>
    </row>
    <row r="128" spans="1:28" ht="14.25" customHeight="1">
      <c r="A128" s="1" t="s">
        <v>149</v>
      </c>
      <c r="B128" s="1" t="s">
        <v>150</v>
      </c>
      <c r="C128" s="1" t="s">
        <v>151</v>
      </c>
      <c r="D128" s="1">
        <v>44</v>
      </c>
      <c r="E128" s="1" t="s">
        <v>43</v>
      </c>
      <c r="F128" s="1" t="s">
        <v>92</v>
      </c>
      <c r="G128" s="1" t="s">
        <v>152</v>
      </c>
      <c r="H128" s="1" t="s">
        <v>153</v>
      </c>
      <c r="I128" s="1" t="s">
        <v>805</v>
      </c>
      <c r="J128" s="24">
        <v>45636</v>
      </c>
      <c r="K128" s="1" t="s">
        <v>806</v>
      </c>
      <c r="L128" s="1" t="s">
        <v>386</v>
      </c>
      <c r="M128" s="1">
        <v>431.44</v>
      </c>
      <c r="N128" s="1">
        <v>4</v>
      </c>
      <c r="O128" s="1" t="s">
        <v>60</v>
      </c>
      <c r="P128" s="1">
        <v>5</v>
      </c>
      <c r="Q128" s="1">
        <v>66</v>
      </c>
      <c r="R128" s="24">
        <v>45637</v>
      </c>
      <c r="S128" s="1" t="s">
        <v>807</v>
      </c>
      <c r="T128" s="4">
        <f>Table1[[#This Row],[Delivery_Date]]-Table1[[#This Row],[Order_Date]]</f>
        <v>1</v>
      </c>
      <c r="U128" s="4">
        <f>Table1[[#This Row],[Price]]*Table1[[#This Row],[Quantity]]</f>
        <v>1725.76</v>
      </c>
      <c r="V128" s="11">
        <f t="shared" si="1"/>
        <v>0.15</v>
      </c>
      <c r="W128" s="4">
        <f>Table1[[#This Row],[Amount]]-(Table1[[#This Row],[Amount]]*Table1[[#This Row],[Discount_Percent]])</f>
        <v>1466.896</v>
      </c>
      <c r="X128" s="4">
        <f>IF(O128="DEL0", Table1[[#This Row],[Discounted_Amount]],Table1[[#This Row],[Discounted_Amount]]+Table1[[#This Row],[Delivery_Charge]])</f>
        <v>1532.896</v>
      </c>
      <c r="Y128" s="4" t="str">
        <f>Table1[[#This Row],[First_Name]]&amp;" "&amp;Table1[[#This Row],[Last_Name]]</f>
        <v>Amy Reid</v>
      </c>
      <c r="Z128" s="4" t="str">
        <f>IF(T:T&gt;Table1[[#This Row],[Estimated_Days_to_Deliver]],"Late",IF(T:T=Table1[[#This Row],[Estimated_Days_to_Deliver]],"Intime","BeforeTime"))</f>
        <v>BeforeTime</v>
      </c>
      <c r="AA128" s="4">
        <f>MONTH(Table1[[#This Row],[Order_Date]])</f>
        <v>12</v>
      </c>
      <c r="AB128" s="13">
        <f>Table1[[#This Row],[Amount]]*Table1[[#This Row],[Discount_Percent]]</f>
        <v>258.86399999999998</v>
      </c>
    </row>
    <row r="129" spans="1:28" ht="14.25" customHeight="1">
      <c r="A129" s="1" t="s">
        <v>708</v>
      </c>
      <c r="B129" s="1" t="s">
        <v>709</v>
      </c>
      <c r="C129" s="1" t="s">
        <v>710</v>
      </c>
      <c r="D129" s="1">
        <v>26</v>
      </c>
      <c r="E129" s="1" t="s">
        <v>54</v>
      </c>
      <c r="F129" s="1" t="s">
        <v>78</v>
      </c>
      <c r="G129" s="1" t="s">
        <v>711</v>
      </c>
      <c r="H129" s="1" t="s">
        <v>712</v>
      </c>
      <c r="I129" s="1" t="s">
        <v>808</v>
      </c>
      <c r="J129" s="24">
        <v>45450</v>
      </c>
      <c r="K129" s="1" t="s">
        <v>809</v>
      </c>
      <c r="L129" s="1" t="s">
        <v>237</v>
      </c>
      <c r="M129" s="1">
        <v>132.97</v>
      </c>
      <c r="N129" s="1">
        <v>5</v>
      </c>
      <c r="O129" s="1" t="s">
        <v>87</v>
      </c>
      <c r="P129" s="1">
        <v>5</v>
      </c>
      <c r="Q129" s="1">
        <v>45</v>
      </c>
      <c r="R129" s="24">
        <v>45452</v>
      </c>
      <c r="S129" s="1" t="s">
        <v>810</v>
      </c>
      <c r="T129" s="4">
        <f>Table1[[#This Row],[Delivery_Date]]-Table1[[#This Row],[Order_Date]]</f>
        <v>2</v>
      </c>
      <c r="U129" s="4">
        <f>Table1[[#This Row],[Price]]*Table1[[#This Row],[Quantity]]</f>
        <v>664.85</v>
      </c>
      <c r="V129" s="11">
        <f t="shared" si="1"/>
        <v>0.2</v>
      </c>
      <c r="W129" s="4">
        <f>Table1[[#This Row],[Amount]]-(Table1[[#This Row],[Amount]]*Table1[[#This Row],[Discount_Percent]])</f>
        <v>531.88</v>
      </c>
      <c r="X129" s="4">
        <f>IF(O129="DEL0", Table1[[#This Row],[Discounted_Amount]],Table1[[#This Row],[Discounted_Amount]]+Table1[[#This Row],[Delivery_Charge]])</f>
        <v>576.88</v>
      </c>
      <c r="Y129" s="4" t="str">
        <f>Table1[[#This Row],[First_Name]]&amp;" "&amp;Table1[[#This Row],[Last_Name]]</f>
        <v>Gregory Lee</v>
      </c>
      <c r="Z129" s="4" t="str">
        <f>IF(T:T&gt;Table1[[#This Row],[Estimated_Days_to_Deliver]],"Late",IF(T:T=Table1[[#This Row],[Estimated_Days_to_Deliver]],"Intime","BeforeTime"))</f>
        <v>BeforeTime</v>
      </c>
      <c r="AA129" s="4">
        <f>MONTH(Table1[[#This Row],[Order_Date]])</f>
        <v>6</v>
      </c>
      <c r="AB129" s="13">
        <f>Table1[[#This Row],[Amount]]*Table1[[#This Row],[Discount_Percent]]</f>
        <v>132.97</v>
      </c>
    </row>
    <row r="130" spans="1:28" ht="14.25" customHeight="1">
      <c r="A130" s="1" t="s">
        <v>531</v>
      </c>
      <c r="B130" s="1" t="s">
        <v>397</v>
      </c>
      <c r="C130" s="1" t="s">
        <v>532</v>
      </c>
      <c r="D130" s="1">
        <v>51</v>
      </c>
      <c r="E130" s="1" t="s">
        <v>54</v>
      </c>
      <c r="F130" s="1" t="s">
        <v>142</v>
      </c>
      <c r="G130" s="1" t="s">
        <v>533</v>
      </c>
      <c r="H130" s="1" t="s">
        <v>534</v>
      </c>
      <c r="I130" s="1" t="s">
        <v>811</v>
      </c>
      <c r="J130" s="24">
        <v>45598</v>
      </c>
      <c r="K130" s="1" t="s">
        <v>812</v>
      </c>
      <c r="L130" s="1" t="s">
        <v>175</v>
      </c>
      <c r="M130" s="1">
        <v>272.51</v>
      </c>
      <c r="N130" s="1">
        <v>4</v>
      </c>
      <c r="O130" s="1" t="s">
        <v>65</v>
      </c>
      <c r="P130" s="1">
        <v>5</v>
      </c>
      <c r="Q130" s="1">
        <v>42</v>
      </c>
      <c r="R130" s="24">
        <v>45599</v>
      </c>
      <c r="S130" s="1" t="s">
        <v>813</v>
      </c>
      <c r="T130" s="4">
        <f>Table1[[#This Row],[Delivery_Date]]-Table1[[#This Row],[Order_Date]]</f>
        <v>1</v>
      </c>
      <c r="U130" s="4">
        <f>Table1[[#This Row],[Price]]*Table1[[#This Row],[Quantity]]</f>
        <v>1090.04</v>
      </c>
      <c r="V130" s="11">
        <f t="shared" ref="V130:V193" si="2">IF(O130="FLAT8",8%,IF(O130="FLAT10",10%,IF(O130="FLAT15",15%,IF(O130="FLAT20",20%,0))))</f>
        <v>0</v>
      </c>
      <c r="W130" s="4">
        <f>Table1[[#This Row],[Amount]]-(Table1[[#This Row],[Amount]]*Table1[[#This Row],[Discount_Percent]])</f>
        <v>1090.04</v>
      </c>
      <c r="X130" s="4">
        <f>IF(O130="DEL0", Table1[[#This Row],[Discounted_Amount]],Table1[[#This Row],[Discounted_Amount]]+Table1[[#This Row],[Delivery_Charge]])</f>
        <v>1090.04</v>
      </c>
      <c r="Y130" s="4" t="str">
        <f>Table1[[#This Row],[First_Name]]&amp;" "&amp;Table1[[#This Row],[Last_Name]]</f>
        <v>Jason Nguyen</v>
      </c>
      <c r="Z130" s="4" t="str">
        <f>IF(T:T&gt;Table1[[#This Row],[Estimated_Days_to_Deliver]],"Late",IF(T:T=Table1[[#This Row],[Estimated_Days_to_Deliver]],"Intime","BeforeTime"))</f>
        <v>BeforeTime</v>
      </c>
      <c r="AA130" s="4">
        <f>MONTH(Table1[[#This Row],[Order_Date]])</f>
        <v>11</v>
      </c>
      <c r="AB130" s="13">
        <f>Table1[[#This Row],[Amount]]*Table1[[#This Row],[Discount_Percent]]</f>
        <v>0</v>
      </c>
    </row>
    <row r="131" spans="1:28" ht="14.25" customHeight="1">
      <c r="A131" s="1" t="s">
        <v>40</v>
      </c>
      <c r="B131" s="1" t="s">
        <v>41</v>
      </c>
      <c r="C131" s="1" t="s">
        <v>42</v>
      </c>
      <c r="D131" s="1">
        <v>53</v>
      </c>
      <c r="E131" s="1" t="s">
        <v>43</v>
      </c>
      <c r="F131" s="1" t="s">
        <v>44</v>
      </c>
      <c r="G131" s="1" t="s">
        <v>45</v>
      </c>
      <c r="H131" s="1" t="s">
        <v>46</v>
      </c>
      <c r="I131" s="1" t="s">
        <v>814</v>
      </c>
      <c r="J131" s="24">
        <v>45589</v>
      </c>
      <c r="K131" s="1" t="s">
        <v>815</v>
      </c>
      <c r="L131" s="1" t="s">
        <v>59</v>
      </c>
      <c r="M131" s="1">
        <v>202.54</v>
      </c>
      <c r="N131" s="1">
        <v>2</v>
      </c>
      <c r="O131" s="1" t="s">
        <v>87</v>
      </c>
      <c r="P131" s="1">
        <v>5</v>
      </c>
      <c r="Q131" s="1">
        <v>70</v>
      </c>
      <c r="R131" s="24">
        <v>45594</v>
      </c>
      <c r="S131" s="1" t="s">
        <v>816</v>
      </c>
      <c r="T131" s="4">
        <f>Table1[[#This Row],[Delivery_Date]]-Table1[[#This Row],[Order_Date]]</f>
        <v>5</v>
      </c>
      <c r="U131" s="4">
        <f>Table1[[#This Row],[Price]]*Table1[[#This Row],[Quantity]]</f>
        <v>405.08</v>
      </c>
      <c r="V131" s="11">
        <f t="shared" si="2"/>
        <v>0.2</v>
      </c>
      <c r="W131" s="4">
        <f>Table1[[#This Row],[Amount]]-(Table1[[#This Row],[Amount]]*Table1[[#This Row],[Discount_Percent]])</f>
        <v>324.06399999999996</v>
      </c>
      <c r="X131" s="4">
        <f>IF(O131="DEL0", Table1[[#This Row],[Discounted_Amount]],Table1[[#This Row],[Discounted_Amount]]+Table1[[#This Row],[Delivery_Charge]])</f>
        <v>394.06399999999996</v>
      </c>
      <c r="Y131" s="4" t="str">
        <f>Table1[[#This Row],[First_Name]]&amp;" "&amp;Table1[[#This Row],[Last_Name]]</f>
        <v>Anthony Thomas</v>
      </c>
      <c r="Z131" s="4" t="str">
        <f>IF(T:T&gt;Table1[[#This Row],[Estimated_Days_to_Deliver]],"Late",IF(T:T=Table1[[#This Row],[Estimated_Days_to_Deliver]],"Intime","BeforeTime"))</f>
        <v>Intime</v>
      </c>
      <c r="AA131" s="4">
        <f>MONTH(Table1[[#This Row],[Order_Date]])</f>
        <v>10</v>
      </c>
      <c r="AB131" s="13">
        <f>Table1[[#This Row],[Amount]]*Table1[[#This Row],[Discount_Percent]]</f>
        <v>81.016000000000005</v>
      </c>
    </row>
    <row r="132" spans="1:28" ht="14.25" customHeight="1">
      <c r="A132" s="1" t="s">
        <v>100</v>
      </c>
      <c r="B132" s="1" t="s">
        <v>101</v>
      </c>
      <c r="C132" s="1" t="s">
        <v>102</v>
      </c>
      <c r="D132" s="1">
        <v>39</v>
      </c>
      <c r="E132" s="1" t="s">
        <v>31</v>
      </c>
      <c r="F132" s="1" t="s">
        <v>32</v>
      </c>
      <c r="G132" s="1" t="s">
        <v>103</v>
      </c>
      <c r="H132" s="1" t="s">
        <v>104</v>
      </c>
      <c r="I132" s="1" t="s">
        <v>817</v>
      </c>
      <c r="J132" s="24">
        <v>45689</v>
      </c>
      <c r="K132" s="1" t="s">
        <v>818</v>
      </c>
      <c r="L132" s="1" t="s">
        <v>517</v>
      </c>
      <c r="M132" s="1">
        <v>136.30000000000001</v>
      </c>
      <c r="N132" s="1">
        <v>2</v>
      </c>
      <c r="O132" s="1" t="s">
        <v>98</v>
      </c>
      <c r="P132" s="1">
        <v>5</v>
      </c>
      <c r="Q132" s="1">
        <v>51</v>
      </c>
      <c r="R132" s="24">
        <v>45694</v>
      </c>
      <c r="S132" s="1" t="s">
        <v>819</v>
      </c>
      <c r="T132" s="4">
        <f>Table1[[#This Row],[Delivery_Date]]-Table1[[#This Row],[Order_Date]]</f>
        <v>5</v>
      </c>
      <c r="U132" s="4">
        <f>Table1[[#This Row],[Price]]*Table1[[#This Row],[Quantity]]</f>
        <v>272.60000000000002</v>
      </c>
      <c r="V132" s="11">
        <f t="shared" si="2"/>
        <v>0.1</v>
      </c>
      <c r="W132" s="4">
        <f>Table1[[#This Row],[Amount]]-(Table1[[#This Row],[Amount]]*Table1[[#This Row],[Discount_Percent]])</f>
        <v>245.34000000000003</v>
      </c>
      <c r="X132" s="4">
        <f>IF(O132="DEL0", Table1[[#This Row],[Discounted_Amount]],Table1[[#This Row],[Discounted_Amount]]+Table1[[#This Row],[Delivery_Charge]])</f>
        <v>296.34000000000003</v>
      </c>
      <c r="Y132" s="4" t="str">
        <f>Table1[[#This Row],[First_Name]]&amp;" "&amp;Table1[[#This Row],[Last_Name]]</f>
        <v>Marcus Valenzuela</v>
      </c>
      <c r="Z132" s="4" t="str">
        <f>IF(T:T&gt;Table1[[#This Row],[Estimated_Days_to_Deliver]],"Late",IF(T:T=Table1[[#This Row],[Estimated_Days_to_Deliver]],"Intime","BeforeTime"))</f>
        <v>Intime</v>
      </c>
      <c r="AA132" s="4">
        <f>MONTH(Table1[[#This Row],[Order_Date]])</f>
        <v>2</v>
      </c>
      <c r="AB132" s="13">
        <f>Table1[[#This Row],[Amount]]*Table1[[#This Row],[Discount_Percent]]</f>
        <v>27.260000000000005</v>
      </c>
    </row>
    <row r="133" spans="1:28" ht="14.25" customHeight="1">
      <c r="A133" s="1" t="s">
        <v>230</v>
      </c>
      <c r="B133" s="1" t="s">
        <v>231</v>
      </c>
      <c r="C133" s="1" t="s">
        <v>232</v>
      </c>
      <c r="D133" s="1">
        <v>64</v>
      </c>
      <c r="E133" s="1" t="s">
        <v>43</v>
      </c>
      <c r="F133" s="1" t="s">
        <v>44</v>
      </c>
      <c r="G133" s="1" t="s">
        <v>233</v>
      </c>
      <c r="H133" s="1" t="s">
        <v>234</v>
      </c>
      <c r="I133" s="1" t="s">
        <v>820</v>
      </c>
      <c r="J133" s="24">
        <v>45094</v>
      </c>
      <c r="K133" s="1" t="s">
        <v>821</v>
      </c>
      <c r="L133" s="1" t="s">
        <v>593</v>
      </c>
      <c r="M133" s="1">
        <v>403.03</v>
      </c>
      <c r="N133" s="1">
        <v>5</v>
      </c>
      <c r="O133" s="1" t="s">
        <v>65</v>
      </c>
      <c r="P133" s="1">
        <v>5</v>
      </c>
      <c r="Q133" s="1">
        <v>52</v>
      </c>
      <c r="R133" s="24">
        <v>45097</v>
      </c>
      <c r="S133" s="1" t="s">
        <v>822</v>
      </c>
      <c r="T133" s="4">
        <f>Table1[[#This Row],[Delivery_Date]]-Table1[[#This Row],[Order_Date]]</f>
        <v>3</v>
      </c>
      <c r="U133" s="4">
        <f>Table1[[#This Row],[Price]]*Table1[[#This Row],[Quantity]]</f>
        <v>2015.1499999999999</v>
      </c>
      <c r="V133" s="11">
        <f t="shared" si="2"/>
        <v>0</v>
      </c>
      <c r="W133" s="4">
        <f>Table1[[#This Row],[Amount]]-(Table1[[#This Row],[Amount]]*Table1[[#This Row],[Discount_Percent]])</f>
        <v>2015.1499999999999</v>
      </c>
      <c r="X133" s="4">
        <f>IF(O133="DEL0", Table1[[#This Row],[Discounted_Amount]],Table1[[#This Row],[Discounted_Amount]]+Table1[[#This Row],[Delivery_Charge]])</f>
        <v>2015.1499999999999</v>
      </c>
      <c r="Y133" s="4" t="str">
        <f>Table1[[#This Row],[First_Name]]&amp;" "&amp;Table1[[#This Row],[Last_Name]]</f>
        <v>John Herrera</v>
      </c>
      <c r="Z133" s="4" t="str">
        <f>IF(T:T&gt;Table1[[#This Row],[Estimated_Days_to_Deliver]],"Late",IF(T:T=Table1[[#This Row],[Estimated_Days_to_Deliver]],"Intime","BeforeTime"))</f>
        <v>BeforeTime</v>
      </c>
      <c r="AA133" s="4">
        <f>MONTH(Table1[[#This Row],[Order_Date]])</f>
        <v>6</v>
      </c>
      <c r="AB133" s="13">
        <f>Table1[[#This Row],[Amount]]*Table1[[#This Row],[Discount_Percent]]</f>
        <v>0</v>
      </c>
    </row>
    <row r="134" spans="1:28" ht="14.25" customHeight="1">
      <c r="A134" s="1" t="s">
        <v>352</v>
      </c>
      <c r="B134" s="1" t="s">
        <v>353</v>
      </c>
      <c r="C134" s="1" t="s">
        <v>354</v>
      </c>
      <c r="D134" s="1">
        <v>70</v>
      </c>
      <c r="E134" s="1" t="s">
        <v>31</v>
      </c>
      <c r="F134" s="1" t="s">
        <v>170</v>
      </c>
      <c r="G134" s="1" t="s">
        <v>355</v>
      </c>
      <c r="H134" s="1" t="s">
        <v>356</v>
      </c>
      <c r="I134" s="1" t="s">
        <v>823</v>
      </c>
      <c r="J134" s="24">
        <v>45281</v>
      </c>
      <c r="K134" s="1" t="s">
        <v>824</v>
      </c>
      <c r="L134" s="1" t="s">
        <v>593</v>
      </c>
      <c r="M134" s="1">
        <v>403.03</v>
      </c>
      <c r="N134" s="1">
        <v>4</v>
      </c>
      <c r="O134" s="1" t="s">
        <v>98</v>
      </c>
      <c r="P134" s="1">
        <v>5</v>
      </c>
      <c r="Q134" s="1">
        <v>47</v>
      </c>
      <c r="R134" s="24">
        <v>45283</v>
      </c>
      <c r="S134" s="1" t="s">
        <v>825</v>
      </c>
      <c r="T134" s="4">
        <f>Table1[[#This Row],[Delivery_Date]]-Table1[[#This Row],[Order_Date]]</f>
        <v>2</v>
      </c>
      <c r="U134" s="4">
        <f>Table1[[#This Row],[Price]]*Table1[[#This Row],[Quantity]]</f>
        <v>1612.12</v>
      </c>
      <c r="V134" s="11">
        <f t="shared" si="2"/>
        <v>0.1</v>
      </c>
      <c r="W134" s="4">
        <f>Table1[[#This Row],[Amount]]-(Table1[[#This Row],[Amount]]*Table1[[#This Row],[Discount_Percent]])</f>
        <v>1450.9079999999999</v>
      </c>
      <c r="X134" s="4">
        <f>IF(O134="DEL0", Table1[[#This Row],[Discounted_Amount]],Table1[[#This Row],[Discounted_Amount]]+Table1[[#This Row],[Delivery_Charge]])</f>
        <v>1497.9079999999999</v>
      </c>
      <c r="Y134" s="4" t="str">
        <f>Table1[[#This Row],[First_Name]]&amp;" "&amp;Table1[[#This Row],[Last_Name]]</f>
        <v>Donna Oneill</v>
      </c>
      <c r="Z134" s="4" t="str">
        <f>IF(T:T&gt;Table1[[#This Row],[Estimated_Days_to_Deliver]],"Late",IF(T:T=Table1[[#This Row],[Estimated_Days_to_Deliver]],"Intime","BeforeTime"))</f>
        <v>BeforeTime</v>
      </c>
      <c r="AA134" s="4">
        <f>MONTH(Table1[[#This Row],[Order_Date]])</f>
        <v>12</v>
      </c>
      <c r="AB134" s="13">
        <f>Table1[[#This Row],[Amount]]*Table1[[#This Row],[Discount_Percent]]</f>
        <v>161.21199999999999</v>
      </c>
    </row>
    <row r="135" spans="1:28" ht="14.25" customHeight="1">
      <c r="A135" s="1" t="s">
        <v>826</v>
      </c>
      <c r="B135" s="1" t="s">
        <v>827</v>
      </c>
      <c r="C135" s="1" t="s">
        <v>828</v>
      </c>
      <c r="D135" s="1">
        <v>42</v>
      </c>
      <c r="E135" s="1" t="s">
        <v>31</v>
      </c>
      <c r="F135" s="1" t="s">
        <v>78</v>
      </c>
      <c r="G135" s="1" t="s">
        <v>829</v>
      </c>
      <c r="H135" s="1" t="s">
        <v>830</v>
      </c>
      <c r="I135" s="1" t="s">
        <v>831</v>
      </c>
      <c r="J135" s="24">
        <v>44979</v>
      </c>
      <c r="K135" s="1" t="s">
        <v>832</v>
      </c>
      <c r="L135" s="1" t="s">
        <v>147</v>
      </c>
      <c r="M135" s="1">
        <v>190.1</v>
      </c>
      <c r="N135" s="1">
        <v>5</v>
      </c>
      <c r="O135" s="1" t="s">
        <v>87</v>
      </c>
      <c r="P135" s="1">
        <v>5</v>
      </c>
      <c r="Q135" s="1">
        <v>37</v>
      </c>
      <c r="R135" s="24">
        <v>44984</v>
      </c>
      <c r="S135" s="1" t="s">
        <v>833</v>
      </c>
      <c r="T135" s="4">
        <f>Table1[[#This Row],[Delivery_Date]]-Table1[[#This Row],[Order_Date]]</f>
        <v>5</v>
      </c>
      <c r="U135" s="4">
        <f>Table1[[#This Row],[Price]]*Table1[[#This Row],[Quantity]]</f>
        <v>950.5</v>
      </c>
      <c r="V135" s="11">
        <f t="shared" si="2"/>
        <v>0.2</v>
      </c>
      <c r="W135" s="4">
        <f>Table1[[#This Row],[Amount]]-(Table1[[#This Row],[Amount]]*Table1[[#This Row],[Discount_Percent]])</f>
        <v>760.4</v>
      </c>
      <c r="X135" s="4">
        <f>IF(O135="DEL0", Table1[[#This Row],[Discounted_Amount]],Table1[[#This Row],[Discounted_Amount]]+Table1[[#This Row],[Delivery_Charge]])</f>
        <v>797.4</v>
      </c>
      <c r="Y135" s="4" t="str">
        <f>Table1[[#This Row],[First_Name]]&amp;" "&amp;Table1[[#This Row],[Last_Name]]</f>
        <v>Edward Black</v>
      </c>
      <c r="Z135" s="4" t="str">
        <f>IF(T:T&gt;Table1[[#This Row],[Estimated_Days_to_Deliver]],"Late",IF(T:T=Table1[[#This Row],[Estimated_Days_to_Deliver]],"Intime","BeforeTime"))</f>
        <v>Intime</v>
      </c>
      <c r="AA135" s="4">
        <f>MONTH(Table1[[#This Row],[Order_Date]])</f>
        <v>2</v>
      </c>
      <c r="AB135" s="13">
        <f>Table1[[#This Row],[Amount]]*Table1[[#This Row],[Discount_Percent]]</f>
        <v>190.10000000000002</v>
      </c>
    </row>
    <row r="136" spans="1:28" ht="14.25" customHeight="1">
      <c r="A136" s="1" t="s">
        <v>834</v>
      </c>
      <c r="B136" s="1" t="s">
        <v>835</v>
      </c>
      <c r="C136" s="1" t="s">
        <v>836</v>
      </c>
      <c r="D136" s="1">
        <v>60</v>
      </c>
      <c r="E136" s="1" t="s">
        <v>31</v>
      </c>
      <c r="F136" s="1" t="s">
        <v>142</v>
      </c>
      <c r="G136" s="1" t="s">
        <v>837</v>
      </c>
      <c r="H136" s="1" t="s">
        <v>838</v>
      </c>
      <c r="I136" s="1" t="s">
        <v>839</v>
      </c>
      <c r="J136" s="24">
        <v>45663</v>
      </c>
      <c r="K136" s="1" t="s">
        <v>840</v>
      </c>
      <c r="L136" s="1" t="s">
        <v>517</v>
      </c>
      <c r="M136" s="1">
        <v>136.30000000000001</v>
      </c>
      <c r="N136" s="1">
        <v>4</v>
      </c>
      <c r="O136" s="1" t="s">
        <v>65</v>
      </c>
      <c r="P136" s="1">
        <v>5</v>
      </c>
      <c r="Q136" s="1">
        <v>61</v>
      </c>
      <c r="R136" s="24">
        <v>45668</v>
      </c>
      <c r="S136" s="1" t="s">
        <v>841</v>
      </c>
      <c r="T136" s="4">
        <f>Table1[[#This Row],[Delivery_Date]]-Table1[[#This Row],[Order_Date]]</f>
        <v>5</v>
      </c>
      <c r="U136" s="4">
        <f>Table1[[#This Row],[Price]]*Table1[[#This Row],[Quantity]]</f>
        <v>545.20000000000005</v>
      </c>
      <c r="V136" s="11">
        <f t="shared" si="2"/>
        <v>0</v>
      </c>
      <c r="W136" s="4">
        <f>Table1[[#This Row],[Amount]]-(Table1[[#This Row],[Amount]]*Table1[[#This Row],[Discount_Percent]])</f>
        <v>545.20000000000005</v>
      </c>
      <c r="X136" s="4">
        <f>IF(O136="DEL0", Table1[[#This Row],[Discounted_Amount]],Table1[[#This Row],[Discounted_Amount]]+Table1[[#This Row],[Delivery_Charge]])</f>
        <v>545.20000000000005</v>
      </c>
      <c r="Y136" s="4" t="str">
        <f>Table1[[#This Row],[First_Name]]&amp;" "&amp;Table1[[#This Row],[Last_Name]]</f>
        <v>James Brown</v>
      </c>
      <c r="Z136" s="4" t="str">
        <f>IF(T:T&gt;Table1[[#This Row],[Estimated_Days_to_Deliver]],"Late",IF(T:T=Table1[[#This Row],[Estimated_Days_to_Deliver]],"Intime","BeforeTime"))</f>
        <v>Intime</v>
      </c>
      <c r="AA136" s="4">
        <f>MONTH(Table1[[#This Row],[Order_Date]])</f>
        <v>1</v>
      </c>
      <c r="AB136" s="13">
        <f>Table1[[#This Row],[Amount]]*Table1[[#This Row],[Discount_Percent]]</f>
        <v>0</v>
      </c>
    </row>
    <row r="137" spans="1:28" ht="14.25" customHeight="1">
      <c r="A137" s="1" t="s">
        <v>842</v>
      </c>
      <c r="B137" s="1" t="s">
        <v>843</v>
      </c>
      <c r="C137" s="1" t="s">
        <v>844</v>
      </c>
      <c r="D137" s="1">
        <v>26</v>
      </c>
      <c r="E137" s="1" t="s">
        <v>43</v>
      </c>
      <c r="F137" s="1" t="s">
        <v>161</v>
      </c>
      <c r="G137" s="1" t="s">
        <v>845</v>
      </c>
      <c r="H137" s="1" t="s">
        <v>846</v>
      </c>
      <c r="I137" s="1" t="s">
        <v>847</v>
      </c>
      <c r="J137" s="24">
        <v>45226</v>
      </c>
      <c r="K137" s="1" t="s">
        <v>848</v>
      </c>
      <c r="L137" s="1" t="s">
        <v>660</v>
      </c>
      <c r="M137" s="1">
        <v>235.63</v>
      </c>
      <c r="N137" s="1">
        <v>1</v>
      </c>
      <c r="O137" s="1" t="s">
        <v>87</v>
      </c>
      <c r="P137" s="1">
        <v>5</v>
      </c>
      <c r="Q137" s="1">
        <v>66</v>
      </c>
      <c r="R137" s="24">
        <v>45233</v>
      </c>
      <c r="S137" s="1" t="s">
        <v>849</v>
      </c>
      <c r="T137" s="4">
        <f>Table1[[#This Row],[Delivery_Date]]-Table1[[#This Row],[Order_Date]]</f>
        <v>7</v>
      </c>
      <c r="U137" s="4">
        <f>Table1[[#This Row],[Price]]*Table1[[#This Row],[Quantity]]</f>
        <v>235.63</v>
      </c>
      <c r="V137" s="11">
        <f t="shared" si="2"/>
        <v>0.2</v>
      </c>
      <c r="W137" s="4">
        <f>Table1[[#This Row],[Amount]]-(Table1[[#This Row],[Amount]]*Table1[[#This Row],[Discount_Percent]])</f>
        <v>188.50399999999999</v>
      </c>
      <c r="X137" s="4">
        <f>IF(O137="DEL0", Table1[[#This Row],[Discounted_Amount]],Table1[[#This Row],[Discounted_Amount]]+Table1[[#This Row],[Delivery_Charge]])</f>
        <v>254.50399999999999</v>
      </c>
      <c r="Y137" s="4" t="str">
        <f>Table1[[#This Row],[First_Name]]&amp;" "&amp;Table1[[#This Row],[Last_Name]]</f>
        <v>Leslie Montgomery</v>
      </c>
      <c r="Z137" s="4" t="str">
        <f>IF(T:T&gt;Table1[[#This Row],[Estimated_Days_to_Deliver]],"Late",IF(T:T=Table1[[#This Row],[Estimated_Days_to_Deliver]],"Intime","BeforeTime"))</f>
        <v>Late</v>
      </c>
      <c r="AA137" s="4">
        <f>MONTH(Table1[[#This Row],[Order_Date]])</f>
        <v>10</v>
      </c>
      <c r="AB137" s="13">
        <f>Table1[[#This Row],[Amount]]*Table1[[#This Row],[Discount_Percent]]</f>
        <v>47.126000000000005</v>
      </c>
    </row>
    <row r="138" spans="1:28" ht="14.25" customHeight="1">
      <c r="A138" s="1" t="s">
        <v>850</v>
      </c>
      <c r="B138" s="1" t="s">
        <v>851</v>
      </c>
      <c r="C138" s="1" t="s">
        <v>390</v>
      </c>
      <c r="D138" s="1">
        <v>37</v>
      </c>
      <c r="E138" s="1" t="s">
        <v>54</v>
      </c>
      <c r="F138" s="1" t="s">
        <v>223</v>
      </c>
      <c r="G138" s="1" t="s">
        <v>852</v>
      </c>
      <c r="H138" s="1" t="s">
        <v>853</v>
      </c>
      <c r="I138" s="1" t="s">
        <v>854</v>
      </c>
      <c r="J138" s="24">
        <v>45249</v>
      </c>
      <c r="K138" s="1" t="s">
        <v>855</v>
      </c>
      <c r="L138" s="1" t="s">
        <v>656</v>
      </c>
      <c r="M138" s="1">
        <v>433.62</v>
      </c>
      <c r="N138" s="1">
        <v>4</v>
      </c>
      <c r="O138" s="1" t="s">
        <v>87</v>
      </c>
      <c r="P138" s="1">
        <v>5</v>
      </c>
      <c r="Q138" s="1">
        <v>36</v>
      </c>
      <c r="R138" s="24">
        <v>45252</v>
      </c>
      <c r="S138" s="1" t="s">
        <v>856</v>
      </c>
      <c r="T138" s="4">
        <f>Table1[[#This Row],[Delivery_Date]]-Table1[[#This Row],[Order_Date]]</f>
        <v>3</v>
      </c>
      <c r="U138" s="4">
        <f>Table1[[#This Row],[Price]]*Table1[[#This Row],[Quantity]]</f>
        <v>1734.48</v>
      </c>
      <c r="V138" s="11">
        <f t="shared" si="2"/>
        <v>0.2</v>
      </c>
      <c r="W138" s="4">
        <f>Table1[[#This Row],[Amount]]-(Table1[[#This Row],[Amount]]*Table1[[#This Row],[Discount_Percent]])</f>
        <v>1387.5840000000001</v>
      </c>
      <c r="X138" s="4">
        <f>IF(O138="DEL0", Table1[[#This Row],[Discounted_Amount]],Table1[[#This Row],[Discounted_Amount]]+Table1[[#This Row],[Delivery_Charge]])</f>
        <v>1423.5840000000001</v>
      </c>
      <c r="Y138" s="4" t="str">
        <f>Table1[[#This Row],[First_Name]]&amp;" "&amp;Table1[[#This Row],[Last_Name]]</f>
        <v>Susan Thompson</v>
      </c>
      <c r="Z138" s="4" t="str">
        <f>IF(T:T&gt;Table1[[#This Row],[Estimated_Days_to_Deliver]],"Late",IF(T:T=Table1[[#This Row],[Estimated_Days_to_Deliver]],"Intime","BeforeTime"))</f>
        <v>BeforeTime</v>
      </c>
      <c r="AA138" s="4">
        <f>MONTH(Table1[[#This Row],[Order_Date]])</f>
        <v>11</v>
      </c>
      <c r="AB138" s="13">
        <f>Table1[[#This Row],[Amount]]*Table1[[#This Row],[Discount_Percent]]</f>
        <v>346.89600000000002</v>
      </c>
    </row>
    <row r="139" spans="1:28" ht="14.25" customHeight="1">
      <c r="A139" s="1" t="s">
        <v>753</v>
      </c>
      <c r="B139" s="1" t="s">
        <v>754</v>
      </c>
      <c r="C139" s="1" t="s">
        <v>755</v>
      </c>
      <c r="D139" s="1">
        <v>43</v>
      </c>
      <c r="E139" s="1" t="s">
        <v>54</v>
      </c>
      <c r="F139" s="1" t="s">
        <v>161</v>
      </c>
      <c r="G139" s="1" t="s">
        <v>756</v>
      </c>
      <c r="H139" s="1" t="s">
        <v>757</v>
      </c>
      <c r="I139" s="1" t="s">
        <v>857</v>
      </c>
      <c r="J139" s="24">
        <v>45331</v>
      </c>
      <c r="K139" s="1" t="s">
        <v>858</v>
      </c>
      <c r="L139" s="1" t="s">
        <v>290</v>
      </c>
      <c r="M139" s="1">
        <v>157.63999999999999</v>
      </c>
      <c r="N139" s="1">
        <v>5</v>
      </c>
      <c r="O139" s="1" t="s">
        <v>65</v>
      </c>
      <c r="P139" s="1">
        <v>5</v>
      </c>
      <c r="Q139" s="1">
        <v>36</v>
      </c>
      <c r="R139" s="24">
        <v>45332</v>
      </c>
      <c r="S139" s="1" t="s">
        <v>859</v>
      </c>
      <c r="T139" s="4">
        <f>Table1[[#This Row],[Delivery_Date]]-Table1[[#This Row],[Order_Date]]</f>
        <v>1</v>
      </c>
      <c r="U139" s="4">
        <f>Table1[[#This Row],[Price]]*Table1[[#This Row],[Quantity]]</f>
        <v>788.19999999999993</v>
      </c>
      <c r="V139" s="11">
        <f t="shared" si="2"/>
        <v>0</v>
      </c>
      <c r="W139" s="4">
        <f>Table1[[#This Row],[Amount]]-(Table1[[#This Row],[Amount]]*Table1[[#This Row],[Discount_Percent]])</f>
        <v>788.19999999999993</v>
      </c>
      <c r="X139" s="4">
        <f>IF(O139="DEL0", Table1[[#This Row],[Discounted_Amount]],Table1[[#This Row],[Discounted_Amount]]+Table1[[#This Row],[Delivery_Charge]])</f>
        <v>788.19999999999993</v>
      </c>
      <c r="Y139" s="4" t="str">
        <f>Table1[[#This Row],[First_Name]]&amp;" "&amp;Table1[[#This Row],[Last_Name]]</f>
        <v>Barbara Fuller</v>
      </c>
      <c r="Z139" s="4" t="str">
        <f>IF(T:T&gt;Table1[[#This Row],[Estimated_Days_to_Deliver]],"Late",IF(T:T=Table1[[#This Row],[Estimated_Days_to_Deliver]],"Intime","BeforeTime"))</f>
        <v>BeforeTime</v>
      </c>
      <c r="AA139" s="4">
        <f>MONTH(Table1[[#This Row],[Order_Date]])</f>
        <v>2</v>
      </c>
      <c r="AB139" s="13">
        <f>Table1[[#This Row],[Amount]]*Table1[[#This Row],[Discount_Percent]]</f>
        <v>0</v>
      </c>
    </row>
    <row r="140" spans="1:28" ht="14.25" customHeight="1">
      <c r="A140" s="1" t="s">
        <v>89</v>
      </c>
      <c r="B140" s="1" t="s">
        <v>90</v>
      </c>
      <c r="C140" s="1" t="s">
        <v>91</v>
      </c>
      <c r="D140" s="1">
        <v>26</v>
      </c>
      <c r="E140" s="1" t="s">
        <v>43</v>
      </c>
      <c r="F140" s="1" t="s">
        <v>92</v>
      </c>
      <c r="G140" s="1" t="s">
        <v>93</v>
      </c>
      <c r="H140" s="1" t="s">
        <v>94</v>
      </c>
      <c r="I140" s="1" t="s">
        <v>860</v>
      </c>
      <c r="J140" s="24">
        <v>45108</v>
      </c>
      <c r="K140" s="1" t="s">
        <v>861</v>
      </c>
      <c r="L140" s="1" t="s">
        <v>294</v>
      </c>
      <c r="M140" s="1">
        <v>158.53</v>
      </c>
      <c r="N140" s="1">
        <v>5</v>
      </c>
      <c r="O140" s="1" t="s">
        <v>65</v>
      </c>
      <c r="P140" s="1">
        <v>5</v>
      </c>
      <c r="Q140" s="1">
        <v>66</v>
      </c>
      <c r="R140" s="24">
        <v>45111</v>
      </c>
      <c r="S140" s="1" t="s">
        <v>862</v>
      </c>
      <c r="T140" s="4">
        <f>Table1[[#This Row],[Delivery_Date]]-Table1[[#This Row],[Order_Date]]</f>
        <v>3</v>
      </c>
      <c r="U140" s="4">
        <f>Table1[[#This Row],[Price]]*Table1[[#This Row],[Quantity]]</f>
        <v>792.65</v>
      </c>
      <c r="V140" s="11">
        <f t="shared" si="2"/>
        <v>0</v>
      </c>
      <c r="W140" s="4">
        <f>Table1[[#This Row],[Amount]]-(Table1[[#This Row],[Amount]]*Table1[[#This Row],[Discount_Percent]])</f>
        <v>792.65</v>
      </c>
      <c r="X140" s="4">
        <f>IF(O140="DEL0", Table1[[#This Row],[Discounted_Amount]],Table1[[#This Row],[Discounted_Amount]]+Table1[[#This Row],[Delivery_Charge]])</f>
        <v>792.65</v>
      </c>
      <c r="Y140" s="4" t="str">
        <f>Table1[[#This Row],[First_Name]]&amp;" "&amp;Table1[[#This Row],[Last_Name]]</f>
        <v>David Delacruz</v>
      </c>
      <c r="Z140" s="4" t="str">
        <f>IF(T:T&gt;Table1[[#This Row],[Estimated_Days_to_Deliver]],"Late",IF(T:T=Table1[[#This Row],[Estimated_Days_to_Deliver]],"Intime","BeforeTime"))</f>
        <v>BeforeTime</v>
      </c>
      <c r="AA140" s="4">
        <f>MONTH(Table1[[#This Row],[Order_Date]])</f>
        <v>7</v>
      </c>
      <c r="AB140" s="13">
        <f>Table1[[#This Row],[Amount]]*Table1[[#This Row],[Discount_Percent]]</f>
        <v>0</v>
      </c>
    </row>
    <row r="141" spans="1:28" ht="14.25" customHeight="1">
      <c r="A141" s="1" t="s">
        <v>187</v>
      </c>
      <c r="B141" s="1" t="s">
        <v>188</v>
      </c>
      <c r="C141" s="1" t="s">
        <v>189</v>
      </c>
      <c r="D141" s="1">
        <v>42</v>
      </c>
      <c r="E141" s="1" t="s">
        <v>43</v>
      </c>
      <c r="F141" s="1" t="s">
        <v>170</v>
      </c>
      <c r="G141" s="1" t="s">
        <v>190</v>
      </c>
      <c r="H141" s="1" t="s">
        <v>191</v>
      </c>
      <c r="I141" s="1" t="s">
        <v>863</v>
      </c>
      <c r="J141" s="24">
        <v>45283</v>
      </c>
      <c r="K141" s="1" t="s">
        <v>864</v>
      </c>
      <c r="L141" s="1" t="s">
        <v>128</v>
      </c>
      <c r="M141" s="1">
        <v>257.06</v>
      </c>
      <c r="N141" s="1">
        <v>3</v>
      </c>
      <c r="O141" s="1" t="s">
        <v>38</v>
      </c>
      <c r="P141" s="1">
        <v>5</v>
      </c>
      <c r="Q141" s="1">
        <v>65</v>
      </c>
      <c r="R141" s="24">
        <v>45289</v>
      </c>
      <c r="S141" s="1" t="s">
        <v>865</v>
      </c>
      <c r="T141" s="4">
        <f>Table1[[#This Row],[Delivery_Date]]-Table1[[#This Row],[Order_Date]]</f>
        <v>6</v>
      </c>
      <c r="U141" s="4">
        <f>Table1[[#This Row],[Price]]*Table1[[#This Row],[Quantity]]</f>
        <v>771.18000000000006</v>
      </c>
      <c r="V141" s="11">
        <f t="shared" si="2"/>
        <v>0.08</v>
      </c>
      <c r="W141" s="4">
        <f>Table1[[#This Row],[Amount]]-(Table1[[#This Row],[Amount]]*Table1[[#This Row],[Discount_Percent]])</f>
        <v>709.48560000000009</v>
      </c>
      <c r="X141" s="4">
        <f>IF(O141="DEL0", Table1[[#This Row],[Discounted_Amount]],Table1[[#This Row],[Discounted_Amount]]+Table1[[#This Row],[Delivery_Charge]])</f>
        <v>774.48560000000009</v>
      </c>
      <c r="Y141" s="4" t="str">
        <f>Table1[[#This Row],[First_Name]]&amp;" "&amp;Table1[[#This Row],[Last_Name]]</f>
        <v>Mallory Mitchell</v>
      </c>
      <c r="Z141" s="4" t="str">
        <f>IF(T:T&gt;Table1[[#This Row],[Estimated_Days_to_Deliver]],"Late",IF(T:T=Table1[[#This Row],[Estimated_Days_to_Deliver]],"Intime","BeforeTime"))</f>
        <v>Late</v>
      </c>
      <c r="AA141" s="4">
        <f>MONTH(Table1[[#This Row],[Order_Date]])</f>
        <v>12</v>
      </c>
      <c r="AB141" s="13">
        <f>Table1[[#This Row],[Amount]]*Table1[[#This Row],[Discount_Percent]]</f>
        <v>61.694400000000009</v>
      </c>
    </row>
    <row r="142" spans="1:28" ht="14.25" customHeight="1">
      <c r="A142" s="1" t="s">
        <v>779</v>
      </c>
      <c r="B142" s="1" t="s">
        <v>780</v>
      </c>
      <c r="C142" s="1" t="s">
        <v>781</v>
      </c>
      <c r="D142" s="1">
        <v>32</v>
      </c>
      <c r="E142" s="1" t="s">
        <v>31</v>
      </c>
      <c r="F142" s="1" t="s">
        <v>161</v>
      </c>
      <c r="G142" s="1" t="s">
        <v>782</v>
      </c>
      <c r="H142" s="1" t="s">
        <v>783</v>
      </c>
      <c r="I142" s="1" t="s">
        <v>866</v>
      </c>
      <c r="J142" s="24">
        <v>45537</v>
      </c>
      <c r="K142" s="1" t="s">
        <v>867</v>
      </c>
      <c r="L142" s="1" t="s">
        <v>741</v>
      </c>
      <c r="M142" s="1">
        <v>110.95</v>
      </c>
      <c r="N142" s="1">
        <v>4</v>
      </c>
      <c r="O142" s="1" t="s">
        <v>60</v>
      </c>
      <c r="P142" s="1">
        <v>5</v>
      </c>
      <c r="Q142" s="1">
        <v>60</v>
      </c>
      <c r="R142" s="24">
        <v>45541</v>
      </c>
      <c r="S142" s="1" t="s">
        <v>868</v>
      </c>
      <c r="T142" s="4">
        <f>Table1[[#This Row],[Delivery_Date]]-Table1[[#This Row],[Order_Date]]</f>
        <v>4</v>
      </c>
      <c r="U142" s="4">
        <f>Table1[[#This Row],[Price]]*Table1[[#This Row],[Quantity]]</f>
        <v>443.8</v>
      </c>
      <c r="V142" s="11">
        <f t="shared" si="2"/>
        <v>0.15</v>
      </c>
      <c r="W142" s="4">
        <f>Table1[[#This Row],[Amount]]-(Table1[[#This Row],[Amount]]*Table1[[#This Row],[Discount_Percent]])</f>
        <v>377.23</v>
      </c>
      <c r="X142" s="4">
        <f>IF(O142="DEL0", Table1[[#This Row],[Discounted_Amount]],Table1[[#This Row],[Discounted_Amount]]+Table1[[#This Row],[Delivery_Charge]])</f>
        <v>437.23</v>
      </c>
      <c r="Y142" s="4" t="str">
        <f>Table1[[#This Row],[First_Name]]&amp;" "&amp;Table1[[#This Row],[Last_Name]]</f>
        <v>Lindsey Byrd</v>
      </c>
      <c r="Z142" s="4" t="str">
        <f>IF(T:T&gt;Table1[[#This Row],[Estimated_Days_to_Deliver]],"Late",IF(T:T=Table1[[#This Row],[Estimated_Days_to_Deliver]],"Intime","BeforeTime"))</f>
        <v>BeforeTime</v>
      </c>
      <c r="AA142" s="4">
        <f>MONTH(Table1[[#This Row],[Order_Date]])</f>
        <v>9</v>
      </c>
      <c r="AB142" s="13">
        <f>Table1[[#This Row],[Amount]]*Table1[[#This Row],[Discount_Percent]]</f>
        <v>66.569999999999993</v>
      </c>
    </row>
    <row r="143" spans="1:28" ht="14.25" customHeight="1">
      <c r="A143" s="1" t="s">
        <v>549</v>
      </c>
      <c r="B143" s="1" t="s">
        <v>550</v>
      </c>
      <c r="C143" s="1" t="s">
        <v>551</v>
      </c>
      <c r="D143" s="1">
        <v>33</v>
      </c>
      <c r="E143" s="1" t="s">
        <v>54</v>
      </c>
      <c r="F143" s="1" t="s">
        <v>170</v>
      </c>
      <c r="G143" s="1" t="s">
        <v>552</v>
      </c>
      <c r="H143" s="1" t="s">
        <v>553</v>
      </c>
      <c r="I143" s="1" t="s">
        <v>869</v>
      </c>
      <c r="J143" s="24">
        <v>45609</v>
      </c>
      <c r="K143" s="1" t="s">
        <v>870</v>
      </c>
      <c r="L143" s="1" t="s">
        <v>326</v>
      </c>
      <c r="M143" s="1">
        <v>481.48</v>
      </c>
      <c r="N143" s="1">
        <v>5</v>
      </c>
      <c r="O143" s="1" t="s">
        <v>38</v>
      </c>
      <c r="P143" s="1">
        <v>5</v>
      </c>
      <c r="Q143" s="1">
        <v>44</v>
      </c>
      <c r="R143" s="24">
        <v>45612</v>
      </c>
      <c r="S143" s="1" t="s">
        <v>871</v>
      </c>
      <c r="T143" s="4">
        <f>Table1[[#This Row],[Delivery_Date]]-Table1[[#This Row],[Order_Date]]</f>
        <v>3</v>
      </c>
      <c r="U143" s="4">
        <f>Table1[[#This Row],[Price]]*Table1[[#This Row],[Quantity]]</f>
        <v>2407.4</v>
      </c>
      <c r="V143" s="11">
        <f t="shared" si="2"/>
        <v>0.08</v>
      </c>
      <c r="W143" s="4">
        <f>Table1[[#This Row],[Amount]]-(Table1[[#This Row],[Amount]]*Table1[[#This Row],[Discount_Percent]])</f>
        <v>2214.808</v>
      </c>
      <c r="X143" s="4">
        <f>IF(O143="DEL0", Table1[[#This Row],[Discounted_Amount]],Table1[[#This Row],[Discounted_Amount]]+Table1[[#This Row],[Delivery_Charge]])</f>
        <v>2258.808</v>
      </c>
      <c r="Y143" s="4" t="str">
        <f>Table1[[#This Row],[First_Name]]&amp;" "&amp;Table1[[#This Row],[Last_Name]]</f>
        <v>Jodi Whitney</v>
      </c>
      <c r="Z143" s="4" t="str">
        <f>IF(T:T&gt;Table1[[#This Row],[Estimated_Days_to_Deliver]],"Late",IF(T:T=Table1[[#This Row],[Estimated_Days_to_Deliver]],"Intime","BeforeTime"))</f>
        <v>BeforeTime</v>
      </c>
      <c r="AA143" s="4">
        <f>MONTH(Table1[[#This Row],[Order_Date]])</f>
        <v>11</v>
      </c>
      <c r="AB143" s="13">
        <f>Table1[[#This Row],[Amount]]*Table1[[#This Row],[Discount_Percent]]</f>
        <v>192.59200000000001</v>
      </c>
    </row>
    <row r="144" spans="1:28" ht="14.25" customHeight="1">
      <c r="A144" s="1" t="s">
        <v>510</v>
      </c>
      <c r="B144" s="1" t="s">
        <v>511</v>
      </c>
      <c r="C144" s="1" t="s">
        <v>512</v>
      </c>
      <c r="D144" s="1">
        <v>64</v>
      </c>
      <c r="E144" s="1" t="s">
        <v>31</v>
      </c>
      <c r="F144" s="1" t="s">
        <v>32</v>
      </c>
      <c r="G144" s="1" t="s">
        <v>513</v>
      </c>
      <c r="H144" s="1" t="s">
        <v>514</v>
      </c>
      <c r="I144" s="1" t="s">
        <v>872</v>
      </c>
      <c r="J144" s="24">
        <v>45576</v>
      </c>
      <c r="K144" s="1" t="s">
        <v>873</v>
      </c>
      <c r="L144" s="1" t="s">
        <v>874</v>
      </c>
      <c r="M144" s="1">
        <v>292.14999999999998</v>
      </c>
      <c r="N144" s="1">
        <v>4</v>
      </c>
      <c r="O144" s="1" t="s">
        <v>87</v>
      </c>
      <c r="P144" s="1">
        <v>5</v>
      </c>
      <c r="Q144" s="1">
        <v>58</v>
      </c>
      <c r="R144" s="24">
        <v>45577</v>
      </c>
      <c r="S144" s="1" t="s">
        <v>875</v>
      </c>
      <c r="T144" s="4">
        <f>Table1[[#This Row],[Delivery_Date]]-Table1[[#This Row],[Order_Date]]</f>
        <v>1</v>
      </c>
      <c r="U144" s="4">
        <f>Table1[[#This Row],[Price]]*Table1[[#This Row],[Quantity]]</f>
        <v>1168.5999999999999</v>
      </c>
      <c r="V144" s="11">
        <f t="shared" si="2"/>
        <v>0.2</v>
      </c>
      <c r="W144" s="4">
        <f>Table1[[#This Row],[Amount]]-(Table1[[#This Row],[Amount]]*Table1[[#This Row],[Discount_Percent]])</f>
        <v>934.87999999999988</v>
      </c>
      <c r="X144" s="4">
        <f>IF(O144="DEL0", Table1[[#This Row],[Discounted_Amount]],Table1[[#This Row],[Discounted_Amount]]+Table1[[#This Row],[Delivery_Charge]])</f>
        <v>992.87999999999988</v>
      </c>
      <c r="Y144" s="4" t="str">
        <f>Table1[[#This Row],[First_Name]]&amp;" "&amp;Table1[[#This Row],[Last_Name]]</f>
        <v>Sarah Butler</v>
      </c>
      <c r="Z144" s="4" t="str">
        <f>IF(T:T&gt;Table1[[#This Row],[Estimated_Days_to_Deliver]],"Late",IF(T:T=Table1[[#This Row],[Estimated_Days_to_Deliver]],"Intime","BeforeTime"))</f>
        <v>BeforeTime</v>
      </c>
      <c r="AA144" s="4">
        <f>MONTH(Table1[[#This Row],[Order_Date]])</f>
        <v>10</v>
      </c>
      <c r="AB144" s="13">
        <f>Table1[[#This Row],[Amount]]*Table1[[#This Row],[Discount_Percent]]</f>
        <v>233.72</v>
      </c>
    </row>
    <row r="145" spans="1:28" ht="14.25" customHeight="1">
      <c r="A145" s="1" t="s">
        <v>361</v>
      </c>
      <c r="B145" s="1" t="s">
        <v>362</v>
      </c>
      <c r="C145" s="1" t="s">
        <v>363</v>
      </c>
      <c r="D145" s="1">
        <v>32</v>
      </c>
      <c r="E145" s="1" t="s">
        <v>43</v>
      </c>
      <c r="F145" s="1" t="s">
        <v>170</v>
      </c>
      <c r="G145" s="1" t="s">
        <v>364</v>
      </c>
      <c r="H145" s="1" t="s">
        <v>365</v>
      </c>
      <c r="I145" s="1" t="s">
        <v>876</v>
      </c>
      <c r="J145" s="24">
        <v>45199</v>
      </c>
      <c r="K145" s="1" t="s">
        <v>877</v>
      </c>
      <c r="L145" s="1" t="s">
        <v>777</v>
      </c>
      <c r="M145" s="1">
        <v>20</v>
      </c>
      <c r="N145" s="1">
        <v>5</v>
      </c>
      <c r="O145" s="1" t="s">
        <v>60</v>
      </c>
      <c r="P145" s="1">
        <v>5</v>
      </c>
      <c r="Q145" s="1">
        <v>40</v>
      </c>
      <c r="R145" s="24">
        <v>45203</v>
      </c>
      <c r="S145" s="1" t="s">
        <v>878</v>
      </c>
      <c r="T145" s="4">
        <f>Table1[[#This Row],[Delivery_Date]]-Table1[[#This Row],[Order_Date]]</f>
        <v>4</v>
      </c>
      <c r="U145" s="4">
        <f>Table1[[#This Row],[Price]]*Table1[[#This Row],[Quantity]]</f>
        <v>100</v>
      </c>
      <c r="V145" s="11">
        <f t="shared" si="2"/>
        <v>0.15</v>
      </c>
      <c r="W145" s="4">
        <f>Table1[[#This Row],[Amount]]-(Table1[[#This Row],[Amount]]*Table1[[#This Row],[Discount_Percent]])</f>
        <v>85</v>
      </c>
      <c r="X145" s="4">
        <f>IF(O145="DEL0", Table1[[#This Row],[Discounted_Amount]],Table1[[#This Row],[Discounted_Amount]]+Table1[[#This Row],[Delivery_Charge]])</f>
        <v>125</v>
      </c>
      <c r="Y145" s="4" t="str">
        <f>Table1[[#This Row],[First_Name]]&amp;" "&amp;Table1[[#This Row],[Last_Name]]</f>
        <v>Robert Castillo</v>
      </c>
      <c r="Z145" s="4" t="str">
        <f>IF(T:T&gt;Table1[[#This Row],[Estimated_Days_to_Deliver]],"Late",IF(T:T=Table1[[#This Row],[Estimated_Days_to_Deliver]],"Intime","BeforeTime"))</f>
        <v>BeforeTime</v>
      </c>
      <c r="AA145" s="4">
        <f>MONTH(Table1[[#This Row],[Order_Date]])</f>
        <v>9</v>
      </c>
      <c r="AB145" s="13">
        <f>Table1[[#This Row],[Amount]]*Table1[[#This Row],[Discount_Percent]]</f>
        <v>15</v>
      </c>
    </row>
    <row r="146" spans="1:28" ht="14.25" customHeight="1">
      <c r="A146" s="1" t="s">
        <v>361</v>
      </c>
      <c r="B146" s="1" t="s">
        <v>362</v>
      </c>
      <c r="C146" s="1" t="s">
        <v>363</v>
      </c>
      <c r="D146" s="1">
        <v>32</v>
      </c>
      <c r="E146" s="1" t="s">
        <v>43</v>
      </c>
      <c r="F146" s="1" t="s">
        <v>170</v>
      </c>
      <c r="G146" s="1" t="s">
        <v>364</v>
      </c>
      <c r="H146" s="1" t="s">
        <v>365</v>
      </c>
      <c r="I146" s="1" t="s">
        <v>879</v>
      </c>
      <c r="J146" s="24">
        <v>45677</v>
      </c>
      <c r="K146" s="1" t="s">
        <v>880</v>
      </c>
      <c r="L146" s="1" t="s">
        <v>64</v>
      </c>
      <c r="M146" s="1">
        <v>405</v>
      </c>
      <c r="N146" s="1">
        <v>2</v>
      </c>
      <c r="O146" s="1" t="s">
        <v>60</v>
      </c>
      <c r="P146" s="1">
        <v>5</v>
      </c>
      <c r="Q146" s="1">
        <v>55</v>
      </c>
      <c r="R146" s="24">
        <v>45680</v>
      </c>
      <c r="S146" s="1" t="s">
        <v>881</v>
      </c>
      <c r="T146" s="4">
        <f>Table1[[#This Row],[Delivery_Date]]-Table1[[#This Row],[Order_Date]]</f>
        <v>3</v>
      </c>
      <c r="U146" s="4">
        <f>Table1[[#This Row],[Price]]*Table1[[#This Row],[Quantity]]</f>
        <v>810</v>
      </c>
      <c r="V146" s="11">
        <f t="shared" si="2"/>
        <v>0.15</v>
      </c>
      <c r="W146" s="4">
        <f>Table1[[#This Row],[Amount]]-(Table1[[#This Row],[Amount]]*Table1[[#This Row],[Discount_Percent]])</f>
        <v>688.5</v>
      </c>
      <c r="X146" s="4">
        <f>IF(O146="DEL0", Table1[[#This Row],[Discounted_Amount]],Table1[[#This Row],[Discounted_Amount]]+Table1[[#This Row],[Delivery_Charge]])</f>
        <v>743.5</v>
      </c>
      <c r="Y146" s="4" t="str">
        <f>Table1[[#This Row],[First_Name]]&amp;" "&amp;Table1[[#This Row],[Last_Name]]</f>
        <v>Robert Castillo</v>
      </c>
      <c r="Z146" s="4" t="str">
        <f>IF(T:T&gt;Table1[[#This Row],[Estimated_Days_to_Deliver]],"Late",IF(T:T=Table1[[#This Row],[Estimated_Days_to_Deliver]],"Intime","BeforeTime"))</f>
        <v>BeforeTime</v>
      </c>
      <c r="AA146" s="4">
        <f>MONTH(Table1[[#This Row],[Order_Date]])</f>
        <v>1</v>
      </c>
      <c r="AB146" s="13">
        <f>Table1[[#This Row],[Amount]]*Table1[[#This Row],[Discount_Percent]]</f>
        <v>121.5</v>
      </c>
    </row>
    <row r="147" spans="1:28" ht="14.25" customHeight="1">
      <c r="A147" s="1" t="s">
        <v>578</v>
      </c>
      <c r="B147" s="1" t="s">
        <v>259</v>
      </c>
      <c r="C147" s="1" t="s">
        <v>579</v>
      </c>
      <c r="D147" s="1">
        <v>35</v>
      </c>
      <c r="E147" s="1" t="s">
        <v>31</v>
      </c>
      <c r="F147" s="1" t="s">
        <v>32</v>
      </c>
      <c r="G147" s="1" t="s">
        <v>580</v>
      </c>
      <c r="H147" s="1" t="s">
        <v>581</v>
      </c>
      <c r="I147" s="1" t="s">
        <v>882</v>
      </c>
      <c r="J147" s="24">
        <v>45581</v>
      </c>
      <c r="K147" s="1" t="s">
        <v>883</v>
      </c>
      <c r="L147" s="1" t="s">
        <v>116</v>
      </c>
      <c r="M147" s="1">
        <v>48.45</v>
      </c>
      <c r="N147" s="1">
        <v>5</v>
      </c>
      <c r="O147" s="1" t="s">
        <v>98</v>
      </c>
      <c r="P147" s="1">
        <v>5</v>
      </c>
      <c r="Q147" s="1">
        <v>53</v>
      </c>
      <c r="R147" s="24">
        <v>45588</v>
      </c>
      <c r="S147" s="1" t="s">
        <v>884</v>
      </c>
      <c r="T147" s="4">
        <f>Table1[[#This Row],[Delivery_Date]]-Table1[[#This Row],[Order_Date]]</f>
        <v>7</v>
      </c>
      <c r="U147" s="4">
        <f>Table1[[#This Row],[Price]]*Table1[[#This Row],[Quantity]]</f>
        <v>242.25</v>
      </c>
      <c r="V147" s="11">
        <f t="shared" si="2"/>
        <v>0.1</v>
      </c>
      <c r="W147" s="4">
        <f>Table1[[#This Row],[Amount]]-(Table1[[#This Row],[Amount]]*Table1[[#This Row],[Discount_Percent]])</f>
        <v>218.02500000000001</v>
      </c>
      <c r="X147" s="4">
        <f>IF(O147="DEL0", Table1[[#This Row],[Discounted_Amount]],Table1[[#This Row],[Discounted_Amount]]+Table1[[#This Row],[Delivery_Charge]])</f>
        <v>271.02499999999998</v>
      </c>
      <c r="Y147" s="4" t="str">
        <f>Table1[[#This Row],[First_Name]]&amp;" "&amp;Table1[[#This Row],[Last_Name]]</f>
        <v>Ashley Romero</v>
      </c>
      <c r="Z147" s="4" t="str">
        <f>IF(T:T&gt;Table1[[#This Row],[Estimated_Days_to_Deliver]],"Late",IF(T:T=Table1[[#This Row],[Estimated_Days_to_Deliver]],"Intime","BeforeTime"))</f>
        <v>Late</v>
      </c>
      <c r="AA147" s="4">
        <f>MONTH(Table1[[#This Row],[Order_Date]])</f>
        <v>10</v>
      </c>
      <c r="AB147" s="13">
        <f>Table1[[#This Row],[Amount]]*Table1[[#This Row],[Discount_Percent]]</f>
        <v>24.225000000000001</v>
      </c>
    </row>
    <row r="148" spans="1:28" ht="14.25" customHeight="1">
      <c r="A148" s="1" t="s">
        <v>493</v>
      </c>
      <c r="B148" s="1" t="s">
        <v>189</v>
      </c>
      <c r="C148" s="1" t="s">
        <v>330</v>
      </c>
      <c r="D148" s="1">
        <v>39</v>
      </c>
      <c r="E148" s="1" t="s">
        <v>54</v>
      </c>
      <c r="F148" s="1" t="s">
        <v>44</v>
      </c>
      <c r="G148" s="1" t="s">
        <v>494</v>
      </c>
      <c r="H148" s="1" t="s">
        <v>495</v>
      </c>
      <c r="I148" s="1" t="s">
        <v>885</v>
      </c>
      <c r="J148" s="24">
        <v>45609</v>
      </c>
      <c r="K148" s="1" t="s">
        <v>886</v>
      </c>
      <c r="L148" s="1" t="s">
        <v>59</v>
      </c>
      <c r="M148" s="1">
        <v>202.54</v>
      </c>
      <c r="N148" s="1">
        <v>1</v>
      </c>
      <c r="O148" s="1" t="s">
        <v>38</v>
      </c>
      <c r="P148" s="1">
        <v>5</v>
      </c>
      <c r="Q148" s="1">
        <v>48</v>
      </c>
      <c r="R148" s="24">
        <v>45611</v>
      </c>
      <c r="S148" s="1" t="s">
        <v>887</v>
      </c>
      <c r="T148" s="4">
        <f>Table1[[#This Row],[Delivery_Date]]-Table1[[#This Row],[Order_Date]]</f>
        <v>2</v>
      </c>
      <c r="U148" s="4">
        <f>Table1[[#This Row],[Price]]*Table1[[#This Row],[Quantity]]</f>
        <v>202.54</v>
      </c>
      <c r="V148" s="11">
        <f t="shared" si="2"/>
        <v>0.08</v>
      </c>
      <c r="W148" s="4">
        <f>Table1[[#This Row],[Amount]]-(Table1[[#This Row],[Amount]]*Table1[[#This Row],[Discount_Percent]])</f>
        <v>186.33679999999998</v>
      </c>
      <c r="X148" s="4">
        <f>IF(O148="DEL0", Table1[[#This Row],[Discounted_Amount]],Table1[[#This Row],[Discounted_Amount]]+Table1[[#This Row],[Delivery_Charge]])</f>
        <v>234.33679999999998</v>
      </c>
      <c r="Y148" s="4" t="str">
        <f>Table1[[#This Row],[First_Name]]&amp;" "&amp;Table1[[#This Row],[Last_Name]]</f>
        <v>Mitchell Parker</v>
      </c>
      <c r="Z148" s="4" t="str">
        <f>IF(T:T&gt;Table1[[#This Row],[Estimated_Days_to_Deliver]],"Late",IF(T:T=Table1[[#This Row],[Estimated_Days_to_Deliver]],"Intime","BeforeTime"))</f>
        <v>BeforeTime</v>
      </c>
      <c r="AA148" s="4">
        <f>MONTH(Table1[[#This Row],[Order_Date]])</f>
        <v>11</v>
      </c>
      <c r="AB148" s="13">
        <f>Table1[[#This Row],[Amount]]*Table1[[#This Row],[Discount_Percent]]</f>
        <v>16.203199999999999</v>
      </c>
    </row>
    <row r="149" spans="1:28" ht="14.25" customHeight="1">
      <c r="A149" s="1" t="s">
        <v>770</v>
      </c>
      <c r="B149" s="1" t="s">
        <v>771</v>
      </c>
      <c r="C149" s="1" t="s">
        <v>772</v>
      </c>
      <c r="D149" s="1">
        <v>27</v>
      </c>
      <c r="E149" s="1" t="s">
        <v>31</v>
      </c>
      <c r="F149" s="1" t="s">
        <v>44</v>
      </c>
      <c r="G149" s="1" t="s">
        <v>773</v>
      </c>
      <c r="H149" s="1" t="s">
        <v>774</v>
      </c>
      <c r="I149" s="1" t="s">
        <v>888</v>
      </c>
      <c r="J149" s="24">
        <v>44983</v>
      </c>
      <c r="K149" s="1" t="s">
        <v>889</v>
      </c>
      <c r="L149" s="1" t="s">
        <v>476</v>
      </c>
      <c r="M149" s="1">
        <v>286.07</v>
      </c>
      <c r="N149" s="1">
        <v>5</v>
      </c>
      <c r="O149" s="1" t="s">
        <v>87</v>
      </c>
      <c r="P149" s="1">
        <v>5</v>
      </c>
      <c r="Q149" s="1">
        <v>52</v>
      </c>
      <c r="R149" s="24">
        <v>44986</v>
      </c>
      <c r="S149" s="1" t="s">
        <v>890</v>
      </c>
      <c r="T149" s="4">
        <f>Table1[[#This Row],[Delivery_Date]]-Table1[[#This Row],[Order_Date]]</f>
        <v>3</v>
      </c>
      <c r="U149" s="4">
        <f>Table1[[#This Row],[Price]]*Table1[[#This Row],[Quantity]]</f>
        <v>1430.35</v>
      </c>
      <c r="V149" s="11">
        <f t="shared" si="2"/>
        <v>0.2</v>
      </c>
      <c r="W149" s="4">
        <f>Table1[[#This Row],[Amount]]-(Table1[[#This Row],[Amount]]*Table1[[#This Row],[Discount_Percent]])</f>
        <v>1144.28</v>
      </c>
      <c r="X149" s="4">
        <f>IF(O149="DEL0", Table1[[#This Row],[Discounted_Amount]],Table1[[#This Row],[Discounted_Amount]]+Table1[[#This Row],[Delivery_Charge]])</f>
        <v>1196.28</v>
      </c>
      <c r="Y149" s="4" t="str">
        <f>Table1[[#This Row],[First_Name]]&amp;" "&amp;Table1[[#This Row],[Last_Name]]</f>
        <v>Kristina Haynes</v>
      </c>
      <c r="Z149" s="4" t="str">
        <f>IF(T:T&gt;Table1[[#This Row],[Estimated_Days_to_Deliver]],"Late",IF(T:T=Table1[[#This Row],[Estimated_Days_to_Deliver]],"Intime","BeforeTime"))</f>
        <v>BeforeTime</v>
      </c>
      <c r="AA149" s="4">
        <f>MONTH(Table1[[#This Row],[Order_Date]])</f>
        <v>2</v>
      </c>
      <c r="AB149" s="13">
        <f>Table1[[#This Row],[Amount]]*Table1[[#This Row],[Discount_Percent]]</f>
        <v>286.07</v>
      </c>
    </row>
    <row r="150" spans="1:28" ht="14.25" customHeight="1">
      <c r="A150" s="1" t="s">
        <v>469</v>
      </c>
      <c r="B150" s="1" t="s">
        <v>470</v>
      </c>
      <c r="C150" s="1" t="s">
        <v>471</v>
      </c>
      <c r="D150" s="1">
        <v>18</v>
      </c>
      <c r="E150" s="1" t="s">
        <v>43</v>
      </c>
      <c r="F150" s="1" t="s">
        <v>44</v>
      </c>
      <c r="G150" s="1" t="s">
        <v>472</v>
      </c>
      <c r="H150" s="1" t="s">
        <v>473</v>
      </c>
      <c r="I150" s="1" t="s">
        <v>891</v>
      </c>
      <c r="J150" s="24">
        <v>45378</v>
      </c>
      <c r="K150" s="1" t="s">
        <v>892</v>
      </c>
      <c r="L150" s="1" t="s">
        <v>59</v>
      </c>
      <c r="M150" s="1">
        <v>202.54</v>
      </c>
      <c r="N150" s="1">
        <v>4</v>
      </c>
      <c r="O150" s="1" t="s">
        <v>98</v>
      </c>
      <c r="P150" s="1">
        <v>5</v>
      </c>
      <c r="Q150" s="1">
        <v>36</v>
      </c>
      <c r="R150" s="24">
        <v>45380</v>
      </c>
      <c r="S150" s="1" t="s">
        <v>893</v>
      </c>
      <c r="T150" s="4">
        <f>Table1[[#This Row],[Delivery_Date]]-Table1[[#This Row],[Order_Date]]</f>
        <v>2</v>
      </c>
      <c r="U150" s="4">
        <f>Table1[[#This Row],[Price]]*Table1[[#This Row],[Quantity]]</f>
        <v>810.16</v>
      </c>
      <c r="V150" s="11">
        <f t="shared" si="2"/>
        <v>0.1</v>
      </c>
      <c r="W150" s="4">
        <f>Table1[[#This Row],[Amount]]-(Table1[[#This Row],[Amount]]*Table1[[#This Row],[Discount_Percent]])</f>
        <v>729.14400000000001</v>
      </c>
      <c r="X150" s="4">
        <f>IF(O150="DEL0", Table1[[#This Row],[Discounted_Amount]],Table1[[#This Row],[Discounted_Amount]]+Table1[[#This Row],[Delivery_Charge]])</f>
        <v>765.14400000000001</v>
      </c>
      <c r="Y150" s="4" t="str">
        <f>Table1[[#This Row],[First_Name]]&amp;" "&amp;Table1[[#This Row],[Last_Name]]</f>
        <v>Lori Cook</v>
      </c>
      <c r="Z150" s="4" t="str">
        <f>IF(T:T&gt;Table1[[#This Row],[Estimated_Days_to_Deliver]],"Late",IF(T:T=Table1[[#This Row],[Estimated_Days_to_Deliver]],"Intime","BeforeTime"))</f>
        <v>BeforeTime</v>
      </c>
      <c r="AA150" s="4">
        <f>MONTH(Table1[[#This Row],[Order_Date]])</f>
        <v>3</v>
      </c>
      <c r="AB150" s="13">
        <f>Table1[[#This Row],[Amount]]*Table1[[#This Row],[Discount_Percent]]</f>
        <v>81.016000000000005</v>
      </c>
    </row>
    <row r="151" spans="1:28" ht="14.25" customHeight="1">
      <c r="A151" s="1" t="s">
        <v>283</v>
      </c>
      <c r="B151" s="1" t="s">
        <v>284</v>
      </c>
      <c r="C151" s="1" t="s">
        <v>285</v>
      </c>
      <c r="D151" s="1">
        <v>64</v>
      </c>
      <c r="E151" s="1" t="s">
        <v>54</v>
      </c>
      <c r="F151" s="1" t="s">
        <v>32</v>
      </c>
      <c r="G151" s="1" t="s">
        <v>286</v>
      </c>
      <c r="H151" s="1" t="s">
        <v>287</v>
      </c>
      <c r="I151" s="1" t="s">
        <v>894</v>
      </c>
      <c r="J151" s="24">
        <v>44989</v>
      </c>
      <c r="K151" s="1" t="s">
        <v>895</v>
      </c>
      <c r="L151" s="1" t="s">
        <v>421</v>
      </c>
      <c r="M151" s="1">
        <v>44.5</v>
      </c>
      <c r="N151" s="1">
        <v>3</v>
      </c>
      <c r="O151" s="1" t="s">
        <v>38</v>
      </c>
      <c r="P151" s="1">
        <v>5</v>
      </c>
      <c r="Q151" s="1">
        <v>46</v>
      </c>
      <c r="R151" s="24">
        <v>44991</v>
      </c>
      <c r="S151" s="1" t="s">
        <v>896</v>
      </c>
      <c r="T151" s="4">
        <f>Table1[[#This Row],[Delivery_Date]]-Table1[[#This Row],[Order_Date]]</f>
        <v>2</v>
      </c>
      <c r="U151" s="4">
        <f>Table1[[#This Row],[Price]]*Table1[[#This Row],[Quantity]]</f>
        <v>133.5</v>
      </c>
      <c r="V151" s="11">
        <f t="shared" si="2"/>
        <v>0.08</v>
      </c>
      <c r="W151" s="4">
        <f>Table1[[#This Row],[Amount]]-(Table1[[#This Row],[Amount]]*Table1[[#This Row],[Discount_Percent]])</f>
        <v>122.82</v>
      </c>
      <c r="X151" s="4">
        <f>IF(O151="DEL0", Table1[[#This Row],[Discounted_Amount]],Table1[[#This Row],[Discounted_Amount]]+Table1[[#This Row],[Delivery_Charge]])</f>
        <v>168.82</v>
      </c>
      <c r="Y151" s="4" t="str">
        <f>Table1[[#This Row],[First_Name]]&amp;" "&amp;Table1[[#This Row],[Last_Name]]</f>
        <v>Teresa Harvey</v>
      </c>
      <c r="Z151" s="4" t="str">
        <f>IF(T:T&gt;Table1[[#This Row],[Estimated_Days_to_Deliver]],"Late",IF(T:T=Table1[[#This Row],[Estimated_Days_to_Deliver]],"Intime","BeforeTime"))</f>
        <v>BeforeTime</v>
      </c>
      <c r="AA151" s="4">
        <f>MONTH(Table1[[#This Row],[Order_Date]])</f>
        <v>3</v>
      </c>
      <c r="AB151" s="13">
        <f>Table1[[#This Row],[Amount]]*Table1[[#This Row],[Discount_Percent]]</f>
        <v>10.68</v>
      </c>
    </row>
    <row r="152" spans="1:28" ht="14.25" customHeight="1">
      <c r="A152" s="1" t="s">
        <v>897</v>
      </c>
      <c r="B152" s="1" t="s">
        <v>150</v>
      </c>
      <c r="C152" s="1" t="s">
        <v>898</v>
      </c>
      <c r="D152" s="1">
        <v>29</v>
      </c>
      <c r="E152" s="1" t="s">
        <v>31</v>
      </c>
      <c r="F152" s="1" t="s">
        <v>44</v>
      </c>
      <c r="G152" s="1" t="s">
        <v>899</v>
      </c>
      <c r="H152" s="1" t="s">
        <v>900</v>
      </c>
      <c r="I152" s="1" t="s">
        <v>901</v>
      </c>
      <c r="J152" s="24">
        <v>45251</v>
      </c>
      <c r="K152" s="1" t="s">
        <v>902</v>
      </c>
      <c r="L152" s="1" t="s">
        <v>326</v>
      </c>
      <c r="M152" s="1">
        <v>481.48</v>
      </c>
      <c r="N152" s="1">
        <v>4</v>
      </c>
      <c r="O152" s="1" t="s">
        <v>65</v>
      </c>
      <c r="P152" s="1">
        <v>5</v>
      </c>
      <c r="Q152" s="1">
        <v>54</v>
      </c>
      <c r="R152" s="24">
        <v>45256</v>
      </c>
      <c r="S152" s="1" t="s">
        <v>903</v>
      </c>
      <c r="T152" s="4">
        <f>Table1[[#This Row],[Delivery_Date]]-Table1[[#This Row],[Order_Date]]</f>
        <v>5</v>
      </c>
      <c r="U152" s="4">
        <f>Table1[[#This Row],[Price]]*Table1[[#This Row],[Quantity]]</f>
        <v>1925.92</v>
      </c>
      <c r="V152" s="11">
        <f t="shared" si="2"/>
        <v>0</v>
      </c>
      <c r="W152" s="4">
        <f>Table1[[#This Row],[Amount]]-(Table1[[#This Row],[Amount]]*Table1[[#This Row],[Discount_Percent]])</f>
        <v>1925.92</v>
      </c>
      <c r="X152" s="4">
        <f>IF(O152="DEL0", Table1[[#This Row],[Discounted_Amount]],Table1[[#This Row],[Discounted_Amount]]+Table1[[#This Row],[Delivery_Charge]])</f>
        <v>1925.92</v>
      </c>
      <c r="Y152" s="4" t="str">
        <f>Table1[[#This Row],[First_Name]]&amp;" "&amp;Table1[[#This Row],[Last_Name]]</f>
        <v>Amy Griffin</v>
      </c>
      <c r="Z152" s="4" t="str">
        <f>IF(T:T&gt;Table1[[#This Row],[Estimated_Days_to_Deliver]],"Late",IF(T:T=Table1[[#This Row],[Estimated_Days_to_Deliver]],"Intime","BeforeTime"))</f>
        <v>Intime</v>
      </c>
      <c r="AA152" s="4">
        <f>MONTH(Table1[[#This Row],[Order_Date]])</f>
        <v>11</v>
      </c>
      <c r="AB152" s="13">
        <f>Table1[[#This Row],[Amount]]*Table1[[#This Row],[Discount_Percent]]</f>
        <v>0</v>
      </c>
    </row>
    <row r="153" spans="1:28" ht="14.25" customHeight="1">
      <c r="A153" s="1" t="s">
        <v>549</v>
      </c>
      <c r="B153" s="1" t="s">
        <v>550</v>
      </c>
      <c r="C153" s="1" t="s">
        <v>551</v>
      </c>
      <c r="D153" s="1">
        <v>33</v>
      </c>
      <c r="E153" s="1" t="s">
        <v>54</v>
      </c>
      <c r="F153" s="1" t="s">
        <v>170</v>
      </c>
      <c r="G153" s="1" t="s">
        <v>552</v>
      </c>
      <c r="H153" s="1" t="s">
        <v>553</v>
      </c>
      <c r="I153" s="1" t="s">
        <v>904</v>
      </c>
      <c r="J153" s="24">
        <v>45200</v>
      </c>
      <c r="K153" s="1" t="s">
        <v>905</v>
      </c>
      <c r="L153" s="1" t="s">
        <v>343</v>
      </c>
      <c r="M153" s="1">
        <v>77.84</v>
      </c>
      <c r="N153" s="1">
        <v>5</v>
      </c>
      <c r="O153" s="1" t="s">
        <v>98</v>
      </c>
      <c r="P153" s="1">
        <v>5</v>
      </c>
      <c r="Q153" s="1">
        <v>41</v>
      </c>
      <c r="R153" s="24">
        <v>45206</v>
      </c>
      <c r="S153" s="1" t="s">
        <v>906</v>
      </c>
      <c r="T153" s="4">
        <f>Table1[[#This Row],[Delivery_Date]]-Table1[[#This Row],[Order_Date]]</f>
        <v>6</v>
      </c>
      <c r="U153" s="4">
        <f>Table1[[#This Row],[Price]]*Table1[[#This Row],[Quantity]]</f>
        <v>389.20000000000005</v>
      </c>
      <c r="V153" s="11">
        <f t="shared" si="2"/>
        <v>0.1</v>
      </c>
      <c r="W153" s="4">
        <f>Table1[[#This Row],[Amount]]-(Table1[[#This Row],[Amount]]*Table1[[#This Row],[Discount_Percent]])</f>
        <v>350.28000000000003</v>
      </c>
      <c r="X153" s="4">
        <f>IF(O153="DEL0", Table1[[#This Row],[Discounted_Amount]],Table1[[#This Row],[Discounted_Amount]]+Table1[[#This Row],[Delivery_Charge]])</f>
        <v>391.28000000000003</v>
      </c>
      <c r="Y153" s="4" t="str">
        <f>Table1[[#This Row],[First_Name]]&amp;" "&amp;Table1[[#This Row],[Last_Name]]</f>
        <v>Jodi Whitney</v>
      </c>
      <c r="Z153" s="4" t="str">
        <f>IF(T:T&gt;Table1[[#This Row],[Estimated_Days_to_Deliver]],"Late",IF(T:T=Table1[[#This Row],[Estimated_Days_to_Deliver]],"Intime","BeforeTime"))</f>
        <v>Late</v>
      </c>
      <c r="AA153" s="4">
        <f>MONTH(Table1[[#This Row],[Order_Date]])</f>
        <v>10</v>
      </c>
      <c r="AB153" s="13">
        <f>Table1[[#This Row],[Amount]]*Table1[[#This Row],[Discount_Percent]]</f>
        <v>38.920000000000009</v>
      </c>
    </row>
    <row r="154" spans="1:28" ht="14.25" customHeight="1">
      <c r="A154" s="1" t="s">
        <v>478</v>
      </c>
      <c r="B154" s="1" t="s">
        <v>110</v>
      </c>
      <c r="C154" s="1" t="s">
        <v>479</v>
      </c>
      <c r="D154" s="1">
        <v>33</v>
      </c>
      <c r="E154" s="1" t="s">
        <v>31</v>
      </c>
      <c r="F154" s="1" t="s">
        <v>170</v>
      </c>
      <c r="G154" s="1" t="s">
        <v>480</v>
      </c>
      <c r="H154" s="1" t="s">
        <v>481</v>
      </c>
      <c r="I154" s="1" t="s">
        <v>907</v>
      </c>
      <c r="J154" s="24">
        <v>45330</v>
      </c>
      <c r="K154" s="1" t="s">
        <v>908</v>
      </c>
      <c r="L154" s="1" t="s">
        <v>359</v>
      </c>
      <c r="M154" s="1">
        <v>496.59</v>
      </c>
      <c r="N154" s="1">
        <v>2</v>
      </c>
      <c r="O154" s="1" t="s">
        <v>98</v>
      </c>
      <c r="P154" s="1">
        <v>5</v>
      </c>
      <c r="Q154" s="1">
        <v>40</v>
      </c>
      <c r="R154" s="24">
        <v>45331</v>
      </c>
      <c r="S154" s="1" t="s">
        <v>909</v>
      </c>
      <c r="T154" s="4">
        <f>Table1[[#This Row],[Delivery_Date]]-Table1[[#This Row],[Order_Date]]</f>
        <v>1</v>
      </c>
      <c r="U154" s="4">
        <f>Table1[[#This Row],[Price]]*Table1[[#This Row],[Quantity]]</f>
        <v>993.18</v>
      </c>
      <c r="V154" s="11">
        <f t="shared" si="2"/>
        <v>0.1</v>
      </c>
      <c r="W154" s="4">
        <f>Table1[[#This Row],[Amount]]-(Table1[[#This Row],[Amount]]*Table1[[#This Row],[Discount_Percent]])</f>
        <v>893.86199999999997</v>
      </c>
      <c r="X154" s="4">
        <f>IF(O154="DEL0", Table1[[#This Row],[Discounted_Amount]],Table1[[#This Row],[Discounted_Amount]]+Table1[[#This Row],[Delivery_Charge]])</f>
        <v>933.86199999999997</v>
      </c>
      <c r="Y154" s="4" t="str">
        <f>Table1[[#This Row],[First_Name]]&amp;" "&amp;Table1[[#This Row],[Last_Name]]</f>
        <v>Debra Hayes</v>
      </c>
      <c r="Z154" s="4" t="str">
        <f>IF(T:T&gt;Table1[[#This Row],[Estimated_Days_to_Deliver]],"Late",IF(T:T=Table1[[#This Row],[Estimated_Days_to_Deliver]],"Intime","BeforeTime"))</f>
        <v>BeforeTime</v>
      </c>
      <c r="AA154" s="4">
        <f>MONTH(Table1[[#This Row],[Order_Date]])</f>
        <v>2</v>
      </c>
      <c r="AB154" s="13">
        <f>Table1[[#This Row],[Amount]]*Table1[[#This Row],[Discount_Percent]]</f>
        <v>99.317999999999998</v>
      </c>
    </row>
    <row r="155" spans="1:28" ht="14.25" customHeight="1">
      <c r="A155" s="1" t="s">
        <v>283</v>
      </c>
      <c r="B155" s="1" t="s">
        <v>284</v>
      </c>
      <c r="C155" s="1" t="s">
        <v>285</v>
      </c>
      <c r="D155" s="1">
        <v>64</v>
      </c>
      <c r="E155" s="1" t="s">
        <v>54</v>
      </c>
      <c r="F155" s="1" t="s">
        <v>32</v>
      </c>
      <c r="G155" s="1" t="s">
        <v>286</v>
      </c>
      <c r="H155" s="1" t="s">
        <v>287</v>
      </c>
      <c r="I155" s="1" t="s">
        <v>910</v>
      </c>
      <c r="J155" s="24">
        <v>45129</v>
      </c>
      <c r="K155" s="1" t="s">
        <v>911</v>
      </c>
      <c r="L155" s="1" t="s">
        <v>156</v>
      </c>
      <c r="M155" s="1">
        <v>220.27</v>
      </c>
      <c r="N155" s="1">
        <v>3</v>
      </c>
      <c r="O155" s="1" t="s">
        <v>38</v>
      </c>
      <c r="P155" s="1">
        <v>5</v>
      </c>
      <c r="Q155" s="1">
        <v>48</v>
      </c>
      <c r="R155" s="24">
        <v>45132</v>
      </c>
      <c r="S155" s="1" t="s">
        <v>912</v>
      </c>
      <c r="T155" s="4">
        <f>Table1[[#This Row],[Delivery_Date]]-Table1[[#This Row],[Order_Date]]</f>
        <v>3</v>
      </c>
      <c r="U155" s="4">
        <f>Table1[[#This Row],[Price]]*Table1[[#This Row],[Quantity]]</f>
        <v>660.81000000000006</v>
      </c>
      <c r="V155" s="11">
        <f t="shared" si="2"/>
        <v>0.08</v>
      </c>
      <c r="W155" s="4">
        <f>Table1[[#This Row],[Amount]]-(Table1[[#This Row],[Amount]]*Table1[[#This Row],[Discount_Percent]])</f>
        <v>607.94520000000011</v>
      </c>
      <c r="X155" s="4">
        <f>IF(O155="DEL0", Table1[[#This Row],[Discounted_Amount]],Table1[[#This Row],[Discounted_Amount]]+Table1[[#This Row],[Delivery_Charge]])</f>
        <v>655.94520000000011</v>
      </c>
      <c r="Y155" s="4" t="str">
        <f>Table1[[#This Row],[First_Name]]&amp;" "&amp;Table1[[#This Row],[Last_Name]]</f>
        <v>Teresa Harvey</v>
      </c>
      <c r="Z155" s="4" t="str">
        <f>IF(T:T&gt;Table1[[#This Row],[Estimated_Days_to_Deliver]],"Late",IF(T:T=Table1[[#This Row],[Estimated_Days_to_Deliver]],"Intime","BeforeTime"))</f>
        <v>BeforeTime</v>
      </c>
      <c r="AA155" s="4">
        <f>MONTH(Table1[[#This Row],[Order_Date]])</f>
        <v>7</v>
      </c>
      <c r="AB155" s="13">
        <f>Table1[[#This Row],[Amount]]*Table1[[#This Row],[Discount_Percent]]</f>
        <v>52.864800000000002</v>
      </c>
    </row>
    <row r="156" spans="1:28" ht="14.25" customHeight="1">
      <c r="A156" s="1" t="s">
        <v>275</v>
      </c>
      <c r="B156" s="1" t="s">
        <v>276</v>
      </c>
      <c r="C156" s="1" t="s">
        <v>277</v>
      </c>
      <c r="D156" s="1">
        <v>44</v>
      </c>
      <c r="E156" s="1" t="s">
        <v>31</v>
      </c>
      <c r="F156" s="1" t="s">
        <v>223</v>
      </c>
      <c r="G156" s="1" t="s">
        <v>278</v>
      </c>
      <c r="H156" s="1" t="s">
        <v>279</v>
      </c>
      <c r="I156" s="1" t="s">
        <v>913</v>
      </c>
      <c r="J156" s="24">
        <v>45584</v>
      </c>
      <c r="K156" s="1" t="s">
        <v>914</v>
      </c>
      <c r="L156" s="1" t="s">
        <v>311</v>
      </c>
      <c r="M156" s="1">
        <v>129.75</v>
      </c>
      <c r="N156" s="1">
        <v>1</v>
      </c>
      <c r="O156" s="1" t="s">
        <v>65</v>
      </c>
      <c r="P156" s="1">
        <v>5</v>
      </c>
      <c r="Q156" s="1">
        <v>44</v>
      </c>
      <c r="R156" s="24">
        <v>45591</v>
      </c>
      <c r="S156" s="1" t="s">
        <v>915</v>
      </c>
      <c r="T156" s="4">
        <f>Table1[[#This Row],[Delivery_Date]]-Table1[[#This Row],[Order_Date]]</f>
        <v>7</v>
      </c>
      <c r="U156" s="4">
        <f>Table1[[#This Row],[Price]]*Table1[[#This Row],[Quantity]]</f>
        <v>129.75</v>
      </c>
      <c r="V156" s="11">
        <f t="shared" si="2"/>
        <v>0</v>
      </c>
      <c r="W156" s="4">
        <f>Table1[[#This Row],[Amount]]-(Table1[[#This Row],[Amount]]*Table1[[#This Row],[Discount_Percent]])</f>
        <v>129.75</v>
      </c>
      <c r="X156" s="4">
        <f>IF(O156="DEL0", Table1[[#This Row],[Discounted_Amount]],Table1[[#This Row],[Discounted_Amount]]+Table1[[#This Row],[Delivery_Charge]])</f>
        <v>129.75</v>
      </c>
      <c r="Y156" s="4" t="str">
        <f>Table1[[#This Row],[First_Name]]&amp;" "&amp;Table1[[#This Row],[Last_Name]]</f>
        <v>Lauren Long</v>
      </c>
      <c r="Z156" s="4" t="str">
        <f>IF(T:T&gt;Table1[[#This Row],[Estimated_Days_to_Deliver]],"Late",IF(T:T=Table1[[#This Row],[Estimated_Days_to_Deliver]],"Intime","BeforeTime"))</f>
        <v>Late</v>
      </c>
      <c r="AA156" s="4">
        <f>MONTH(Table1[[#This Row],[Order_Date]])</f>
        <v>10</v>
      </c>
      <c r="AB156" s="13">
        <f>Table1[[#This Row],[Amount]]*Table1[[#This Row],[Discount_Percent]]</f>
        <v>0</v>
      </c>
    </row>
    <row r="157" spans="1:28" ht="14.25" customHeight="1">
      <c r="A157" s="1" t="s">
        <v>753</v>
      </c>
      <c r="B157" s="1" t="s">
        <v>754</v>
      </c>
      <c r="C157" s="1" t="s">
        <v>755</v>
      </c>
      <c r="D157" s="1">
        <v>43</v>
      </c>
      <c r="E157" s="1" t="s">
        <v>54</v>
      </c>
      <c r="F157" s="1" t="s">
        <v>161</v>
      </c>
      <c r="G157" s="1" t="s">
        <v>756</v>
      </c>
      <c r="H157" s="1" t="s">
        <v>757</v>
      </c>
      <c r="I157" s="1" t="s">
        <v>916</v>
      </c>
      <c r="J157" s="24">
        <v>45291</v>
      </c>
      <c r="K157" s="1" t="s">
        <v>917</v>
      </c>
      <c r="L157" s="1" t="s">
        <v>517</v>
      </c>
      <c r="M157" s="1">
        <v>136.30000000000001</v>
      </c>
      <c r="N157" s="1">
        <v>1</v>
      </c>
      <c r="O157" s="1" t="s">
        <v>60</v>
      </c>
      <c r="P157" s="1">
        <v>5</v>
      </c>
      <c r="Q157" s="1">
        <v>64</v>
      </c>
      <c r="R157" s="24">
        <v>45296</v>
      </c>
      <c r="S157" s="1" t="s">
        <v>918</v>
      </c>
      <c r="T157" s="4">
        <f>Table1[[#This Row],[Delivery_Date]]-Table1[[#This Row],[Order_Date]]</f>
        <v>5</v>
      </c>
      <c r="U157" s="4">
        <f>Table1[[#This Row],[Price]]*Table1[[#This Row],[Quantity]]</f>
        <v>136.30000000000001</v>
      </c>
      <c r="V157" s="11">
        <f t="shared" si="2"/>
        <v>0.15</v>
      </c>
      <c r="W157" s="4">
        <f>Table1[[#This Row],[Amount]]-(Table1[[#This Row],[Amount]]*Table1[[#This Row],[Discount_Percent]])</f>
        <v>115.85500000000002</v>
      </c>
      <c r="X157" s="4">
        <f>IF(O157="DEL0", Table1[[#This Row],[Discounted_Amount]],Table1[[#This Row],[Discounted_Amount]]+Table1[[#This Row],[Delivery_Charge]])</f>
        <v>179.85500000000002</v>
      </c>
      <c r="Y157" s="4" t="str">
        <f>Table1[[#This Row],[First_Name]]&amp;" "&amp;Table1[[#This Row],[Last_Name]]</f>
        <v>Barbara Fuller</v>
      </c>
      <c r="Z157" s="4" t="str">
        <f>IF(T:T&gt;Table1[[#This Row],[Estimated_Days_to_Deliver]],"Late",IF(T:T=Table1[[#This Row],[Estimated_Days_to_Deliver]],"Intime","BeforeTime"))</f>
        <v>Intime</v>
      </c>
      <c r="AA157" s="4">
        <f>MONTH(Table1[[#This Row],[Order_Date]])</f>
        <v>12</v>
      </c>
      <c r="AB157" s="13">
        <f>Table1[[#This Row],[Amount]]*Table1[[#This Row],[Discount_Percent]]</f>
        <v>20.445</v>
      </c>
    </row>
    <row r="158" spans="1:28" ht="14.25" customHeight="1">
      <c r="A158" s="1" t="s">
        <v>438</v>
      </c>
      <c r="B158" s="1" t="s">
        <v>439</v>
      </c>
      <c r="C158" s="1" t="s">
        <v>440</v>
      </c>
      <c r="D158" s="1">
        <v>28</v>
      </c>
      <c r="E158" s="1" t="s">
        <v>54</v>
      </c>
      <c r="F158" s="1" t="s">
        <v>78</v>
      </c>
      <c r="G158" s="1" t="s">
        <v>441</v>
      </c>
      <c r="H158" s="1" t="s">
        <v>442</v>
      </c>
      <c r="I158" s="1" t="s">
        <v>919</v>
      </c>
      <c r="J158" s="24">
        <v>45482</v>
      </c>
      <c r="K158" s="1" t="s">
        <v>920</v>
      </c>
      <c r="L158" s="1" t="s">
        <v>476</v>
      </c>
      <c r="M158" s="1">
        <v>286.07</v>
      </c>
      <c r="N158" s="1">
        <v>2</v>
      </c>
      <c r="O158" s="1" t="s">
        <v>38</v>
      </c>
      <c r="P158" s="1">
        <v>5</v>
      </c>
      <c r="Q158" s="1">
        <v>54</v>
      </c>
      <c r="R158" s="24">
        <v>45485</v>
      </c>
      <c r="S158" s="1" t="s">
        <v>921</v>
      </c>
      <c r="T158" s="4">
        <f>Table1[[#This Row],[Delivery_Date]]-Table1[[#This Row],[Order_Date]]</f>
        <v>3</v>
      </c>
      <c r="U158" s="4">
        <f>Table1[[#This Row],[Price]]*Table1[[#This Row],[Quantity]]</f>
        <v>572.14</v>
      </c>
      <c r="V158" s="11">
        <f t="shared" si="2"/>
        <v>0.08</v>
      </c>
      <c r="W158" s="4">
        <f>Table1[[#This Row],[Amount]]-(Table1[[#This Row],[Amount]]*Table1[[#This Row],[Discount_Percent]])</f>
        <v>526.36879999999996</v>
      </c>
      <c r="X158" s="4">
        <f>IF(O158="DEL0", Table1[[#This Row],[Discounted_Amount]],Table1[[#This Row],[Discounted_Amount]]+Table1[[#This Row],[Delivery_Charge]])</f>
        <v>580.36879999999996</v>
      </c>
      <c r="Y158" s="4" t="str">
        <f>Table1[[#This Row],[First_Name]]&amp;" "&amp;Table1[[#This Row],[Last_Name]]</f>
        <v>Mary Knight</v>
      </c>
      <c r="Z158" s="4" t="str">
        <f>IF(T:T&gt;Table1[[#This Row],[Estimated_Days_to_Deliver]],"Late",IF(T:T=Table1[[#This Row],[Estimated_Days_to_Deliver]],"Intime","BeforeTime"))</f>
        <v>BeforeTime</v>
      </c>
      <c r="AA158" s="4">
        <f>MONTH(Table1[[#This Row],[Order_Date]])</f>
        <v>7</v>
      </c>
      <c r="AB158" s="13">
        <f>Table1[[#This Row],[Amount]]*Table1[[#This Row],[Discount_Percent]]</f>
        <v>45.7712</v>
      </c>
    </row>
    <row r="159" spans="1:28" ht="14.25" customHeight="1">
      <c r="A159" s="1" t="s">
        <v>510</v>
      </c>
      <c r="B159" s="1" t="s">
        <v>511</v>
      </c>
      <c r="C159" s="1" t="s">
        <v>512</v>
      </c>
      <c r="D159" s="1">
        <v>64</v>
      </c>
      <c r="E159" s="1" t="s">
        <v>31</v>
      </c>
      <c r="F159" s="1" t="s">
        <v>32</v>
      </c>
      <c r="G159" s="1" t="s">
        <v>513</v>
      </c>
      <c r="H159" s="1" t="s">
        <v>514</v>
      </c>
      <c r="I159" s="1" t="s">
        <v>922</v>
      </c>
      <c r="J159" s="24">
        <v>45089</v>
      </c>
      <c r="K159" s="1" t="s">
        <v>923</v>
      </c>
      <c r="L159" s="1" t="s">
        <v>97</v>
      </c>
      <c r="M159" s="1">
        <v>363.64</v>
      </c>
      <c r="N159" s="1">
        <v>2</v>
      </c>
      <c r="O159" s="1" t="s">
        <v>65</v>
      </c>
      <c r="P159" s="1">
        <v>5</v>
      </c>
      <c r="Q159" s="1">
        <v>40</v>
      </c>
      <c r="R159" s="24">
        <v>45091</v>
      </c>
      <c r="S159" s="1" t="s">
        <v>924</v>
      </c>
      <c r="T159" s="4">
        <f>Table1[[#This Row],[Delivery_Date]]-Table1[[#This Row],[Order_Date]]</f>
        <v>2</v>
      </c>
      <c r="U159" s="4">
        <f>Table1[[#This Row],[Price]]*Table1[[#This Row],[Quantity]]</f>
        <v>727.28</v>
      </c>
      <c r="V159" s="11">
        <f t="shared" si="2"/>
        <v>0</v>
      </c>
      <c r="W159" s="4">
        <f>Table1[[#This Row],[Amount]]-(Table1[[#This Row],[Amount]]*Table1[[#This Row],[Discount_Percent]])</f>
        <v>727.28</v>
      </c>
      <c r="X159" s="4">
        <f>IF(O159="DEL0", Table1[[#This Row],[Discounted_Amount]],Table1[[#This Row],[Discounted_Amount]]+Table1[[#This Row],[Delivery_Charge]])</f>
        <v>727.28</v>
      </c>
      <c r="Y159" s="4" t="str">
        <f>Table1[[#This Row],[First_Name]]&amp;" "&amp;Table1[[#This Row],[Last_Name]]</f>
        <v>Sarah Butler</v>
      </c>
      <c r="Z159" s="4" t="str">
        <f>IF(T:T&gt;Table1[[#This Row],[Estimated_Days_to_Deliver]],"Late",IF(T:T=Table1[[#This Row],[Estimated_Days_to_Deliver]],"Intime","BeforeTime"))</f>
        <v>BeforeTime</v>
      </c>
      <c r="AA159" s="4">
        <f>MONTH(Table1[[#This Row],[Order_Date]])</f>
        <v>6</v>
      </c>
      <c r="AB159" s="13">
        <f>Table1[[#This Row],[Amount]]*Table1[[#This Row],[Discount_Percent]]</f>
        <v>0</v>
      </c>
    </row>
    <row r="160" spans="1:28" ht="14.25" customHeight="1">
      <c r="A160" s="1" t="s">
        <v>438</v>
      </c>
      <c r="B160" s="1" t="s">
        <v>439</v>
      </c>
      <c r="C160" s="1" t="s">
        <v>440</v>
      </c>
      <c r="D160" s="1">
        <v>28</v>
      </c>
      <c r="E160" s="1" t="s">
        <v>54</v>
      </c>
      <c r="F160" s="1" t="s">
        <v>78</v>
      </c>
      <c r="G160" s="1" t="s">
        <v>441</v>
      </c>
      <c r="H160" s="1" t="s">
        <v>442</v>
      </c>
      <c r="I160" s="1" t="s">
        <v>925</v>
      </c>
      <c r="J160" s="24">
        <v>45610</v>
      </c>
      <c r="K160" s="1" t="s">
        <v>926</v>
      </c>
      <c r="L160" s="1" t="s">
        <v>640</v>
      </c>
      <c r="M160" s="1">
        <v>445.81</v>
      </c>
      <c r="N160" s="1">
        <v>5</v>
      </c>
      <c r="O160" s="1" t="s">
        <v>38</v>
      </c>
      <c r="P160" s="1">
        <v>5</v>
      </c>
      <c r="Q160" s="1">
        <v>70</v>
      </c>
      <c r="R160" s="24">
        <v>45613</v>
      </c>
      <c r="S160" s="1" t="s">
        <v>927</v>
      </c>
      <c r="T160" s="4">
        <f>Table1[[#This Row],[Delivery_Date]]-Table1[[#This Row],[Order_Date]]</f>
        <v>3</v>
      </c>
      <c r="U160" s="4">
        <f>Table1[[#This Row],[Price]]*Table1[[#This Row],[Quantity]]</f>
        <v>2229.0500000000002</v>
      </c>
      <c r="V160" s="11">
        <f t="shared" si="2"/>
        <v>0.08</v>
      </c>
      <c r="W160" s="4">
        <f>Table1[[#This Row],[Amount]]-(Table1[[#This Row],[Amount]]*Table1[[#This Row],[Discount_Percent]])</f>
        <v>2050.7260000000001</v>
      </c>
      <c r="X160" s="4">
        <f>IF(O160="DEL0", Table1[[#This Row],[Discounted_Amount]],Table1[[#This Row],[Discounted_Amount]]+Table1[[#This Row],[Delivery_Charge]])</f>
        <v>2120.7260000000001</v>
      </c>
      <c r="Y160" s="4" t="str">
        <f>Table1[[#This Row],[First_Name]]&amp;" "&amp;Table1[[#This Row],[Last_Name]]</f>
        <v>Mary Knight</v>
      </c>
      <c r="Z160" s="4" t="str">
        <f>IF(T:T&gt;Table1[[#This Row],[Estimated_Days_to_Deliver]],"Late",IF(T:T=Table1[[#This Row],[Estimated_Days_to_Deliver]],"Intime","BeforeTime"))</f>
        <v>BeforeTime</v>
      </c>
      <c r="AA160" s="4">
        <f>MONTH(Table1[[#This Row],[Order_Date]])</f>
        <v>11</v>
      </c>
      <c r="AB160" s="13">
        <f>Table1[[#This Row],[Amount]]*Table1[[#This Row],[Discount_Percent]]</f>
        <v>178.32400000000001</v>
      </c>
    </row>
    <row r="161" spans="1:28" ht="14.25" customHeight="1">
      <c r="A161" s="1" t="s">
        <v>928</v>
      </c>
      <c r="B161" s="1" t="s">
        <v>929</v>
      </c>
      <c r="C161" s="1" t="s">
        <v>930</v>
      </c>
      <c r="D161" s="1">
        <v>24</v>
      </c>
      <c r="E161" s="1" t="s">
        <v>54</v>
      </c>
      <c r="F161" s="1" t="s">
        <v>223</v>
      </c>
      <c r="G161" s="1" t="s">
        <v>931</v>
      </c>
      <c r="H161" s="1" t="s">
        <v>932</v>
      </c>
      <c r="I161" s="1" t="s">
        <v>933</v>
      </c>
      <c r="J161" s="24">
        <v>45045</v>
      </c>
      <c r="K161" s="1" t="s">
        <v>934</v>
      </c>
      <c r="L161" s="1" t="s">
        <v>741</v>
      </c>
      <c r="M161" s="1">
        <v>110.95</v>
      </c>
      <c r="N161" s="1">
        <v>5</v>
      </c>
      <c r="O161" s="1" t="s">
        <v>87</v>
      </c>
      <c r="P161" s="1">
        <v>5</v>
      </c>
      <c r="Q161" s="1">
        <v>62</v>
      </c>
      <c r="R161" s="24">
        <v>45047</v>
      </c>
      <c r="S161" s="1" t="s">
        <v>935</v>
      </c>
      <c r="T161" s="4">
        <f>Table1[[#This Row],[Delivery_Date]]-Table1[[#This Row],[Order_Date]]</f>
        <v>2</v>
      </c>
      <c r="U161" s="4">
        <f>Table1[[#This Row],[Price]]*Table1[[#This Row],[Quantity]]</f>
        <v>554.75</v>
      </c>
      <c r="V161" s="11">
        <f t="shared" si="2"/>
        <v>0.2</v>
      </c>
      <c r="W161" s="4">
        <f>Table1[[#This Row],[Amount]]-(Table1[[#This Row],[Amount]]*Table1[[#This Row],[Discount_Percent]])</f>
        <v>443.8</v>
      </c>
      <c r="X161" s="4">
        <f>IF(O161="DEL0", Table1[[#This Row],[Discounted_Amount]],Table1[[#This Row],[Discounted_Amount]]+Table1[[#This Row],[Delivery_Charge]])</f>
        <v>505.8</v>
      </c>
      <c r="Y161" s="4" t="str">
        <f>Table1[[#This Row],[First_Name]]&amp;" "&amp;Table1[[#This Row],[Last_Name]]</f>
        <v>Rachael Robinson</v>
      </c>
      <c r="Z161" s="4" t="str">
        <f>IF(T:T&gt;Table1[[#This Row],[Estimated_Days_to_Deliver]],"Late",IF(T:T=Table1[[#This Row],[Estimated_Days_to_Deliver]],"Intime","BeforeTime"))</f>
        <v>BeforeTime</v>
      </c>
      <c r="AA161" s="4">
        <f>MONTH(Table1[[#This Row],[Order_Date]])</f>
        <v>4</v>
      </c>
      <c r="AB161" s="13">
        <f>Table1[[#This Row],[Amount]]*Table1[[#This Row],[Discount_Percent]]</f>
        <v>110.95</v>
      </c>
    </row>
    <row r="162" spans="1:28" ht="14.25" customHeight="1">
      <c r="A162" s="1" t="s">
        <v>486</v>
      </c>
      <c r="B162" s="1" t="s">
        <v>487</v>
      </c>
      <c r="C162" s="1" t="s">
        <v>132</v>
      </c>
      <c r="D162" s="1">
        <v>68</v>
      </c>
      <c r="E162" s="1" t="s">
        <v>54</v>
      </c>
      <c r="F162" s="1" t="s">
        <v>223</v>
      </c>
      <c r="G162" s="1" t="s">
        <v>488</v>
      </c>
      <c r="H162" s="1" t="s">
        <v>489</v>
      </c>
      <c r="I162" s="1" t="s">
        <v>936</v>
      </c>
      <c r="J162" s="24">
        <v>45529</v>
      </c>
      <c r="K162" s="1" t="s">
        <v>937</v>
      </c>
      <c r="L162" s="1" t="s">
        <v>185</v>
      </c>
      <c r="M162" s="1">
        <v>104.18</v>
      </c>
      <c r="N162" s="1">
        <v>4</v>
      </c>
      <c r="O162" s="1" t="s">
        <v>38</v>
      </c>
      <c r="P162" s="1">
        <v>5</v>
      </c>
      <c r="Q162" s="1">
        <v>45</v>
      </c>
      <c r="R162" s="24">
        <v>45536</v>
      </c>
      <c r="S162" s="1" t="s">
        <v>938</v>
      </c>
      <c r="T162" s="4">
        <f>Table1[[#This Row],[Delivery_Date]]-Table1[[#This Row],[Order_Date]]</f>
        <v>7</v>
      </c>
      <c r="U162" s="4">
        <f>Table1[[#This Row],[Price]]*Table1[[#This Row],[Quantity]]</f>
        <v>416.72</v>
      </c>
      <c r="V162" s="11">
        <f t="shared" si="2"/>
        <v>0.08</v>
      </c>
      <c r="W162" s="4">
        <f>Table1[[#This Row],[Amount]]-(Table1[[#This Row],[Amount]]*Table1[[#This Row],[Discount_Percent]])</f>
        <v>383.38240000000002</v>
      </c>
      <c r="X162" s="4">
        <f>IF(O162="DEL0", Table1[[#This Row],[Discounted_Amount]],Table1[[#This Row],[Discounted_Amount]]+Table1[[#This Row],[Delivery_Charge]])</f>
        <v>428.38240000000002</v>
      </c>
      <c r="Y162" s="4" t="str">
        <f>Table1[[#This Row],[First_Name]]&amp;" "&amp;Table1[[#This Row],[Last_Name]]</f>
        <v>Brittany Stewart</v>
      </c>
      <c r="Z162" s="4" t="str">
        <f>IF(T:T&gt;Table1[[#This Row],[Estimated_Days_to_Deliver]],"Late",IF(T:T=Table1[[#This Row],[Estimated_Days_to_Deliver]],"Intime","BeforeTime"))</f>
        <v>Late</v>
      </c>
      <c r="AA162" s="4">
        <f>MONTH(Table1[[#This Row],[Order_Date]])</f>
        <v>8</v>
      </c>
      <c r="AB162" s="13">
        <f>Table1[[#This Row],[Amount]]*Table1[[#This Row],[Discount_Percent]]</f>
        <v>33.337600000000002</v>
      </c>
    </row>
    <row r="163" spans="1:28" ht="14.25" customHeight="1">
      <c r="A163" s="1" t="s">
        <v>469</v>
      </c>
      <c r="B163" s="1" t="s">
        <v>470</v>
      </c>
      <c r="C163" s="1" t="s">
        <v>471</v>
      </c>
      <c r="D163" s="1">
        <v>18</v>
      </c>
      <c r="E163" s="1" t="s">
        <v>43</v>
      </c>
      <c r="F163" s="1" t="s">
        <v>44</v>
      </c>
      <c r="G163" s="1" t="s">
        <v>472</v>
      </c>
      <c r="H163" s="1" t="s">
        <v>473</v>
      </c>
      <c r="I163" s="1" t="s">
        <v>939</v>
      </c>
      <c r="J163" s="24">
        <v>45535</v>
      </c>
      <c r="K163" s="1" t="s">
        <v>940</v>
      </c>
      <c r="L163" s="1" t="s">
        <v>359</v>
      </c>
      <c r="M163" s="1">
        <v>496.59</v>
      </c>
      <c r="N163" s="1">
        <v>4</v>
      </c>
      <c r="O163" s="1" t="s">
        <v>87</v>
      </c>
      <c r="P163" s="1">
        <v>5</v>
      </c>
      <c r="Q163" s="1">
        <v>59</v>
      </c>
      <c r="R163" s="24">
        <v>45541</v>
      </c>
      <c r="S163" s="1" t="s">
        <v>941</v>
      </c>
      <c r="T163" s="4">
        <f>Table1[[#This Row],[Delivery_Date]]-Table1[[#This Row],[Order_Date]]</f>
        <v>6</v>
      </c>
      <c r="U163" s="4">
        <f>Table1[[#This Row],[Price]]*Table1[[#This Row],[Quantity]]</f>
        <v>1986.36</v>
      </c>
      <c r="V163" s="11">
        <f t="shared" si="2"/>
        <v>0.2</v>
      </c>
      <c r="W163" s="4">
        <f>Table1[[#This Row],[Amount]]-(Table1[[#This Row],[Amount]]*Table1[[#This Row],[Discount_Percent]])</f>
        <v>1589.088</v>
      </c>
      <c r="X163" s="4">
        <f>IF(O163="DEL0", Table1[[#This Row],[Discounted_Amount]],Table1[[#This Row],[Discounted_Amount]]+Table1[[#This Row],[Delivery_Charge]])</f>
        <v>1648.088</v>
      </c>
      <c r="Y163" s="4" t="str">
        <f>Table1[[#This Row],[First_Name]]&amp;" "&amp;Table1[[#This Row],[Last_Name]]</f>
        <v>Lori Cook</v>
      </c>
      <c r="Z163" s="4" t="str">
        <f>IF(T:T&gt;Table1[[#This Row],[Estimated_Days_to_Deliver]],"Late",IF(T:T=Table1[[#This Row],[Estimated_Days_to_Deliver]],"Intime","BeforeTime"))</f>
        <v>Late</v>
      </c>
      <c r="AA163" s="4">
        <f>MONTH(Table1[[#This Row],[Order_Date]])</f>
        <v>8</v>
      </c>
      <c r="AB163" s="13">
        <f>Table1[[#This Row],[Amount]]*Table1[[#This Row],[Discount_Percent]]</f>
        <v>397.27199999999999</v>
      </c>
    </row>
    <row r="164" spans="1:28" ht="14.25" customHeight="1">
      <c r="A164" s="1" t="s">
        <v>121</v>
      </c>
      <c r="B164" s="1" t="s">
        <v>122</v>
      </c>
      <c r="C164" s="1" t="s">
        <v>123</v>
      </c>
      <c r="D164" s="1">
        <v>20</v>
      </c>
      <c r="E164" s="1" t="s">
        <v>31</v>
      </c>
      <c r="F164" s="1" t="s">
        <v>92</v>
      </c>
      <c r="G164" s="1" t="s">
        <v>124</v>
      </c>
      <c r="H164" s="1" t="s">
        <v>125</v>
      </c>
      <c r="I164" s="1" t="s">
        <v>942</v>
      </c>
      <c r="J164" s="24">
        <v>44981</v>
      </c>
      <c r="K164" s="1" t="s">
        <v>943</v>
      </c>
      <c r="L164" s="1" t="s">
        <v>944</v>
      </c>
      <c r="M164" s="1">
        <v>107.47</v>
      </c>
      <c r="N164" s="1">
        <v>5</v>
      </c>
      <c r="O164" s="1" t="s">
        <v>87</v>
      </c>
      <c r="P164" s="1">
        <v>5</v>
      </c>
      <c r="Q164" s="1">
        <v>48</v>
      </c>
      <c r="R164" s="24">
        <v>44987</v>
      </c>
      <c r="S164" s="1" t="s">
        <v>945</v>
      </c>
      <c r="T164" s="4">
        <f>Table1[[#This Row],[Delivery_Date]]-Table1[[#This Row],[Order_Date]]</f>
        <v>6</v>
      </c>
      <c r="U164" s="4">
        <f>Table1[[#This Row],[Price]]*Table1[[#This Row],[Quantity]]</f>
        <v>537.35</v>
      </c>
      <c r="V164" s="11">
        <f t="shared" si="2"/>
        <v>0.2</v>
      </c>
      <c r="W164" s="4">
        <f>Table1[[#This Row],[Amount]]-(Table1[[#This Row],[Amount]]*Table1[[#This Row],[Discount_Percent]])</f>
        <v>429.88</v>
      </c>
      <c r="X164" s="4">
        <f>IF(O164="DEL0", Table1[[#This Row],[Discounted_Amount]],Table1[[#This Row],[Discounted_Amount]]+Table1[[#This Row],[Delivery_Charge]])</f>
        <v>477.88</v>
      </c>
      <c r="Y164" s="4" t="str">
        <f>Table1[[#This Row],[First_Name]]&amp;" "&amp;Table1[[#This Row],[Last_Name]]</f>
        <v>Bobby Forbes</v>
      </c>
      <c r="Z164" s="4" t="str">
        <f>IF(T:T&gt;Table1[[#This Row],[Estimated_Days_to_Deliver]],"Late",IF(T:T=Table1[[#This Row],[Estimated_Days_to_Deliver]],"Intime","BeforeTime"))</f>
        <v>Late</v>
      </c>
      <c r="AA164" s="4">
        <f>MONTH(Table1[[#This Row],[Order_Date]])</f>
        <v>2</v>
      </c>
      <c r="AB164" s="13">
        <f>Table1[[#This Row],[Amount]]*Table1[[#This Row],[Discount_Percent]]</f>
        <v>107.47000000000001</v>
      </c>
    </row>
    <row r="165" spans="1:28" ht="14.25" customHeight="1">
      <c r="A165" s="1" t="s">
        <v>928</v>
      </c>
      <c r="B165" s="1" t="s">
        <v>929</v>
      </c>
      <c r="C165" s="1" t="s">
        <v>930</v>
      </c>
      <c r="D165" s="1">
        <v>24</v>
      </c>
      <c r="E165" s="1" t="s">
        <v>54</v>
      </c>
      <c r="F165" s="1" t="s">
        <v>223</v>
      </c>
      <c r="G165" s="1" t="s">
        <v>931</v>
      </c>
      <c r="H165" s="1" t="s">
        <v>932</v>
      </c>
      <c r="I165" s="1" t="s">
        <v>946</v>
      </c>
      <c r="J165" s="24">
        <v>45207</v>
      </c>
      <c r="K165" s="1" t="s">
        <v>947</v>
      </c>
      <c r="L165" s="1" t="s">
        <v>249</v>
      </c>
      <c r="M165" s="1">
        <v>282.63</v>
      </c>
      <c r="N165" s="1">
        <v>1</v>
      </c>
      <c r="O165" s="1" t="s">
        <v>65</v>
      </c>
      <c r="P165" s="1">
        <v>5</v>
      </c>
      <c r="Q165" s="1">
        <v>45</v>
      </c>
      <c r="R165" s="24">
        <v>45214</v>
      </c>
      <c r="S165" s="1" t="s">
        <v>948</v>
      </c>
      <c r="T165" s="4">
        <f>Table1[[#This Row],[Delivery_Date]]-Table1[[#This Row],[Order_Date]]</f>
        <v>7</v>
      </c>
      <c r="U165" s="4">
        <f>Table1[[#This Row],[Price]]*Table1[[#This Row],[Quantity]]</f>
        <v>282.63</v>
      </c>
      <c r="V165" s="11">
        <f t="shared" si="2"/>
        <v>0</v>
      </c>
      <c r="W165" s="4">
        <f>Table1[[#This Row],[Amount]]-(Table1[[#This Row],[Amount]]*Table1[[#This Row],[Discount_Percent]])</f>
        <v>282.63</v>
      </c>
      <c r="X165" s="4">
        <f>IF(O165="DEL0", Table1[[#This Row],[Discounted_Amount]],Table1[[#This Row],[Discounted_Amount]]+Table1[[#This Row],[Delivery_Charge]])</f>
        <v>282.63</v>
      </c>
      <c r="Y165" s="4" t="str">
        <f>Table1[[#This Row],[First_Name]]&amp;" "&amp;Table1[[#This Row],[Last_Name]]</f>
        <v>Rachael Robinson</v>
      </c>
      <c r="Z165" s="4" t="str">
        <f>IF(T:T&gt;Table1[[#This Row],[Estimated_Days_to_Deliver]],"Late",IF(T:T=Table1[[#This Row],[Estimated_Days_to_Deliver]],"Intime","BeforeTime"))</f>
        <v>Late</v>
      </c>
      <c r="AA165" s="4">
        <f>MONTH(Table1[[#This Row],[Order_Date]])</f>
        <v>10</v>
      </c>
      <c r="AB165" s="13">
        <f>Table1[[#This Row],[Amount]]*Table1[[#This Row],[Discount_Percent]]</f>
        <v>0</v>
      </c>
    </row>
    <row r="166" spans="1:28" ht="14.25" customHeight="1">
      <c r="A166" s="1" t="s">
        <v>130</v>
      </c>
      <c r="B166" s="1" t="s">
        <v>131</v>
      </c>
      <c r="C166" s="1" t="s">
        <v>132</v>
      </c>
      <c r="D166" s="1">
        <v>30</v>
      </c>
      <c r="E166" s="1" t="s">
        <v>43</v>
      </c>
      <c r="F166" s="1" t="s">
        <v>44</v>
      </c>
      <c r="G166" s="1" t="s">
        <v>133</v>
      </c>
      <c r="H166" s="1" t="s">
        <v>134</v>
      </c>
      <c r="I166" s="1" t="s">
        <v>949</v>
      </c>
      <c r="J166" s="24">
        <v>45185</v>
      </c>
      <c r="K166" s="1" t="s">
        <v>950</v>
      </c>
      <c r="L166" s="1" t="s">
        <v>433</v>
      </c>
      <c r="M166" s="1">
        <v>369.03</v>
      </c>
      <c r="N166" s="1">
        <v>1</v>
      </c>
      <c r="O166" s="1" t="s">
        <v>87</v>
      </c>
      <c r="P166" s="1">
        <v>5</v>
      </c>
      <c r="Q166" s="1">
        <v>48</v>
      </c>
      <c r="R166" s="24">
        <v>45192</v>
      </c>
      <c r="S166" s="1" t="s">
        <v>951</v>
      </c>
      <c r="T166" s="4">
        <f>Table1[[#This Row],[Delivery_Date]]-Table1[[#This Row],[Order_Date]]</f>
        <v>7</v>
      </c>
      <c r="U166" s="4">
        <f>Table1[[#This Row],[Price]]*Table1[[#This Row],[Quantity]]</f>
        <v>369.03</v>
      </c>
      <c r="V166" s="11">
        <f t="shared" si="2"/>
        <v>0.2</v>
      </c>
      <c r="W166" s="4">
        <f>Table1[[#This Row],[Amount]]-(Table1[[#This Row],[Amount]]*Table1[[#This Row],[Discount_Percent]])</f>
        <v>295.22399999999999</v>
      </c>
      <c r="X166" s="4">
        <f>IF(O166="DEL0", Table1[[#This Row],[Discounted_Amount]],Table1[[#This Row],[Discounted_Amount]]+Table1[[#This Row],[Delivery_Charge]])</f>
        <v>343.22399999999999</v>
      </c>
      <c r="Y166" s="4" t="str">
        <f>Table1[[#This Row],[First_Name]]&amp;" "&amp;Table1[[#This Row],[Last_Name]]</f>
        <v>Joseph Stewart</v>
      </c>
      <c r="Z166" s="4" t="str">
        <f>IF(T:T&gt;Table1[[#This Row],[Estimated_Days_to_Deliver]],"Late",IF(T:T=Table1[[#This Row],[Estimated_Days_to_Deliver]],"Intime","BeforeTime"))</f>
        <v>Late</v>
      </c>
      <c r="AA166" s="4">
        <f>MONTH(Table1[[#This Row],[Order_Date]])</f>
        <v>9</v>
      </c>
      <c r="AB166" s="13">
        <f>Table1[[#This Row],[Amount]]*Table1[[#This Row],[Discount_Percent]]</f>
        <v>73.805999999999997</v>
      </c>
    </row>
    <row r="167" spans="1:28" ht="14.25" customHeight="1">
      <c r="A167" s="1" t="s">
        <v>149</v>
      </c>
      <c r="B167" s="1" t="s">
        <v>150</v>
      </c>
      <c r="C167" s="1" t="s">
        <v>151</v>
      </c>
      <c r="D167" s="1">
        <v>44</v>
      </c>
      <c r="E167" s="1" t="s">
        <v>43</v>
      </c>
      <c r="F167" s="1" t="s">
        <v>92</v>
      </c>
      <c r="G167" s="1" t="s">
        <v>152</v>
      </c>
      <c r="H167" s="1" t="s">
        <v>153</v>
      </c>
      <c r="I167" s="1" t="s">
        <v>952</v>
      </c>
      <c r="J167" s="24">
        <v>45513</v>
      </c>
      <c r="K167" s="1" t="s">
        <v>953</v>
      </c>
      <c r="L167" s="1" t="s">
        <v>185</v>
      </c>
      <c r="M167" s="1">
        <v>104.18</v>
      </c>
      <c r="N167" s="1">
        <v>2</v>
      </c>
      <c r="O167" s="1" t="s">
        <v>65</v>
      </c>
      <c r="P167" s="1">
        <v>5</v>
      </c>
      <c r="Q167" s="1">
        <v>57</v>
      </c>
      <c r="R167" s="24">
        <v>45515</v>
      </c>
      <c r="S167" s="1" t="s">
        <v>954</v>
      </c>
      <c r="T167" s="4">
        <f>Table1[[#This Row],[Delivery_Date]]-Table1[[#This Row],[Order_Date]]</f>
        <v>2</v>
      </c>
      <c r="U167" s="4">
        <f>Table1[[#This Row],[Price]]*Table1[[#This Row],[Quantity]]</f>
        <v>208.36</v>
      </c>
      <c r="V167" s="11">
        <f t="shared" si="2"/>
        <v>0</v>
      </c>
      <c r="W167" s="4">
        <f>Table1[[#This Row],[Amount]]-(Table1[[#This Row],[Amount]]*Table1[[#This Row],[Discount_Percent]])</f>
        <v>208.36</v>
      </c>
      <c r="X167" s="4">
        <f>IF(O167="DEL0", Table1[[#This Row],[Discounted_Amount]],Table1[[#This Row],[Discounted_Amount]]+Table1[[#This Row],[Delivery_Charge]])</f>
        <v>208.36</v>
      </c>
      <c r="Y167" s="4" t="str">
        <f>Table1[[#This Row],[First_Name]]&amp;" "&amp;Table1[[#This Row],[Last_Name]]</f>
        <v>Amy Reid</v>
      </c>
      <c r="Z167" s="4" t="str">
        <f>IF(T:T&gt;Table1[[#This Row],[Estimated_Days_to_Deliver]],"Late",IF(T:T=Table1[[#This Row],[Estimated_Days_to_Deliver]],"Intime","BeforeTime"))</f>
        <v>BeforeTime</v>
      </c>
      <c r="AA167" s="4">
        <f>MONTH(Table1[[#This Row],[Order_Date]])</f>
        <v>8</v>
      </c>
      <c r="AB167" s="13">
        <f>Table1[[#This Row],[Amount]]*Table1[[#This Row],[Discount_Percent]]</f>
        <v>0</v>
      </c>
    </row>
    <row r="168" spans="1:28" ht="14.25" customHeight="1">
      <c r="A168" s="1" t="s">
        <v>415</v>
      </c>
      <c r="B168" s="1" t="s">
        <v>231</v>
      </c>
      <c r="C168" s="1" t="s">
        <v>416</v>
      </c>
      <c r="D168" s="1">
        <v>28</v>
      </c>
      <c r="E168" s="1" t="s">
        <v>54</v>
      </c>
      <c r="F168" s="1" t="s">
        <v>142</v>
      </c>
      <c r="G168" s="1" t="s">
        <v>417</v>
      </c>
      <c r="H168" s="1" t="s">
        <v>418</v>
      </c>
      <c r="I168" s="1" t="s">
        <v>955</v>
      </c>
      <c r="J168" s="24">
        <v>45550</v>
      </c>
      <c r="K168" s="1" t="s">
        <v>956</v>
      </c>
      <c r="L168" s="1" t="s">
        <v>156</v>
      </c>
      <c r="M168" s="1">
        <v>220.27</v>
      </c>
      <c r="N168" s="1">
        <v>2</v>
      </c>
      <c r="O168" s="1" t="s">
        <v>87</v>
      </c>
      <c r="P168" s="1">
        <v>5</v>
      </c>
      <c r="Q168" s="1">
        <v>42</v>
      </c>
      <c r="R168" s="24">
        <v>45552</v>
      </c>
      <c r="S168" s="1" t="s">
        <v>957</v>
      </c>
      <c r="T168" s="4">
        <f>Table1[[#This Row],[Delivery_Date]]-Table1[[#This Row],[Order_Date]]</f>
        <v>2</v>
      </c>
      <c r="U168" s="4">
        <f>Table1[[#This Row],[Price]]*Table1[[#This Row],[Quantity]]</f>
        <v>440.54</v>
      </c>
      <c r="V168" s="11">
        <f t="shared" si="2"/>
        <v>0.2</v>
      </c>
      <c r="W168" s="4">
        <f>Table1[[#This Row],[Amount]]-(Table1[[#This Row],[Amount]]*Table1[[#This Row],[Discount_Percent]])</f>
        <v>352.43200000000002</v>
      </c>
      <c r="X168" s="4">
        <f>IF(O168="DEL0", Table1[[#This Row],[Discounted_Amount]],Table1[[#This Row],[Discounted_Amount]]+Table1[[#This Row],[Delivery_Charge]])</f>
        <v>394.43200000000002</v>
      </c>
      <c r="Y168" s="4" t="str">
        <f>Table1[[#This Row],[First_Name]]&amp;" "&amp;Table1[[#This Row],[Last_Name]]</f>
        <v>John Ramirez</v>
      </c>
      <c r="Z168" s="4" t="str">
        <f>IF(T:T&gt;Table1[[#This Row],[Estimated_Days_to_Deliver]],"Late",IF(T:T=Table1[[#This Row],[Estimated_Days_to_Deliver]],"Intime","BeforeTime"))</f>
        <v>BeforeTime</v>
      </c>
      <c r="AA168" s="4">
        <f>MONTH(Table1[[#This Row],[Order_Date]])</f>
        <v>9</v>
      </c>
      <c r="AB168" s="13">
        <f>Table1[[#This Row],[Amount]]*Table1[[#This Row],[Discount_Percent]]</f>
        <v>88.108000000000004</v>
      </c>
    </row>
    <row r="169" spans="1:28" ht="14.25" customHeight="1">
      <c r="A169" s="1" t="s">
        <v>538</v>
      </c>
      <c r="B169" s="1" t="s">
        <v>539</v>
      </c>
      <c r="C169" s="1" t="s">
        <v>540</v>
      </c>
      <c r="D169" s="1">
        <v>32</v>
      </c>
      <c r="E169" s="1" t="s">
        <v>54</v>
      </c>
      <c r="F169" s="1" t="s">
        <v>92</v>
      </c>
      <c r="G169" s="1" t="s">
        <v>541</v>
      </c>
      <c r="H169" s="1" t="s">
        <v>542</v>
      </c>
      <c r="I169" s="1" t="s">
        <v>958</v>
      </c>
      <c r="J169" s="24">
        <v>45125</v>
      </c>
      <c r="K169" s="1" t="s">
        <v>959</v>
      </c>
      <c r="L169" s="1" t="s">
        <v>660</v>
      </c>
      <c r="M169" s="1">
        <v>235.63</v>
      </c>
      <c r="N169" s="1">
        <v>5</v>
      </c>
      <c r="O169" s="1" t="s">
        <v>38</v>
      </c>
      <c r="P169" s="1">
        <v>5</v>
      </c>
      <c r="Q169" s="1">
        <v>52</v>
      </c>
      <c r="R169" s="24">
        <v>45129</v>
      </c>
      <c r="S169" s="1" t="s">
        <v>960</v>
      </c>
      <c r="T169" s="4">
        <f>Table1[[#This Row],[Delivery_Date]]-Table1[[#This Row],[Order_Date]]</f>
        <v>4</v>
      </c>
      <c r="U169" s="4">
        <f>Table1[[#This Row],[Price]]*Table1[[#This Row],[Quantity]]</f>
        <v>1178.1500000000001</v>
      </c>
      <c r="V169" s="11">
        <f t="shared" si="2"/>
        <v>0.08</v>
      </c>
      <c r="W169" s="4">
        <f>Table1[[#This Row],[Amount]]-(Table1[[#This Row],[Amount]]*Table1[[#This Row],[Discount_Percent]])</f>
        <v>1083.8980000000001</v>
      </c>
      <c r="X169" s="4">
        <f>IF(O169="DEL0", Table1[[#This Row],[Discounted_Amount]],Table1[[#This Row],[Discounted_Amount]]+Table1[[#This Row],[Delivery_Charge]])</f>
        <v>1135.8980000000001</v>
      </c>
      <c r="Y169" s="4" t="str">
        <f>Table1[[#This Row],[First_Name]]&amp;" "&amp;Table1[[#This Row],[Last_Name]]</f>
        <v>Brandon Cruz</v>
      </c>
      <c r="Z169" s="4" t="str">
        <f>IF(T:T&gt;Table1[[#This Row],[Estimated_Days_to_Deliver]],"Late",IF(T:T=Table1[[#This Row],[Estimated_Days_to_Deliver]],"Intime","BeforeTime"))</f>
        <v>BeforeTime</v>
      </c>
      <c r="AA169" s="4">
        <f>MONTH(Table1[[#This Row],[Order_Date]])</f>
        <v>7</v>
      </c>
      <c r="AB169" s="13">
        <f>Table1[[#This Row],[Amount]]*Table1[[#This Row],[Discount_Percent]]</f>
        <v>94.25200000000001</v>
      </c>
    </row>
    <row r="170" spans="1:28" ht="14.25" customHeight="1">
      <c r="A170" s="1" t="s">
        <v>642</v>
      </c>
      <c r="B170" s="1" t="s">
        <v>150</v>
      </c>
      <c r="C170" s="1" t="s">
        <v>643</v>
      </c>
      <c r="D170" s="1">
        <v>44</v>
      </c>
      <c r="E170" s="1" t="s">
        <v>54</v>
      </c>
      <c r="F170" s="1" t="s">
        <v>92</v>
      </c>
      <c r="G170" s="1" t="s">
        <v>644</v>
      </c>
      <c r="H170" s="1" t="s">
        <v>645</v>
      </c>
      <c r="I170" s="1" t="s">
        <v>961</v>
      </c>
      <c r="J170" s="24">
        <v>45186</v>
      </c>
      <c r="K170" s="1" t="s">
        <v>962</v>
      </c>
      <c r="L170" s="1" t="s">
        <v>49</v>
      </c>
      <c r="M170" s="1">
        <v>166.28</v>
      </c>
      <c r="N170" s="1">
        <v>4</v>
      </c>
      <c r="O170" s="1" t="s">
        <v>87</v>
      </c>
      <c r="P170" s="1">
        <v>5</v>
      </c>
      <c r="Q170" s="1">
        <v>36</v>
      </c>
      <c r="R170" s="24">
        <v>45193</v>
      </c>
      <c r="S170" s="1" t="s">
        <v>963</v>
      </c>
      <c r="T170" s="4">
        <f>Table1[[#This Row],[Delivery_Date]]-Table1[[#This Row],[Order_Date]]</f>
        <v>7</v>
      </c>
      <c r="U170" s="4">
        <f>Table1[[#This Row],[Price]]*Table1[[#This Row],[Quantity]]</f>
        <v>665.12</v>
      </c>
      <c r="V170" s="11">
        <f t="shared" si="2"/>
        <v>0.2</v>
      </c>
      <c r="W170" s="4">
        <f>Table1[[#This Row],[Amount]]-(Table1[[#This Row],[Amount]]*Table1[[#This Row],[Discount_Percent]])</f>
        <v>532.096</v>
      </c>
      <c r="X170" s="4">
        <f>IF(O170="DEL0", Table1[[#This Row],[Discounted_Amount]],Table1[[#This Row],[Discounted_Amount]]+Table1[[#This Row],[Delivery_Charge]])</f>
        <v>568.096</v>
      </c>
      <c r="Y170" s="4" t="str">
        <f>Table1[[#This Row],[First_Name]]&amp;" "&amp;Table1[[#This Row],[Last_Name]]</f>
        <v>Amy Ellis</v>
      </c>
      <c r="Z170" s="4" t="str">
        <f>IF(T:T&gt;Table1[[#This Row],[Estimated_Days_to_Deliver]],"Late",IF(T:T=Table1[[#This Row],[Estimated_Days_to_Deliver]],"Intime","BeforeTime"))</f>
        <v>Late</v>
      </c>
      <c r="AA170" s="4">
        <f>MONTH(Table1[[#This Row],[Order_Date]])</f>
        <v>9</v>
      </c>
      <c r="AB170" s="13">
        <f>Table1[[#This Row],[Amount]]*Table1[[#This Row],[Discount_Percent]]</f>
        <v>133.024</v>
      </c>
    </row>
    <row r="171" spans="1:28" ht="14.25" customHeight="1">
      <c r="A171" s="1" t="s">
        <v>130</v>
      </c>
      <c r="B171" s="1" t="s">
        <v>131</v>
      </c>
      <c r="C171" s="1" t="s">
        <v>132</v>
      </c>
      <c r="D171" s="1">
        <v>30</v>
      </c>
      <c r="E171" s="1" t="s">
        <v>43</v>
      </c>
      <c r="F171" s="1" t="s">
        <v>44</v>
      </c>
      <c r="G171" s="1" t="s">
        <v>133</v>
      </c>
      <c r="H171" s="1" t="s">
        <v>134</v>
      </c>
      <c r="I171" s="1" t="s">
        <v>964</v>
      </c>
      <c r="J171" s="24">
        <v>45120</v>
      </c>
      <c r="K171" s="1" t="s">
        <v>965</v>
      </c>
      <c r="L171" s="1" t="s">
        <v>64</v>
      </c>
      <c r="M171" s="1">
        <v>405</v>
      </c>
      <c r="N171" s="1">
        <v>5</v>
      </c>
      <c r="O171" s="1" t="s">
        <v>98</v>
      </c>
      <c r="P171" s="1">
        <v>5</v>
      </c>
      <c r="Q171" s="1">
        <v>36</v>
      </c>
      <c r="R171" s="24">
        <v>45127</v>
      </c>
      <c r="S171" s="1" t="s">
        <v>966</v>
      </c>
      <c r="T171" s="4">
        <f>Table1[[#This Row],[Delivery_Date]]-Table1[[#This Row],[Order_Date]]</f>
        <v>7</v>
      </c>
      <c r="U171" s="4">
        <f>Table1[[#This Row],[Price]]*Table1[[#This Row],[Quantity]]</f>
        <v>2025</v>
      </c>
      <c r="V171" s="11">
        <f t="shared" si="2"/>
        <v>0.1</v>
      </c>
      <c r="W171" s="4">
        <f>Table1[[#This Row],[Amount]]-(Table1[[#This Row],[Amount]]*Table1[[#This Row],[Discount_Percent]])</f>
        <v>1822.5</v>
      </c>
      <c r="X171" s="4">
        <f>IF(O171="DEL0", Table1[[#This Row],[Discounted_Amount]],Table1[[#This Row],[Discounted_Amount]]+Table1[[#This Row],[Delivery_Charge]])</f>
        <v>1858.5</v>
      </c>
      <c r="Y171" s="4" t="str">
        <f>Table1[[#This Row],[First_Name]]&amp;" "&amp;Table1[[#This Row],[Last_Name]]</f>
        <v>Joseph Stewart</v>
      </c>
      <c r="Z171" s="4" t="str">
        <f>IF(T:T&gt;Table1[[#This Row],[Estimated_Days_to_Deliver]],"Late",IF(T:T=Table1[[#This Row],[Estimated_Days_to_Deliver]],"Intime","BeforeTime"))</f>
        <v>Late</v>
      </c>
      <c r="AA171" s="4">
        <f>MONTH(Table1[[#This Row],[Order_Date]])</f>
        <v>7</v>
      </c>
      <c r="AB171" s="13">
        <f>Table1[[#This Row],[Amount]]*Table1[[#This Row],[Discount_Percent]]</f>
        <v>202.5</v>
      </c>
    </row>
    <row r="172" spans="1:28" ht="14.25" customHeight="1">
      <c r="A172" s="1" t="s">
        <v>167</v>
      </c>
      <c r="B172" s="1" t="s">
        <v>168</v>
      </c>
      <c r="C172" s="1" t="s">
        <v>169</v>
      </c>
      <c r="D172" s="1">
        <v>46</v>
      </c>
      <c r="E172" s="1" t="s">
        <v>31</v>
      </c>
      <c r="F172" s="1" t="s">
        <v>170</v>
      </c>
      <c r="G172" s="1" t="s">
        <v>171</v>
      </c>
      <c r="H172" s="1" t="s">
        <v>172</v>
      </c>
      <c r="I172" s="1" t="s">
        <v>967</v>
      </c>
      <c r="J172" s="24">
        <v>45591</v>
      </c>
      <c r="K172" s="1" t="s">
        <v>968</v>
      </c>
      <c r="L172" s="1" t="s">
        <v>128</v>
      </c>
      <c r="M172" s="1">
        <v>257.06</v>
      </c>
      <c r="N172" s="1">
        <v>2</v>
      </c>
      <c r="O172" s="1" t="s">
        <v>60</v>
      </c>
      <c r="P172" s="1">
        <v>5</v>
      </c>
      <c r="Q172" s="1">
        <v>59</v>
      </c>
      <c r="R172" s="24">
        <v>45592</v>
      </c>
      <c r="S172" s="1" t="s">
        <v>969</v>
      </c>
      <c r="T172" s="4">
        <f>Table1[[#This Row],[Delivery_Date]]-Table1[[#This Row],[Order_Date]]</f>
        <v>1</v>
      </c>
      <c r="U172" s="4">
        <f>Table1[[#This Row],[Price]]*Table1[[#This Row],[Quantity]]</f>
        <v>514.12</v>
      </c>
      <c r="V172" s="11">
        <f t="shared" si="2"/>
        <v>0.15</v>
      </c>
      <c r="W172" s="4">
        <f>Table1[[#This Row],[Amount]]-(Table1[[#This Row],[Amount]]*Table1[[#This Row],[Discount_Percent]])</f>
        <v>437.00200000000001</v>
      </c>
      <c r="X172" s="4">
        <f>IF(O172="DEL0", Table1[[#This Row],[Discounted_Amount]],Table1[[#This Row],[Discounted_Amount]]+Table1[[#This Row],[Delivery_Charge]])</f>
        <v>496.00200000000001</v>
      </c>
      <c r="Y172" s="4" t="str">
        <f>Table1[[#This Row],[First_Name]]&amp;" "&amp;Table1[[#This Row],[Last_Name]]</f>
        <v>Erin Miller</v>
      </c>
      <c r="Z172" s="4" t="str">
        <f>IF(T:T&gt;Table1[[#This Row],[Estimated_Days_to_Deliver]],"Late",IF(T:T=Table1[[#This Row],[Estimated_Days_to_Deliver]],"Intime","BeforeTime"))</f>
        <v>BeforeTime</v>
      </c>
      <c r="AA172" s="4">
        <f>MONTH(Table1[[#This Row],[Order_Date]])</f>
        <v>10</v>
      </c>
      <c r="AB172" s="13">
        <f>Table1[[#This Row],[Amount]]*Table1[[#This Row],[Discount_Percent]]</f>
        <v>77.117999999999995</v>
      </c>
    </row>
    <row r="173" spans="1:28" ht="14.25" customHeight="1">
      <c r="A173" s="1" t="s">
        <v>928</v>
      </c>
      <c r="B173" s="1" t="s">
        <v>929</v>
      </c>
      <c r="C173" s="1" t="s">
        <v>930</v>
      </c>
      <c r="D173" s="1">
        <v>24</v>
      </c>
      <c r="E173" s="1" t="s">
        <v>54</v>
      </c>
      <c r="F173" s="1" t="s">
        <v>223</v>
      </c>
      <c r="G173" s="1" t="s">
        <v>931</v>
      </c>
      <c r="H173" s="1" t="s">
        <v>932</v>
      </c>
      <c r="I173" s="1" t="s">
        <v>970</v>
      </c>
      <c r="J173" s="24">
        <v>45525</v>
      </c>
      <c r="K173" s="1" t="s">
        <v>971</v>
      </c>
      <c r="L173" s="1" t="s">
        <v>421</v>
      </c>
      <c r="M173" s="1">
        <v>44.5</v>
      </c>
      <c r="N173" s="1">
        <v>4</v>
      </c>
      <c r="O173" s="1" t="s">
        <v>38</v>
      </c>
      <c r="P173" s="1">
        <v>5</v>
      </c>
      <c r="Q173" s="1">
        <v>40</v>
      </c>
      <c r="R173" s="24">
        <v>45531</v>
      </c>
      <c r="S173" s="1" t="s">
        <v>972</v>
      </c>
      <c r="T173" s="4">
        <f>Table1[[#This Row],[Delivery_Date]]-Table1[[#This Row],[Order_Date]]</f>
        <v>6</v>
      </c>
      <c r="U173" s="4">
        <f>Table1[[#This Row],[Price]]*Table1[[#This Row],[Quantity]]</f>
        <v>178</v>
      </c>
      <c r="V173" s="11">
        <f t="shared" si="2"/>
        <v>0.08</v>
      </c>
      <c r="W173" s="4">
        <f>Table1[[#This Row],[Amount]]-(Table1[[#This Row],[Amount]]*Table1[[#This Row],[Discount_Percent]])</f>
        <v>163.76</v>
      </c>
      <c r="X173" s="4">
        <f>IF(O173="DEL0", Table1[[#This Row],[Discounted_Amount]],Table1[[#This Row],[Discounted_Amount]]+Table1[[#This Row],[Delivery_Charge]])</f>
        <v>203.76</v>
      </c>
      <c r="Y173" s="4" t="str">
        <f>Table1[[#This Row],[First_Name]]&amp;" "&amp;Table1[[#This Row],[Last_Name]]</f>
        <v>Rachael Robinson</v>
      </c>
      <c r="Z173" s="4" t="str">
        <f>IF(T:T&gt;Table1[[#This Row],[Estimated_Days_to_Deliver]],"Late",IF(T:T=Table1[[#This Row],[Estimated_Days_to_Deliver]],"Intime","BeforeTime"))</f>
        <v>Late</v>
      </c>
      <c r="AA173" s="4">
        <f>MONTH(Table1[[#This Row],[Order_Date]])</f>
        <v>8</v>
      </c>
      <c r="AB173" s="13">
        <f>Table1[[#This Row],[Amount]]*Table1[[#This Row],[Discount_Percent]]</f>
        <v>14.24</v>
      </c>
    </row>
    <row r="174" spans="1:28" ht="14.25" customHeight="1">
      <c r="A174" s="1" t="s">
        <v>642</v>
      </c>
      <c r="B174" s="1" t="s">
        <v>150</v>
      </c>
      <c r="C174" s="1" t="s">
        <v>643</v>
      </c>
      <c r="D174" s="1">
        <v>44</v>
      </c>
      <c r="E174" s="1" t="s">
        <v>54</v>
      </c>
      <c r="F174" s="1" t="s">
        <v>92</v>
      </c>
      <c r="G174" s="1" t="s">
        <v>644</v>
      </c>
      <c r="H174" s="1" t="s">
        <v>645</v>
      </c>
      <c r="I174" s="1" t="s">
        <v>973</v>
      </c>
      <c r="J174" s="24">
        <v>45561</v>
      </c>
      <c r="K174" s="1" t="s">
        <v>974</v>
      </c>
      <c r="L174" s="1" t="s">
        <v>421</v>
      </c>
      <c r="M174" s="1">
        <v>44.5</v>
      </c>
      <c r="N174" s="1">
        <v>2</v>
      </c>
      <c r="O174" s="1" t="s">
        <v>60</v>
      </c>
      <c r="P174" s="1">
        <v>5</v>
      </c>
      <c r="Q174" s="1">
        <v>52</v>
      </c>
      <c r="R174" s="24">
        <v>45563</v>
      </c>
      <c r="S174" s="1" t="s">
        <v>975</v>
      </c>
      <c r="T174" s="4">
        <f>Table1[[#This Row],[Delivery_Date]]-Table1[[#This Row],[Order_Date]]</f>
        <v>2</v>
      </c>
      <c r="U174" s="4">
        <f>Table1[[#This Row],[Price]]*Table1[[#This Row],[Quantity]]</f>
        <v>89</v>
      </c>
      <c r="V174" s="11">
        <f t="shared" si="2"/>
        <v>0.15</v>
      </c>
      <c r="W174" s="4">
        <f>Table1[[#This Row],[Amount]]-(Table1[[#This Row],[Amount]]*Table1[[#This Row],[Discount_Percent]])</f>
        <v>75.650000000000006</v>
      </c>
      <c r="X174" s="4">
        <f>IF(O174="DEL0", Table1[[#This Row],[Discounted_Amount]],Table1[[#This Row],[Discounted_Amount]]+Table1[[#This Row],[Delivery_Charge]])</f>
        <v>127.65</v>
      </c>
      <c r="Y174" s="4" t="str">
        <f>Table1[[#This Row],[First_Name]]&amp;" "&amp;Table1[[#This Row],[Last_Name]]</f>
        <v>Amy Ellis</v>
      </c>
      <c r="Z174" s="4" t="str">
        <f>IF(T:T&gt;Table1[[#This Row],[Estimated_Days_to_Deliver]],"Late",IF(T:T=Table1[[#This Row],[Estimated_Days_to_Deliver]],"Intime","BeforeTime"))</f>
        <v>BeforeTime</v>
      </c>
      <c r="AA174" s="4">
        <f>MONTH(Table1[[#This Row],[Order_Date]])</f>
        <v>9</v>
      </c>
      <c r="AB174" s="13">
        <f>Table1[[#This Row],[Amount]]*Table1[[#This Row],[Discount_Percent]]</f>
        <v>13.35</v>
      </c>
    </row>
    <row r="175" spans="1:28" ht="14.25" customHeight="1">
      <c r="A175" s="1" t="s">
        <v>625</v>
      </c>
      <c r="B175" s="1" t="s">
        <v>131</v>
      </c>
      <c r="C175" s="1" t="s">
        <v>626</v>
      </c>
      <c r="D175" s="1">
        <v>47</v>
      </c>
      <c r="E175" s="1" t="s">
        <v>54</v>
      </c>
      <c r="F175" s="1" t="s">
        <v>78</v>
      </c>
      <c r="G175" s="1" t="s">
        <v>627</v>
      </c>
      <c r="H175" s="1" t="s">
        <v>628</v>
      </c>
      <c r="I175" s="1" t="s">
        <v>976</v>
      </c>
      <c r="J175" s="24">
        <v>45051</v>
      </c>
      <c r="K175" s="1" t="s">
        <v>977</v>
      </c>
      <c r="L175" s="1" t="s">
        <v>311</v>
      </c>
      <c r="M175" s="1">
        <v>129.75</v>
      </c>
      <c r="N175" s="1">
        <v>5</v>
      </c>
      <c r="O175" s="1" t="s">
        <v>65</v>
      </c>
      <c r="P175" s="1">
        <v>5</v>
      </c>
      <c r="Q175" s="1">
        <v>43</v>
      </c>
      <c r="R175" s="24">
        <v>45057</v>
      </c>
      <c r="S175" s="1" t="s">
        <v>978</v>
      </c>
      <c r="T175" s="4">
        <f>Table1[[#This Row],[Delivery_Date]]-Table1[[#This Row],[Order_Date]]</f>
        <v>6</v>
      </c>
      <c r="U175" s="4">
        <f>Table1[[#This Row],[Price]]*Table1[[#This Row],[Quantity]]</f>
        <v>648.75</v>
      </c>
      <c r="V175" s="11">
        <f t="shared" si="2"/>
        <v>0</v>
      </c>
      <c r="W175" s="4">
        <f>Table1[[#This Row],[Amount]]-(Table1[[#This Row],[Amount]]*Table1[[#This Row],[Discount_Percent]])</f>
        <v>648.75</v>
      </c>
      <c r="X175" s="4">
        <f>IF(O175="DEL0", Table1[[#This Row],[Discounted_Amount]],Table1[[#This Row],[Discounted_Amount]]+Table1[[#This Row],[Delivery_Charge]])</f>
        <v>648.75</v>
      </c>
      <c r="Y175" s="4" t="str">
        <f>Table1[[#This Row],[First_Name]]&amp;" "&amp;Table1[[#This Row],[Last_Name]]</f>
        <v>Joseph Gaines</v>
      </c>
      <c r="Z175" s="4" t="str">
        <f>IF(T:T&gt;Table1[[#This Row],[Estimated_Days_to_Deliver]],"Late",IF(T:T=Table1[[#This Row],[Estimated_Days_to_Deliver]],"Intime","BeforeTime"))</f>
        <v>Late</v>
      </c>
      <c r="AA175" s="4">
        <f>MONTH(Table1[[#This Row],[Order_Date]])</f>
        <v>5</v>
      </c>
      <c r="AB175" s="13">
        <f>Table1[[#This Row],[Amount]]*Table1[[#This Row],[Discount_Percent]]</f>
        <v>0</v>
      </c>
    </row>
    <row r="176" spans="1:28" ht="14.25" customHeight="1">
      <c r="A176" s="1" t="s">
        <v>674</v>
      </c>
      <c r="B176" s="1" t="s">
        <v>675</v>
      </c>
      <c r="C176" s="1" t="s">
        <v>676</v>
      </c>
      <c r="D176" s="1">
        <v>38</v>
      </c>
      <c r="E176" s="1" t="s">
        <v>43</v>
      </c>
      <c r="F176" s="1" t="s">
        <v>223</v>
      </c>
      <c r="G176" s="1" t="s">
        <v>677</v>
      </c>
      <c r="H176" s="1" t="s">
        <v>678</v>
      </c>
      <c r="I176" s="1" t="s">
        <v>979</v>
      </c>
      <c r="J176" s="24">
        <v>45318</v>
      </c>
      <c r="K176" s="1" t="s">
        <v>980</v>
      </c>
      <c r="L176" s="1" t="s">
        <v>273</v>
      </c>
      <c r="M176" s="1">
        <v>62.42</v>
      </c>
      <c r="N176" s="1">
        <v>4</v>
      </c>
      <c r="O176" s="1" t="s">
        <v>87</v>
      </c>
      <c r="P176" s="1">
        <v>5</v>
      </c>
      <c r="Q176" s="1">
        <v>37</v>
      </c>
      <c r="R176" s="24">
        <v>45321</v>
      </c>
      <c r="S176" s="1" t="s">
        <v>981</v>
      </c>
      <c r="T176" s="4">
        <f>Table1[[#This Row],[Delivery_Date]]-Table1[[#This Row],[Order_Date]]</f>
        <v>3</v>
      </c>
      <c r="U176" s="4">
        <f>Table1[[#This Row],[Price]]*Table1[[#This Row],[Quantity]]</f>
        <v>249.68</v>
      </c>
      <c r="V176" s="11">
        <f t="shared" si="2"/>
        <v>0.2</v>
      </c>
      <c r="W176" s="4">
        <f>Table1[[#This Row],[Amount]]-(Table1[[#This Row],[Amount]]*Table1[[#This Row],[Discount_Percent]])</f>
        <v>199.744</v>
      </c>
      <c r="X176" s="4">
        <f>IF(O176="DEL0", Table1[[#This Row],[Discounted_Amount]],Table1[[#This Row],[Discounted_Amount]]+Table1[[#This Row],[Delivery_Charge]])</f>
        <v>236.744</v>
      </c>
      <c r="Y176" s="4" t="str">
        <f>Table1[[#This Row],[First_Name]]&amp;" "&amp;Table1[[#This Row],[Last_Name]]</f>
        <v>Christy Chang</v>
      </c>
      <c r="Z176" s="4" t="str">
        <f>IF(T:T&gt;Table1[[#This Row],[Estimated_Days_to_Deliver]],"Late",IF(T:T=Table1[[#This Row],[Estimated_Days_to_Deliver]],"Intime","BeforeTime"))</f>
        <v>BeforeTime</v>
      </c>
      <c r="AA176" s="4">
        <f>MONTH(Table1[[#This Row],[Order_Date]])</f>
        <v>1</v>
      </c>
      <c r="AB176" s="13">
        <f>Table1[[#This Row],[Amount]]*Table1[[#This Row],[Discount_Percent]]</f>
        <v>49.936000000000007</v>
      </c>
    </row>
    <row r="177" spans="1:28" ht="14.25" customHeight="1">
      <c r="A177" s="1" t="s">
        <v>727</v>
      </c>
      <c r="B177" s="1" t="s">
        <v>728</v>
      </c>
      <c r="C177" s="1" t="s">
        <v>169</v>
      </c>
      <c r="D177" s="1">
        <v>70</v>
      </c>
      <c r="E177" s="1" t="s">
        <v>43</v>
      </c>
      <c r="F177" s="1" t="s">
        <v>92</v>
      </c>
      <c r="G177" s="1" t="s">
        <v>729</v>
      </c>
      <c r="H177" s="1" t="s">
        <v>730</v>
      </c>
      <c r="I177" s="1" t="s">
        <v>982</v>
      </c>
      <c r="J177" s="24">
        <v>45508</v>
      </c>
      <c r="K177" s="1" t="s">
        <v>983</v>
      </c>
      <c r="L177" s="1" t="s">
        <v>498</v>
      </c>
      <c r="M177" s="1">
        <v>421.7</v>
      </c>
      <c r="N177" s="1">
        <v>4</v>
      </c>
      <c r="O177" s="1" t="s">
        <v>38</v>
      </c>
      <c r="P177" s="1">
        <v>5</v>
      </c>
      <c r="Q177" s="1">
        <v>69</v>
      </c>
      <c r="R177" s="24">
        <v>45514</v>
      </c>
      <c r="S177" s="1" t="s">
        <v>984</v>
      </c>
      <c r="T177" s="4">
        <f>Table1[[#This Row],[Delivery_Date]]-Table1[[#This Row],[Order_Date]]</f>
        <v>6</v>
      </c>
      <c r="U177" s="4">
        <f>Table1[[#This Row],[Price]]*Table1[[#This Row],[Quantity]]</f>
        <v>1686.8</v>
      </c>
      <c r="V177" s="11">
        <f t="shared" si="2"/>
        <v>0.08</v>
      </c>
      <c r="W177" s="4">
        <f>Table1[[#This Row],[Amount]]-(Table1[[#This Row],[Amount]]*Table1[[#This Row],[Discount_Percent]])</f>
        <v>1551.856</v>
      </c>
      <c r="X177" s="4">
        <f>IF(O177="DEL0", Table1[[#This Row],[Discounted_Amount]],Table1[[#This Row],[Discounted_Amount]]+Table1[[#This Row],[Delivery_Charge]])</f>
        <v>1620.856</v>
      </c>
      <c r="Y177" s="4" t="str">
        <f>Table1[[#This Row],[First_Name]]&amp;" "&amp;Table1[[#This Row],[Last_Name]]</f>
        <v>Lisa Miller</v>
      </c>
      <c r="Z177" s="4" t="str">
        <f>IF(T:T&gt;Table1[[#This Row],[Estimated_Days_to_Deliver]],"Late",IF(T:T=Table1[[#This Row],[Estimated_Days_to_Deliver]],"Intime","BeforeTime"))</f>
        <v>Late</v>
      </c>
      <c r="AA177" s="4">
        <f>MONTH(Table1[[#This Row],[Order_Date]])</f>
        <v>8</v>
      </c>
      <c r="AB177" s="13">
        <f>Table1[[#This Row],[Amount]]*Table1[[#This Row],[Discount_Percent]]</f>
        <v>134.94399999999999</v>
      </c>
    </row>
    <row r="178" spans="1:28" ht="14.25" customHeight="1">
      <c r="A178" s="1" t="s">
        <v>139</v>
      </c>
      <c r="B178" s="1" t="s">
        <v>140</v>
      </c>
      <c r="C178" s="1" t="s">
        <v>141</v>
      </c>
      <c r="D178" s="1">
        <v>25</v>
      </c>
      <c r="E178" s="1" t="s">
        <v>54</v>
      </c>
      <c r="F178" s="1" t="s">
        <v>142</v>
      </c>
      <c r="G178" s="1" t="s">
        <v>143</v>
      </c>
      <c r="H178" s="1" t="s">
        <v>144</v>
      </c>
      <c r="I178" s="1" t="s">
        <v>985</v>
      </c>
      <c r="J178" s="24">
        <v>45580</v>
      </c>
      <c r="K178" s="1" t="s">
        <v>986</v>
      </c>
      <c r="L178" s="1" t="s">
        <v>987</v>
      </c>
      <c r="M178" s="1">
        <v>33.49</v>
      </c>
      <c r="N178" s="1">
        <v>1</v>
      </c>
      <c r="O178" s="1" t="s">
        <v>65</v>
      </c>
      <c r="P178" s="1">
        <v>5</v>
      </c>
      <c r="Q178" s="1">
        <v>59</v>
      </c>
      <c r="R178" s="24">
        <v>45585</v>
      </c>
      <c r="S178" s="1" t="s">
        <v>988</v>
      </c>
      <c r="T178" s="4">
        <f>Table1[[#This Row],[Delivery_Date]]-Table1[[#This Row],[Order_Date]]</f>
        <v>5</v>
      </c>
      <c r="U178" s="4">
        <f>Table1[[#This Row],[Price]]*Table1[[#This Row],[Quantity]]</f>
        <v>33.49</v>
      </c>
      <c r="V178" s="11">
        <f t="shared" si="2"/>
        <v>0</v>
      </c>
      <c r="W178" s="4">
        <f>Table1[[#This Row],[Amount]]-(Table1[[#This Row],[Amount]]*Table1[[#This Row],[Discount_Percent]])</f>
        <v>33.49</v>
      </c>
      <c r="X178" s="4">
        <f>IF(O178="DEL0", Table1[[#This Row],[Discounted_Amount]],Table1[[#This Row],[Discounted_Amount]]+Table1[[#This Row],[Delivery_Charge]])</f>
        <v>33.49</v>
      </c>
      <c r="Y178" s="4" t="str">
        <f>Table1[[#This Row],[First_Name]]&amp;" "&amp;Table1[[#This Row],[Last_Name]]</f>
        <v>Kara Brennan</v>
      </c>
      <c r="Z178" s="4" t="str">
        <f>IF(T:T&gt;Table1[[#This Row],[Estimated_Days_to_Deliver]],"Late",IF(T:T=Table1[[#This Row],[Estimated_Days_to_Deliver]],"Intime","BeforeTime"))</f>
        <v>Intime</v>
      </c>
      <c r="AA178" s="4">
        <f>MONTH(Table1[[#This Row],[Order_Date]])</f>
        <v>10</v>
      </c>
      <c r="AB178" s="13">
        <f>Table1[[#This Row],[Amount]]*Table1[[#This Row],[Discount_Percent]]</f>
        <v>0</v>
      </c>
    </row>
    <row r="179" spans="1:28" ht="14.25" customHeight="1">
      <c r="A179" s="1" t="s">
        <v>989</v>
      </c>
      <c r="B179" s="1" t="s">
        <v>990</v>
      </c>
      <c r="C179" s="1" t="s">
        <v>991</v>
      </c>
      <c r="D179" s="1">
        <v>49</v>
      </c>
      <c r="E179" s="1" t="s">
        <v>31</v>
      </c>
      <c r="F179" s="1" t="s">
        <v>44</v>
      </c>
      <c r="G179" s="1" t="s">
        <v>992</v>
      </c>
      <c r="H179" s="1" t="s">
        <v>993</v>
      </c>
      <c r="I179" s="1" t="s">
        <v>994</v>
      </c>
      <c r="J179" s="24">
        <v>45478</v>
      </c>
      <c r="K179" s="1" t="s">
        <v>995</v>
      </c>
      <c r="L179" s="1" t="s">
        <v>175</v>
      </c>
      <c r="M179" s="1">
        <v>272.51</v>
      </c>
      <c r="N179" s="1">
        <v>4</v>
      </c>
      <c r="O179" s="1" t="s">
        <v>65</v>
      </c>
      <c r="P179" s="1">
        <v>5</v>
      </c>
      <c r="Q179" s="1">
        <v>51</v>
      </c>
      <c r="R179" s="24">
        <v>45480</v>
      </c>
      <c r="S179" s="1" t="s">
        <v>996</v>
      </c>
      <c r="T179" s="4">
        <f>Table1[[#This Row],[Delivery_Date]]-Table1[[#This Row],[Order_Date]]</f>
        <v>2</v>
      </c>
      <c r="U179" s="4">
        <f>Table1[[#This Row],[Price]]*Table1[[#This Row],[Quantity]]</f>
        <v>1090.04</v>
      </c>
      <c r="V179" s="11">
        <f t="shared" si="2"/>
        <v>0</v>
      </c>
      <c r="W179" s="4">
        <f>Table1[[#This Row],[Amount]]-(Table1[[#This Row],[Amount]]*Table1[[#This Row],[Discount_Percent]])</f>
        <v>1090.04</v>
      </c>
      <c r="X179" s="4">
        <f>IF(O179="DEL0", Table1[[#This Row],[Discounted_Amount]],Table1[[#This Row],[Discounted_Amount]]+Table1[[#This Row],[Delivery_Charge]])</f>
        <v>1090.04</v>
      </c>
      <c r="Y179" s="4" t="str">
        <f>Table1[[#This Row],[First_Name]]&amp;" "&amp;Table1[[#This Row],[Last_Name]]</f>
        <v>Natasha Michael</v>
      </c>
      <c r="Z179" s="4" t="str">
        <f>IF(T:T&gt;Table1[[#This Row],[Estimated_Days_to_Deliver]],"Late",IF(T:T=Table1[[#This Row],[Estimated_Days_to_Deliver]],"Intime","BeforeTime"))</f>
        <v>BeforeTime</v>
      </c>
      <c r="AA179" s="4">
        <f>MONTH(Table1[[#This Row],[Order_Date]])</f>
        <v>7</v>
      </c>
      <c r="AB179" s="13">
        <f>Table1[[#This Row],[Amount]]*Table1[[#This Row],[Discount_Percent]]</f>
        <v>0</v>
      </c>
    </row>
    <row r="180" spans="1:28" ht="14.25" customHeight="1">
      <c r="A180" s="1" t="s">
        <v>531</v>
      </c>
      <c r="B180" s="1" t="s">
        <v>397</v>
      </c>
      <c r="C180" s="1" t="s">
        <v>532</v>
      </c>
      <c r="D180" s="1">
        <v>51</v>
      </c>
      <c r="E180" s="1" t="s">
        <v>54</v>
      </c>
      <c r="F180" s="1" t="s">
        <v>142</v>
      </c>
      <c r="G180" s="1" t="s">
        <v>533</v>
      </c>
      <c r="H180" s="1" t="s">
        <v>534</v>
      </c>
      <c r="I180" s="1" t="s">
        <v>997</v>
      </c>
      <c r="J180" s="24">
        <v>45010</v>
      </c>
      <c r="K180" s="1" t="s">
        <v>998</v>
      </c>
      <c r="L180" s="1" t="s">
        <v>566</v>
      </c>
      <c r="M180" s="1">
        <v>133.62</v>
      </c>
      <c r="N180" s="1">
        <v>2</v>
      </c>
      <c r="O180" s="1" t="s">
        <v>38</v>
      </c>
      <c r="P180" s="1">
        <v>5</v>
      </c>
      <c r="Q180" s="1">
        <v>48</v>
      </c>
      <c r="R180" s="24">
        <v>45015</v>
      </c>
      <c r="S180" s="1" t="s">
        <v>999</v>
      </c>
      <c r="T180" s="4">
        <f>Table1[[#This Row],[Delivery_Date]]-Table1[[#This Row],[Order_Date]]</f>
        <v>5</v>
      </c>
      <c r="U180" s="4">
        <f>Table1[[#This Row],[Price]]*Table1[[#This Row],[Quantity]]</f>
        <v>267.24</v>
      </c>
      <c r="V180" s="11">
        <f t="shared" si="2"/>
        <v>0.08</v>
      </c>
      <c r="W180" s="4">
        <f>Table1[[#This Row],[Amount]]-(Table1[[#This Row],[Amount]]*Table1[[#This Row],[Discount_Percent]])</f>
        <v>245.86080000000001</v>
      </c>
      <c r="X180" s="4">
        <f>IF(O180="DEL0", Table1[[#This Row],[Discounted_Amount]],Table1[[#This Row],[Discounted_Amount]]+Table1[[#This Row],[Delivery_Charge]])</f>
        <v>293.86080000000004</v>
      </c>
      <c r="Y180" s="4" t="str">
        <f>Table1[[#This Row],[First_Name]]&amp;" "&amp;Table1[[#This Row],[Last_Name]]</f>
        <v>Jason Nguyen</v>
      </c>
      <c r="Z180" s="4" t="str">
        <f>IF(T:T&gt;Table1[[#This Row],[Estimated_Days_to_Deliver]],"Late",IF(T:T=Table1[[#This Row],[Estimated_Days_to_Deliver]],"Intime","BeforeTime"))</f>
        <v>Intime</v>
      </c>
      <c r="AA180" s="4">
        <f>MONTH(Table1[[#This Row],[Order_Date]])</f>
        <v>3</v>
      </c>
      <c r="AB180" s="13">
        <f>Table1[[#This Row],[Amount]]*Table1[[#This Row],[Discount_Percent]]</f>
        <v>21.379200000000001</v>
      </c>
    </row>
    <row r="181" spans="1:28" ht="14.25" customHeight="1">
      <c r="A181" s="1" t="s">
        <v>770</v>
      </c>
      <c r="B181" s="1" t="s">
        <v>771</v>
      </c>
      <c r="C181" s="1" t="s">
        <v>772</v>
      </c>
      <c r="D181" s="1">
        <v>27</v>
      </c>
      <c r="E181" s="1" t="s">
        <v>31</v>
      </c>
      <c r="F181" s="1" t="s">
        <v>44</v>
      </c>
      <c r="G181" s="1" t="s">
        <v>773</v>
      </c>
      <c r="H181" s="1" t="s">
        <v>774</v>
      </c>
      <c r="I181" s="1" t="s">
        <v>1000</v>
      </c>
      <c r="J181" s="24">
        <v>45132</v>
      </c>
      <c r="K181" s="1" t="s">
        <v>1001</v>
      </c>
      <c r="L181" s="1" t="s">
        <v>128</v>
      </c>
      <c r="M181" s="1">
        <v>257.06</v>
      </c>
      <c r="N181" s="1">
        <v>4</v>
      </c>
      <c r="O181" s="1" t="s">
        <v>65</v>
      </c>
      <c r="P181" s="1">
        <v>5</v>
      </c>
      <c r="Q181" s="1">
        <v>52</v>
      </c>
      <c r="R181" s="24">
        <v>45136</v>
      </c>
      <c r="S181" s="1" t="s">
        <v>1002</v>
      </c>
      <c r="T181" s="4">
        <f>Table1[[#This Row],[Delivery_Date]]-Table1[[#This Row],[Order_Date]]</f>
        <v>4</v>
      </c>
      <c r="U181" s="4">
        <f>Table1[[#This Row],[Price]]*Table1[[#This Row],[Quantity]]</f>
        <v>1028.24</v>
      </c>
      <c r="V181" s="11">
        <f t="shared" si="2"/>
        <v>0</v>
      </c>
      <c r="W181" s="4">
        <f>Table1[[#This Row],[Amount]]-(Table1[[#This Row],[Amount]]*Table1[[#This Row],[Discount_Percent]])</f>
        <v>1028.24</v>
      </c>
      <c r="X181" s="4">
        <f>IF(O181="DEL0", Table1[[#This Row],[Discounted_Amount]],Table1[[#This Row],[Discounted_Amount]]+Table1[[#This Row],[Delivery_Charge]])</f>
        <v>1028.24</v>
      </c>
      <c r="Y181" s="4" t="str">
        <f>Table1[[#This Row],[First_Name]]&amp;" "&amp;Table1[[#This Row],[Last_Name]]</f>
        <v>Kristina Haynes</v>
      </c>
      <c r="Z181" s="4" t="str">
        <f>IF(T:T&gt;Table1[[#This Row],[Estimated_Days_to_Deliver]],"Late",IF(T:T=Table1[[#This Row],[Estimated_Days_to_Deliver]],"Intime","BeforeTime"))</f>
        <v>BeforeTime</v>
      </c>
      <c r="AA181" s="4">
        <f>MONTH(Table1[[#This Row],[Order_Date]])</f>
        <v>7</v>
      </c>
      <c r="AB181" s="13">
        <f>Table1[[#This Row],[Amount]]*Table1[[#This Row],[Discount_Percent]]</f>
        <v>0</v>
      </c>
    </row>
    <row r="182" spans="1:28" ht="14.25" customHeight="1">
      <c r="A182" s="1" t="s">
        <v>139</v>
      </c>
      <c r="B182" s="1" t="s">
        <v>140</v>
      </c>
      <c r="C182" s="1" t="s">
        <v>141</v>
      </c>
      <c r="D182" s="1">
        <v>25</v>
      </c>
      <c r="E182" s="1" t="s">
        <v>54</v>
      </c>
      <c r="F182" s="1" t="s">
        <v>142</v>
      </c>
      <c r="G182" s="1" t="s">
        <v>143</v>
      </c>
      <c r="H182" s="1" t="s">
        <v>144</v>
      </c>
      <c r="I182" s="1" t="s">
        <v>1003</v>
      </c>
      <c r="J182" s="24">
        <v>45457</v>
      </c>
      <c r="K182" s="1" t="s">
        <v>1004</v>
      </c>
      <c r="L182" s="1" t="s">
        <v>777</v>
      </c>
      <c r="M182" s="1">
        <v>20</v>
      </c>
      <c r="N182" s="1">
        <v>5</v>
      </c>
      <c r="O182" s="1" t="s">
        <v>60</v>
      </c>
      <c r="P182" s="1">
        <v>5</v>
      </c>
      <c r="Q182" s="1">
        <v>36</v>
      </c>
      <c r="R182" s="24">
        <v>45463</v>
      </c>
      <c r="S182" s="1" t="s">
        <v>1005</v>
      </c>
      <c r="T182" s="4">
        <f>Table1[[#This Row],[Delivery_Date]]-Table1[[#This Row],[Order_Date]]</f>
        <v>6</v>
      </c>
      <c r="U182" s="4">
        <f>Table1[[#This Row],[Price]]*Table1[[#This Row],[Quantity]]</f>
        <v>100</v>
      </c>
      <c r="V182" s="11">
        <f t="shared" si="2"/>
        <v>0.15</v>
      </c>
      <c r="W182" s="4">
        <f>Table1[[#This Row],[Amount]]-(Table1[[#This Row],[Amount]]*Table1[[#This Row],[Discount_Percent]])</f>
        <v>85</v>
      </c>
      <c r="X182" s="4">
        <f>IF(O182="DEL0", Table1[[#This Row],[Discounted_Amount]],Table1[[#This Row],[Discounted_Amount]]+Table1[[#This Row],[Delivery_Charge]])</f>
        <v>121</v>
      </c>
      <c r="Y182" s="4" t="str">
        <f>Table1[[#This Row],[First_Name]]&amp;" "&amp;Table1[[#This Row],[Last_Name]]</f>
        <v>Kara Brennan</v>
      </c>
      <c r="Z182" s="4" t="str">
        <f>IF(T:T&gt;Table1[[#This Row],[Estimated_Days_to_Deliver]],"Late",IF(T:T=Table1[[#This Row],[Estimated_Days_to_Deliver]],"Intime","BeforeTime"))</f>
        <v>Late</v>
      </c>
      <c r="AA182" s="4">
        <f>MONTH(Table1[[#This Row],[Order_Date]])</f>
        <v>6</v>
      </c>
      <c r="AB182" s="13">
        <f>Table1[[#This Row],[Amount]]*Table1[[#This Row],[Discount_Percent]]</f>
        <v>15</v>
      </c>
    </row>
    <row r="183" spans="1:28" ht="14.25" customHeight="1">
      <c r="A183" s="1" t="s">
        <v>719</v>
      </c>
      <c r="B183" s="1" t="s">
        <v>720</v>
      </c>
      <c r="C183" s="1" t="s">
        <v>721</v>
      </c>
      <c r="D183" s="1">
        <v>32</v>
      </c>
      <c r="E183" s="1" t="s">
        <v>43</v>
      </c>
      <c r="F183" s="1" t="s">
        <v>32</v>
      </c>
      <c r="G183" s="1" t="s">
        <v>722</v>
      </c>
      <c r="H183" s="1" t="s">
        <v>723</v>
      </c>
      <c r="I183" s="1" t="s">
        <v>1006</v>
      </c>
      <c r="J183" s="24">
        <v>45343</v>
      </c>
      <c r="K183" s="1" t="s">
        <v>1007</v>
      </c>
      <c r="L183" s="1" t="s">
        <v>660</v>
      </c>
      <c r="M183" s="1">
        <v>235.63</v>
      </c>
      <c r="N183" s="1">
        <v>3</v>
      </c>
      <c r="O183" s="1" t="s">
        <v>98</v>
      </c>
      <c r="P183" s="1">
        <v>5</v>
      </c>
      <c r="Q183" s="1">
        <v>44</v>
      </c>
      <c r="R183" s="24">
        <v>45347</v>
      </c>
      <c r="S183" s="1" t="s">
        <v>1008</v>
      </c>
      <c r="T183" s="4">
        <f>Table1[[#This Row],[Delivery_Date]]-Table1[[#This Row],[Order_Date]]</f>
        <v>4</v>
      </c>
      <c r="U183" s="4">
        <f>Table1[[#This Row],[Price]]*Table1[[#This Row],[Quantity]]</f>
        <v>706.89</v>
      </c>
      <c r="V183" s="11">
        <f t="shared" si="2"/>
        <v>0.1</v>
      </c>
      <c r="W183" s="4">
        <f>Table1[[#This Row],[Amount]]-(Table1[[#This Row],[Amount]]*Table1[[#This Row],[Discount_Percent]])</f>
        <v>636.20100000000002</v>
      </c>
      <c r="X183" s="4">
        <f>IF(O183="DEL0", Table1[[#This Row],[Discounted_Amount]],Table1[[#This Row],[Discounted_Amount]]+Table1[[#This Row],[Delivery_Charge]])</f>
        <v>680.20100000000002</v>
      </c>
      <c r="Y183" s="4" t="str">
        <f>Table1[[#This Row],[First_Name]]&amp;" "&amp;Table1[[#This Row],[Last_Name]]</f>
        <v>Bruce Allen</v>
      </c>
      <c r="Z183" s="4" t="str">
        <f>IF(T:T&gt;Table1[[#This Row],[Estimated_Days_to_Deliver]],"Late",IF(T:T=Table1[[#This Row],[Estimated_Days_to_Deliver]],"Intime","BeforeTime"))</f>
        <v>BeforeTime</v>
      </c>
      <c r="AA183" s="4">
        <f>MONTH(Table1[[#This Row],[Order_Date]])</f>
        <v>2</v>
      </c>
      <c r="AB183" s="13">
        <f>Table1[[#This Row],[Amount]]*Table1[[#This Row],[Discount_Percent]]</f>
        <v>70.689000000000007</v>
      </c>
    </row>
    <row r="184" spans="1:28" ht="14.25" customHeight="1">
      <c r="A184" s="1" t="s">
        <v>28</v>
      </c>
      <c r="B184" s="1" t="s">
        <v>29</v>
      </c>
      <c r="C184" s="1" t="s">
        <v>30</v>
      </c>
      <c r="D184" s="1">
        <v>37</v>
      </c>
      <c r="E184" s="1" t="s">
        <v>31</v>
      </c>
      <c r="F184" s="1" t="s">
        <v>32</v>
      </c>
      <c r="G184" s="1" t="s">
        <v>33</v>
      </c>
      <c r="H184" s="1" t="s">
        <v>34</v>
      </c>
      <c r="I184" s="1" t="s">
        <v>1009</v>
      </c>
      <c r="J184" s="24">
        <v>45095</v>
      </c>
      <c r="K184" s="1" t="s">
        <v>1010</v>
      </c>
      <c r="L184" s="1" t="s">
        <v>566</v>
      </c>
      <c r="M184" s="1">
        <v>133.62</v>
      </c>
      <c r="N184" s="1">
        <v>5</v>
      </c>
      <c r="O184" s="1" t="s">
        <v>65</v>
      </c>
      <c r="P184" s="1">
        <v>5</v>
      </c>
      <c r="Q184" s="1">
        <v>58</v>
      </c>
      <c r="R184" s="24">
        <v>45098</v>
      </c>
      <c r="S184" s="1" t="s">
        <v>1011</v>
      </c>
      <c r="T184" s="4">
        <f>Table1[[#This Row],[Delivery_Date]]-Table1[[#This Row],[Order_Date]]</f>
        <v>3</v>
      </c>
      <c r="U184" s="4">
        <f>Table1[[#This Row],[Price]]*Table1[[#This Row],[Quantity]]</f>
        <v>668.1</v>
      </c>
      <c r="V184" s="11">
        <f t="shared" si="2"/>
        <v>0</v>
      </c>
      <c r="W184" s="4">
        <f>Table1[[#This Row],[Amount]]-(Table1[[#This Row],[Amount]]*Table1[[#This Row],[Discount_Percent]])</f>
        <v>668.1</v>
      </c>
      <c r="X184" s="4">
        <f>IF(O184="DEL0", Table1[[#This Row],[Discounted_Amount]],Table1[[#This Row],[Discounted_Amount]]+Table1[[#This Row],[Delivery_Charge]])</f>
        <v>668.1</v>
      </c>
      <c r="Y184" s="4" t="str">
        <f>Table1[[#This Row],[First_Name]]&amp;" "&amp;Table1[[#This Row],[Last_Name]]</f>
        <v>Anne Oconnell</v>
      </c>
      <c r="Z184" s="4" t="str">
        <f>IF(T:T&gt;Table1[[#This Row],[Estimated_Days_to_Deliver]],"Late",IF(T:T=Table1[[#This Row],[Estimated_Days_to_Deliver]],"Intime","BeforeTime"))</f>
        <v>BeforeTime</v>
      </c>
      <c r="AA184" s="4">
        <f>MONTH(Table1[[#This Row],[Order_Date]])</f>
        <v>6</v>
      </c>
      <c r="AB184" s="13">
        <f>Table1[[#This Row],[Amount]]*Table1[[#This Row],[Discount_Percent]]</f>
        <v>0</v>
      </c>
    </row>
    <row r="185" spans="1:28" ht="14.25" customHeight="1">
      <c r="A185" s="1" t="s">
        <v>493</v>
      </c>
      <c r="B185" s="1" t="s">
        <v>189</v>
      </c>
      <c r="C185" s="1" t="s">
        <v>330</v>
      </c>
      <c r="D185" s="1">
        <v>39</v>
      </c>
      <c r="E185" s="1" t="s">
        <v>54</v>
      </c>
      <c r="F185" s="1" t="s">
        <v>44</v>
      </c>
      <c r="G185" s="1" t="s">
        <v>494</v>
      </c>
      <c r="H185" s="1" t="s">
        <v>495</v>
      </c>
      <c r="I185" s="1" t="s">
        <v>1012</v>
      </c>
      <c r="J185" s="24">
        <v>45651</v>
      </c>
      <c r="K185" s="1" t="s">
        <v>1013</v>
      </c>
      <c r="L185" s="1" t="s">
        <v>498</v>
      </c>
      <c r="M185" s="1">
        <v>421.7</v>
      </c>
      <c r="N185" s="1">
        <v>2</v>
      </c>
      <c r="O185" s="1" t="s">
        <v>38</v>
      </c>
      <c r="P185" s="1">
        <v>5</v>
      </c>
      <c r="Q185" s="1">
        <v>45</v>
      </c>
      <c r="R185" s="24">
        <v>45653</v>
      </c>
      <c r="S185" s="1" t="s">
        <v>1014</v>
      </c>
      <c r="T185" s="4">
        <f>Table1[[#This Row],[Delivery_Date]]-Table1[[#This Row],[Order_Date]]</f>
        <v>2</v>
      </c>
      <c r="U185" s="4">
        <f>Table1[[#This Row],[Price]]*Table1[[#This Row],[Quantity]]</f>
        <v>843.4</v>
      </c>
      <c r="V185" s="11">
        <f t="shared" si="2"/>
        <v>0.08</v>
      </c>
      <c r="W185" s="4">
        <f>Table1[[#This Row],[Amount]]-(Table1[[#This Row],[Amount]]*Table1[[#This Row],[Discount_Percent]])</f>
        <v>775.928</v>
      </c>
      <c r="X185" s="4">
        <f>IF(O185="DEL0", Table1[[#This Row],[Discounted_Amount]],Table1[[#This Row],[Discounted_Amount]]+Table1[[#This Row],[Delivery_Charge]])</f>
        <v>820.928</v>
      </c>
      <c r="Y185" s="4" t="str">
        <f>Table1[[#This Row],[First_Name]]&amp;" "&amp;Table1[[#This Row],[Last_Name]]</f>
        <v>Mitchell Parker</v>
      </c>
      <c r="Z185" s="4" t="str">
        <f>IF(T:T&gt;Table1[[#This Row],[Estimated_Days_to_Deliver]],"Late",IF(T:T=Table1[[#This Row],[Estimated_Days_to_Deliver]],"Intime","BeforeTime"))</f>
        <v>BeforeTime</v>
      </c>
      <c r="AA185" s="4">
        <f>MONTH(Table1[[#This Row],[Order_Date]])</f>
        <v>12</v>
      </c>
      <c r="AB185" s="13">
        <f>Table1[[#This Row],[Amount]]*Table1[[#This Row],[Discount_Percent]]</f>
        <v>67.471999999999994</v>
      </c>
    </row>
    <row r="186" spans="1:28" ht="14.25" customHeight="1">
      <c r="A186" s="1" t="s">
        <v>187</v>
      </c>
      <c r="B186" s="1" t="s">
        <v>188</v>
      </c>
      <c r="C186" s="1" t="s">
        <v>189</v>
      </c>
      <c r="D186" s="1">
        <v>42</v>
      </c>
      <c r="E186" s="1" t="s">
        <v>43</v>
      </c>
      <c r="F186" s="1" t="s">
        <v>170</v>
      </c>
      <c r="G186" s="1" t="s">
        <v>190</v>
      </c>
      <c r="H186" s="1" t="s">
        <v>191</v>
      </c>
      <c r="I186" s="1" t="s">
        <v>1015</v>
      </c>
      <c r="J186" s="24">
        <v>45455</v>
      </c>
      <c r="K186" s="1" t="s">
        <v>1016</v>
      </c>
      <c r="L186" s="1" t="s">
        <v>347</v>
      </c>
      <c r="M186" s="1">
        <v>372.62</v>
      </c>
      <c r="N186" s="1">
        <v>1</v>
      </c>
      <c r="O186" s="1" t="s">
        <v>60</v>
      </c>
      <c r="P186" s="1">
        <v>5</v>
      </c>
      <c r="Q186" s="1">
        <v>35</v>
      </c>
      <c r="R186" s="24">
        <v>45458</v>
      </c>
      <c r="S186" s="1" t="s">
        <v>1017</v>
      </c>
      <c r="T186" s="4">
        <f>Table1[[#This Row],[Delivery_Date]]-Table1[[#This Row],[Order_Date]]</f>
        <v>3</v>
      </c>
      <c r="U186" s="4">
        <f>Table1[[#This Row],[Price]]*Table1[[#This Row],[Quantity]]</f>
        <v>372.62</v>
      </c>
      <c r="V186" s="11">
        <f t="shared" si="2"/>
        <v>0.15</v>
      </c>
      <c r="W186" s="4">
        <f>Table1[[#This Row],[Amount]]-(Table1[[#This Row],[Amount]]*Table1[[#This Row],[Discount_Percent]])</f>
        <v>316.72699999999998</v>
      </c>
      <c r="X186" s="4">
        <f>IF(O186="DEL0", Table1[[#This Row],[Discounted_Amount]],Table1[[#This Row],[Discounted_Amount]]+Table1[[#This Row],[Delivery_Charge]])</f>
        <v>351.72699999999998</v>
      </c>
      <c r="Y186" s="4" t="str">
        <f>Table1[[#This Row],[First_Name]]&amp;" "&amp;Table1[[#This Row],[Last_Name]]</f>
        <v>Mallory Mitchell</v>
      </c>
      <c r="Z186" s="4" t="str">
        <f>IF(T:T&gt;Table1[[#This Row],[Estimated_Days_to_Deliver]],"Late",IF(T:T=Table1[[#This Row],[Estimated_Days_to_Deliver]],"Intime","BeforeTime"))</f>
        <v>BeforeTime</v>
      </c>
      <c r="AA186" s="4">
        <f>MONTH(Table1[[#This Row],[Order_Date]])</f>
        <v>6</v>
      </c>
      <c r="AB186" s="13">
        <f>Table1[[#This Row],[Amount]]*Table1[[#This Row],[Discount_Percent]]</f>
        <v>55.893000000000001</v>
      </c>
    </row>
    <row r="187" spans="1:28" ht="14.25" customHeight="1">
      <c r="A187" s="1" t="s">
        <v>538</v>
      </c>
      <c r="B187" s="1" t="s">
        <v>539</v>
      </c>
      <c r="C187" s="1" t="s">
        <v>540</v>
      </c>
      <c r="D187" s="1">
        <v>32</v>
      </c>
      <c r="E187" s="1" t="s">
        <v>54</v>
      </c>
      <c r="F187" s="1" t="s">
        <v>92</v>
      </c>
      <c r="G187" s="1" t="s">
        <v>541</v>
      </c>
      <c r="H187" s="1" t="s">
        <v>542</v>
      </c>
      <c r="I187" s="1" t="s">
        <v>1018</v>
      </c>
      <c r="J187" s="24">
        <v>45455</v>
      </c>
      <c r="K187" s="1" t="s">
        <v>1019</v>
      </c>
      <c r="L187" s="1" t="s">
        <v>97</v>
      </c>
      <c r="M187" s="1">
        <v>363.64</v>
      </c>
      <c r="N187" s="1">
        <v>3</v>
      </c>
      <c r="O187" s="1" t="s">
        <v>65</v>
      </c>
      <c r="P187" s="1">
        <v>5</v>
      </c>
      <c r="Q187" s="1">
        <v>70</v>
      </c>
      <c r="R187" s="24">
        <v>45461</v>
      </c>
      <c r="S187" s="1" t="s">
        <v>1020</v>
      </c>
      <c r="T187" s="4">
        <f>Table1[[#This Row],[Delivery_Date]]-Table1[[#This Row],[Order_Date]]</f>
        <v>6</v>
      </c>
      <c r="U187" s="4">
        <f>Table1[[#This Row],[Price]]*Table1[[#This Row],[Quantity]]</f>
        <v>1090.92</v>
      </c>
      <c r="V187" s="11">
        <f t="shared" si="2"/>
        <v>0</v>
      </c>
      <c r="W187" s="4">
        <f>Table1[[#This Row],[Amount]]-(Table1[[#This Row],[Amount]]*Table1[[#This Row],[Discount_Percent]])</f>
        <v>1090.92</v>
      </c>
      <c r="X187" s="4">
        <f>IF(O187="DEL0", Table1[[#This Row],[Discounted_Amount]],Table1[[#This Row],[Discounted_Amount]]+Table1[[#This Row],[Delivery_Charge]])</f>
        <v>1090.92</v>
      </c>
      <c r="Y187" s="4" t="str">
        <f>Table1[[#This Row],[First_Name]]&amp;" "&amp;Table1[[#This Row],[Last_Name]]</f>
        <v>Brandon Cruz</v>
      </c>
      <c r="Z187" s="4" t="str">
        <f>IF(T:T&gt;Table1[[#This Row],[Estimated_Days_to_Deliver]],"Late",IF(T:T=Table1[[#This Row],[Estimated_Days_to_Deliver]],"Intime","BeforeTime"))</f>
        <v>Late</v>
      </c>
      <c r="AA187" s="4">
        <f>MONTH(Table1[[#This Row],[Order_Date]])</f>
        <v>6</v>
      </c>
      <c r="AB187" s="13">
        <f>Table1[[#This Row],[Amount]]*Table1[[#This Row],[Discount_Percent]]</f>
        <v>0</v>
      </c>
    </row>
    <row r="188" spans="1:28" ht="14.25" customHeight="1">
      <c r="A188" s="1" t="s">
        <v>75</v>
      </c>
      <c r="B188" s="1" t="s">
        <v>76</v>
      </c>
      <c r="C188" s="1" t="s">
        <v>77</v>
      </c>
      <c r="D188" s="1">
        <v>53</v>
      </c>
      <c r="E188" s="1" t="s">
        <v>54</v>
      </c>
      <c r="F188" s="1" t="s">
        <v>78</v>
      </c>
      <c r="G188" s="1" t="s">
        <v>79</v>
      </c>
      <c r="H188" s="1" t="s">
        <v>80</v>
      </c>
      <c r="I188" s="1" t="s">
        <v>1021</v>
      </c>
      <c r="J188" s="24">
        <v>45561</v>
      </c>
      <c r="K188" s="1" t="s">
        <v>1022</v>
      </c>
      <c r="L188" s="1" t="s">
        <v>83</v>
      </c>
      <c r="M188" s="1">
        <v>330.11</v>
      </c>
      <c r="N188" s="1">
        <v>4</v>
      </c>
      <c r="O188" s="1" t="s">
        <v>87</v>
      </c>
      <c r="P188" s="1">
        <v>5</v>
      </c>
      <c r="Q188" s="1">
        <v>47</v>
      </c>
      <c r="R188" s="24">
        <v>45566</v>
      </c>
      <c r="S188" s="1" t="s">
        <v>1023</v>
      </c>
      <c r="T188" s="4">
        <f>Table1[[#This Row],[Delivery_Date]]-Table1[[#This Row],[Order_Date]]</f>
        <v>5</v>
      </c>
      <c r="U188" s="4">
        <f>Table1[[#This Row],[Price]]*Table1[[#This Row],[Quantity]]</f>
        <v>1320.44</v>
      </c>
      <c r="V188" s="11">
        <f t="shared" si="2"/>
        <v>0.2</v>
      </c>
      <c r="W188" s="4">
        <f>Table1[[#This Row],[Amount]]-(Table1[[#This Row],[Amount]]*Table1[[#This Row],[Discount_Percent]])</f>
        <v>1056.3520000000001</v>
      </c>
      <c r="X188" s="4">
        <f>IF(O188="DEL0", Table1[[#This Row],[Discounted_Amount]],Table1[[#This Row],[Discounted_Amount]]+Table1[[#This Row],[Delivery_Charge]])</f>
        <v>1103.3520000000001</v>
      </c>
      <c r="Y188" s="4" t="str">
        <f>Table1[[#This Row],[First_Name]]&amp;" "&amp;Table1[[#This Row],[Last_Name]]</f>
        <v>Christine West</v>
      </c>
      <c r="Z188" s="4" t="str">
        <f>IF(T:T&gt;Table1[[#This Row],[Estimated_Days_to_Deliver]],"Late",IF(T:T=Table1[[#This Row],[Estimated_Days_to_Deliver]],"Intime","BeforeTime"))</f>
        <v>Intime</v>
      </c>
      <c r="AA188" s="4">
        <f>MONTH(Table1[[#This Row],[Order_Date]])</f>
        <v>9</v>
      </c>
      <c r="AB188" s="13">
        <f>Table1[[#This Row],[Amount]]*Table1[[#This Row],[Discount_Percent]]</f>
        <v>264.08800000000002</v>
      </c>
    </row>
    <row r="189" spans="1:28" ht="14.25" customHeight="1">
      <c r="A189" s="1" t="s">
        <v>319</v>
      </c>
      <c r="B189" s="1" t="s">
        <v>320</v>
      </c>
      <c r="C189" s="1" t="s">
        <v>321</v>
      </c>
      <c r="D189" s="1">
        <v>45</v>
      </c>
      <c r="E189" s="1" t="s">
        <v>31</v>
      </c>
      <c r="F189" s="1" t="s">
        <v>44</v>
      </c>
      <c r="G189" s="1" t="s">
        <v>322</v>
      </c>
      <c r="H189" s="1" t="s">
        <v>323</v>
      </c>
      <c r="I189" s="1" t="s">
        <v>1024</v>
      </c>
      <c r="J189" s="24">
        <v>45099</v>
      </c>
      <c r="K189" s="1" t="s">
        <v>1025</v>
      </c>
      <c r="L189" s="1" t="s">
        <v>944</v>
      </c>
      <c r="M189" s="1">
        <v>107.47</v>
      </c>
      <c r="N189" s="1">
        <v>1</v>
      </c>
      <c r="O189" s="1" t="s">
        <v>98</v>
      </c>
      <c r="P189" s="1">
        <v>5</v>
      </c>
      <c r="Q189" s="1">
        <v>56</v>
      </c>
      <c r="R189" s="24">
        <v>45104</v>
      </c>
      <c r="S189" s="1" t="s">
        <v>1026</v>
      </c>
      <c r="T189" s="4">
        <f>Table1[[#This Row],[Delivery_Date]]-Table1[[#This Row],[Order_Date]]</f>
        <v>5</v>
      </c>
      <c r="U189" s="4">
        <f>Table1[[#This Row],[Price]]*Table1[[#This Row],[Quantity]]</f>
        <v>107.47</v>
      </c>
      <c r="V189" s="11">
        <f t="shared" si="2"/>
        <v>0.1</v>
      </c>
      <c r="W189" s="4">
        <f>Table1[[#This Row],[Amount]]-(Table1[[#This Row],[Amount]]*Table1[[#This Row],[Discount_Percent]])</f>
        <v>96.722999999999999</v>
      </c>
      <c r="X189" s="4">
        <f>IF(O189="DEL0", Table1[[#This Row],[Discounted_Amount]],Table1[[#This Row],[Discounted_Amount]]+Table1[[#This Row],[Delivery_Charge]])</f>
        <v>152.72300000000001</v>
      </c>
      <c r="Y189" s="4" t="str">
        <f>Table1[[#This Row],[First_Name]]&amp;" "&amp;Table1[[#This Row],[Last_Name]]</f>
        <v>Jenny Estrada</v>
      </c>
      <c r="Z189" s="4" t="str">
        <f>IF(T:T&gt;Table1[[#This Row],[Estimated_Days_to_Deliver]],"Late",IF(T:T=Table1[[#This Row],[Estimated_Days_to_Deliver]],"Intime","BeforeTime"))</f>
        <v>Intime</v>
      </c>
      <c r="AA189" s="4">
        <f>MONTH(Table1[[#This Row],[Order_Date]])</f>
        <v>6</v>
      </c>
      <c r="AB189" s="13">
        <f>Table1[[#This Row],[Amount]]*Table1[[#This Row],[Discount_Percent]]</f>
        <v>10.747</v>
      </c>
    </row>
    <row r="190" spans="1:28" ht="14.25" customHeight="1">
      <c r="A190" s="1" t="s">
        <v>167</v>
      </c>
      <c r="B190" s="1" t="s">
        <v>168</v>
      </c>
      <c r="C190" s="1" t="s">
        <v>169</v>
      </c>
      <c r="D190" s="1">
        <v>46</v>
      </c>
      <c r="E190" s="1" t="s">
        <v>31</v>
      </c>
      <c r="F190" s="1" t="s">
        <v>170</v>
      </c>
      <c r="G190" s="1" t="s">
        <v>171</v>
      </c>
      <c r="H190" s="1" t="s">
        <v>172</v>
      </c>
      <c r="I190" s="1" t="s">
        <v>1027</v>
      </c>
      <c r="J190" s="24">
        <v>45586</v>
      </c>
      <c r="K190" s="1" t="s">
        <v>1028</v>
      </c>
      <c r="L190" s="1" t="s">
        <v>245</v>
      </c>
      <c r="M190" s="1">
        <v>126.19</v>
      </c>
      <c r="N190" s="1">
        <v>1</v>
      </c>
      <c r="O190" s="1" t="s">
        <v>87</v>
      </c>
      <c r="P190" s="1">
        <v>5</v>
      </c>
      <c r="Q190" s="1">
        <v>68</v>
      </c>
      <c r="R190" s="24">
        <v>45588</v>
      </c>
      <c r="S190" s="1" t="s">
        <v>1029</v>
      </c>
      <c r="T190" s="4">
        <f>Table1[[#This Row],[Delivery_Date]]-Table1[[#This Row],[Order_Date]]</f>
        <v>2</v>
      </c>
      <c r="U190" s="4">
        <f>Table1[[#This Row],[Price]]*Table1[[#This Row],[Quantity]]</f>
        <v>126.19</v>
      </c>
      <c r="V190" s="11">
        <f t="shared" si="2"/>
        <v>0.2</v>
      </c>
      <c r="W190" s="4">
        <f>Table1[[#This Row],[Amount]]-(Table1[[#This Row],[Amount]]*Table1[[#This Row],[Discount_Percent]])</f>
        <v>100.952</v>
      </c>
      <c r="X190" s="4">
        <f>IF(O190="DEL0", Table1[[#This Row],[Discounted_Amount]],Table1[[#This Row],[Discounted_Amount]]+Table1[[#This Row],[Delivery_Charge]])</f>
        <v>168.952</v>
      </c>
      <c r="Y190" s="4" t="str">
        <f>Table1[[#This Row],[First_Name]]&amp;" "&amp;Table1[[#This Row],[Last_Name]]</f>
        <v>Erin Miller</v>
      </c>
      <c r="Z190" s="4" t="str">
        <f>IF(T:T&gt;Table1[[#This Row],[Estimated_Days_to_Deliver]],"Late",IF(T:T=Table1[[#This Row],[Estimated_Days_to_Deliver]],"Intime","BeforeTime"))</f>
        <v>BeforeTime</v>
      </c>
      <c r="AA190" s="4">
        <f>MONTH(Table1[[#This Row],[Order_Date]])</f>
        <v>10</v>
      </c>
      <c r="AB190" s="13">
        <f>Table1[[#This Row],[Amount]]*Table1[[#This Row],[Discount_Percent]]</f>
        <v>25.238</v>
      </c>
    </row>
    <row r="191" spans="1:28" ht="14.25" customHeight="1">
      <c r="A191" s="1" t="s">
        <v>649</v>
      </c>
      <c r="B191" s="1" t="s">
        <v>650</v>
      </c>
      <c r="C191" s="1" t="s">
        <v>651</v>
      </c>
      <c r="D191" s="1">
        <v>45</v>
      </c>
      <c r="E191" s="1" t="s">
        <v>54</v>
      </c>
      <c r="F191" s="1" t="s">
        <v>92</v>
      </c>
      <c r="G191" s="1" t="s">
        <v>652</v>
      </c>
      <c r="H191" s="1" t="s">
        <v>653</v>
      </c>
      <c r="I191" s="1" t="s">
        <v>1030</v>
      </c>
      <c r="J191" s="24">
        <v>45060</v>
      </c>
      <c r="K191" s="1" t="s">
        <v>1031</v>
      </c>
      <c r="L191" s="1" t="s">
        <v>751</v>
      </c>
      <c r="M191" s="1">
        <v>381.73</v>
      </c>
      <c r="N191" s="1">
        <v>2</v>
      </c>
      <c r="O191" s="1" t="s">
        <v>65</v>
      </c>
      <c r="P191" s="1">
        <v>5</v>
      </c>
      <c r="Q191" s="1">
        <v>38</v>
      </c>
      <c r="R191" s="24">
        <v>45066</v>
      </c>
      <c r="S191" s="1" t="s">
        <v>1032</v>
      </c>
      <c r="T191" s="4">
        <f>Table1[[#This Row],[Delivery_Date]]-Table1[[#This Row],[Order_Date]]</f>
        <v>6</v>
      </c>
      <c r="U191" s="4">
        <f>Table1[[#This Row],[Price]]*Table1[[#This Row],[Quantity]]</f>
        <v>763.46</v>
      </c>
      <c r="V191" s="11">
        <f t="shared" si="2"/>
        <v>0</v>
      </c>
      <c r="W191" s="4">
        <f>Table1[[#This Row],[Amount]]-(Table1[[#This Row],[Amount]]*Table1[[#This Row],[Discount_Percent]])</f>
        <v>763.46</v>
      </c>
      <c r="X191" s="4">
        <f>IF(O191="DEL0", Table1[[#This Row],[Discounted_Amount]],Table1[[#This Row],[Discounted_Amount]]+Table1[[#This Row],[Delivery_Charge]])</f>
        <v>763.46</v>
      </c>
      <c r="Y191" s="4" t="str">
        <f>Table1[[#This Row],[First_Name]]&amp;" "&amp;Table1[[#This Row],[Last_Name]]</f>
        <v>Beth Mason</v>
      </c>
      <c r="Z191" s="4" t="str">
        <f>IF(T:T&gt;Table1[[#This Row],[Estimated_Days_to_Deliver]],"Late",IF(T:T=Table1[[#This Row],[Estimated_Days_to_Deliver]],"Intime","BeforeTime"))</f>
        <v>Late</v>
      </c>
      <c r="AA191" s="4">
        <f>MONTH(Table1[[#This Row],[Order_Date]])</f>
        <v>5</v>
      </c>
      <c r="AB191" s="13">
        <f>Table1[[#This Row],[Amount]]*Table1[[#This Row],[Discount_Percent]]</f>
        <v>0</v>
      </c>
    </row>
    <row r="192" spans="1:28" ht="14.25" customHeight="1">
      <c r="A192" s="1" t="s">
        <v>478</v>
      </c>
      <c r="B192" s="1" t="s">
        <v>110</v>
      </c>
      <c r="C192" s="1" t="s">
        <v>479</v>
      </c>
      <c r="D192" s="1">
        <v>33</v>
      </c>
      <c r="E192" s="1" t="s">
        <v>31</v>
      </c>
      <c r="F192" s="1" t="s">
        <v>170</v>
      </c>
      <c r="G192" s="1" t="s">
        <v>480</v>
      </c>
      <c r="H192" s="1" t="s">
        <v>481</v>
      </c>
      <c r="I192" s="1" t="s">
        <v>1033</v>
      </c>
      <c r="J192" s="24">
        <v>45069</v>
      </c>
      <c r="K192" s="1" t="s">
        <v>1034</v>
      </c>
      <c r="L192" s="1" t="s">
        <v>874</v>
      </c>
      <c r="M192" s="1">
        <v>292.14999999999998</v>
      </c>
      <c r="N192" s="1">
        <v>5</v>
      </c>
      <c r="O192" s="1" t="s">
        <v>98</v>
      </c>
      <c r="P192" s="1">
        <v>5</v>
      </c>
      <c r="Q192" s="1">
        <v>68</v>
      </c>
      <c r="R192" s="24">
        <v>45071</v>
      </c>
      <c r="S192" s="1" t="s">
        <v>1035</v>
      </c>
      <c r="T192" s="4">
        <f>Table1[[#This Row],[Delivery_Date]]-Table1[[#This Row],[Order_Date]]</f>
        <v>2</v>
      </c>
      <c r="U192" s="4">
        <f>Table1[[#This Row],[Price]]*Table1[[#This Row],[Quantity]]</f>
        <v>1460.75</v>
      </c>
      <c r="V192" s="11">
        <f t="shared" si="2"/>
        <v>0.1</v>
      </c>
      <c r="W192" s="4">
        <f>Table1[[#This Row],[Amount]]-(Table1[[#This Row],[Amount]]*Table1[[#This Row],[Discount_Percent]])</f>
        <v>1314.675</v>
      </c>
      <c r="X192" s="4">
        <f>IF(O192="DEL0", Table1[[#This Row],[Discounted_Amount]],Table1[[#This Row],[Discounted_Amount]]+Table1[[#This Row],[Delivery_Charge]])</f>
        <v>1382.675</v>
      </c>
      <c r="Y192" s="4" t="str">
        <f>Table1[[#This Row],[First_Name]]&amp;" "&amp;Table1[[#This Row],[Last_Name]]</f>
        <v>Debra Hayes</v>
      </c>
      <c r="Z192" s="4" t="str">
        <f>IF(T:T&gt;Table1[[#This Row],[Estimated_Days_to_Deliver]],"Late",IF(T:T=Table1[[#This Row],[Estimated_Days_to_Deliver]],"Intime","BeforeTime"))</f>
        <v>BeforeTime</v>
      </c>
      <c r="AA192" s="4">
        <f>MONTH(Table1[[#This Row],[Order_Date]])</f>
        <v>5</v>
      </c>
      <c r="AB192" s="13">
        <f>Table1[[#This Row],[Amount]]*Table1[[#This Row],[Discount_Percent]]</f>
        <v>146.07500000000002</v>
      </c>
    </row>
    <row r="193" spans="1:28" ht="14.25" customHeight="1">
      <c r="A193" s="1" t="s">
        <v>493</v>
      </c>
      <c r="B193" s="1" t="s">
        <v>189</v>
      </c>
      <c r="C193" s="1" t="s">
        <v>330</v>
      </c>
      <c r="D193" s="1">
        <v>39</v>
      </c>
      <c r="E193" s="1" t="s">
        <v>54</v>
      </c>
      <c r="F193" s="1" t="s">
        <v>44</v>
      </c>
      <c r="G193" s="1" t="s">
        <v>494</v>
      </c>
      <c r="H193" s="1" t="s">
        <v>495</v>
      </c>
      <c r="I193" s="1" t="s">
        <v>1036</v>
      </c>
      <c r="J193" s="24">
        <v>45036</v>
      </c>
      <c r="K193" s="1" t="s">
        <v>1037</v>
      </c>
      <c r="L193" s="1" t="s">
        <v>517</v>
      </c>
      <c r="M193" s="1">
        <v>136.30000000000001</v>
      </c>
      <c r="N193" s="1">
        <v>3</v>
      </c>
      <c r="O193" s="1" t="s">
        <v>60</v>
      </c>
      <c r="P193" s="1">
        <v>5</v>
      </c>
      <c r="Q193" s="1">
        <v>42</v>
      </c>
      <c r="R193" s="24">
        <v>45043</v>
      </c>
      <c r="S193" s="1" t="s">
        <v>1038</v>
      </c>
      <c r="T193" s="4">
        <f>Table1[[#This Row],[Delivery_Date]]-Table1[[#This Row],[Order_Date]]</f>
        <v>7</v>
      </c>
      <c r="U193" s="4">
        <f>Table1[[#This Row],[Price]]*Table1[[#This Row],[Quantity]]</f>
        <v>408.90000000000003</v>
      </c>
      <c r="V193" s="11">
        <f t="shared" si="2"/>
        <v>0.15</v>
      </c>
      <c r="W193" s="4">
        <f>Table1[[#This Row],[Amount]]-(Table1[[#This Row],[Amount]]*Table1[[#This Row],[Discount_Percent]])</f>
        <v>347.56500000000005</v>
      </c>
      <c r="X193" s="4">
        <f>IF(O193="DEL0", Table1[[#This Row],[Discounted_Amount]],Table1[[#This Row],[Discounted_Amount]]+Table1[[#This Row],[Delivery_Charge]])</f>
        <v>389.56500000000005</v>
      </c>
      <c r="Y193" s="4" t="str">
        <f>Table1[[#This Row],[First_Name]]&amp;" "&amp;Table1[[#This Row],[Last_Name]]</f>
        <v>Mitchell Parker</v>
      </c>
      <c r="Z193" s="4" t="str">
        <f>IF(T:T&gt;Table1[[#This Row],[Estimated_Days_to_Deliver]],"Late",IF(T:T=Table1[[#This Row],[Estimated_Days_to_Deliver]],"Intime","BeforeTime"))</f>
        <v>Late</v>
      </c>
      <c r="AA193" s="4">
        <f>MONTH(Table1[[#This Row],[Order_Date]])</f>
        <v>4</v>
      </c>
      <c r="AB193" s="13">
        <f>Table1[[#This Row],[Amount]]*Table1[[#This Row],[Discount_Percent]]</f>
        <v>61.335000000000001</v>
      </c>
    </row>
    <row r="194" spans="1:28" ht="14.25" customHeight="1">
      <c r="A194" s="1" t="s">
        <v>642</v>
      </c>
      <c r="B194" s="1" t="s">
        <v>150</v>
      </c>
      <c r="C194" s="1" t="s">
        <v>643</v>
      </c>
      <c r="D194" s="1">
        <v>44</v>
      </c>
      <c r="E194" s="1" t="s">
        <v>54</v>
      </c>
      <c r="F194" s="1" t="s">
        <v>92</v>
      </c>
      <c r="G194" s="1" t="s">
        <v>644</v>
      </c>
      <c r="H194" s="1" t="s">
        <v>645</v>
      </c>
      <c r="I194" s="1" t="s">
        <v>1039</v>
      </c>
      <c r="J194" s="24">
        <v>45208</v>
      </c>
      <c r="K194" s="1" t="s">
        <v>1040</v>
      </c>
      <c r="L194" s="1" t="s">
        <v>593</v>
      </c>
      <c r="M194" s="1">
        <v>403.03</v>
      </c>
      <c r="N194" s="1">
        <v>3</v>
      </c>
      <c r="O194" s="1" t="s">
        <v>60</v>
      </c>
      <c r="P194" s="1">
        <v>5</v>
      </c>
      <c r="Q194" s="1">
        <v>67</v>
      </c>
      <c r="R194" s="24">
        <v>45213</v>
      </c>
      <c r="S194" s="1" t="s">
        <v>1041</v>
      </c>
      <c r="T194" s="4">
        <f>Table1[[#This Row],[Delivery_Date]]-Table1[[#This Row],[Order_Date]]</f>
        <v>5</v>
      </c>
      <c r="U194" s="4">
        <f>Table1[[#This Row],[Price]]*Table1[[#This Row],[Quantity]]</f>
        <v>1209.0899999999999</v>
      </c>
      <c r="V194" s="11">
        <f t="shared" ref="V194:V257" si="3">IF(O194="FLAT8",8%,IF(O194="FLAT10",10%,IF(O194="FLAT15",15%,IF(O194="FLAT20",20%,0))))</f>
        <v>0.15</v>
      </c>
      <c r="W194" s="4">
        <f>Table1[[#This Row],[Amount]]-(Table1[[#This Row],[Amount]]*Table1[[#This Row],[Discount_Percent]])</f>
        <v>1027.7265</v>
      </c>
      <c r="X194" s="4">
        <f>IF(O194="DEL0", Table1[[#This Row],[Discounted_Amount]],Table1[[#This Row],[Discounted_Amount]]+Table1[[#This Row],[Delivery_Charge]])</f>
        <v>1094.7265</v>
      </c>
      <c r="Y194" s="4" t="str">
        <f>Table1[[#This Row],[First_Name]]&amp;" "&amp;Table1[[#This Row],[Last_Name]]</f>
        <v>Amy Ellis</v>
      </c>
      <c r="Z194" s="4" t="str">
        <f>IF(T:T&gt;Table1[[#This Row],[Estimated_Days_to_Deliver]],"Late",IF(T:T=Table1[[#This Row],[Estimated_Days_to_Deliver]],"Intime","BeforeTime"))</f>
        <v>Intime</v>
      </c>
      <c r="AA194" s="4">
        <f>MONTH(Table1[[#This Row],[Order_Date]])</f>
        <v>10</v>
      </c>
      <c r="AB194" s="13">
        <f>Table1[[#This Row],[Amount]]*Table1[[#This Row],[Discount_Percent]]</f>
        <v>181.36349999999999</v>
      </c>
    </row>
    <row r="195" spans="1:28" ht="14.25" customHeight="1">
      <c r="A195" s="1" t="s">
        <v>438</v>
      </c>
      <c r="B195" s="1" t="s">
        <v>439</v>
      </c>
      <c r="C195" s="1" t="s">
        <v>440</v>
      </c>
      <c r="D195" s="1">
        <v>28</v>
      </c>
      <c r="E195" s="1" t="s">
        <v>54</v>
      </c>
      <c r="F195" s="1" t="s">
        <v>78</v>
      </c>
      <c r="G195" s="1" t="s">
        <v>441</v>
      </c>
      <c r="H195" s="1" t="s">
        <v>442</v>
      </c>
      <c r="I195" s="1" t="s">
        <v>1042</v>
      </c>
      <c r="J195" s="24">
        <v>45241</v>
      </c>
      <c r="K195" s="1" t="s">
        <v>1043</v>
      </c>
      <c r="L195" s="1" t="s">
        <v>640</v>
      </c>
      <c r="M195" s="1">
        <v>445.81</v>
      </c>
      <c r="N195" s="1">
        <v>2</v>
      </c>
      <c r="O195" s="1" t="s">
        <v>65</v>
      </c>
      <c r="P195" s="1">
        <v>5</v>
      </c>
      <c r="Q195" s="1">
        <v>67</v>
      </c>
      <c r="R195" s="24">
        <v>45242</v>
      </c>
      <c r="S195" s="1" t="s">
        <v>1044</v>
      </c>
      <c r="T195" s="4">
        <f>Table1[[#This Row],[Delivery_Date]]-Table1[[#This Row],[Order_Date]]</f>
        <v>1</v>
      </c>
      <c r="U195" s="4">
        <f>Table1[[#This Row],[Price]]*Table1[[#This Row],[Quantity]]</f>
        <v>891.62</v>
      </c>
      <c r="V195" s="11">
        <f t="shared" si="3"/>
        <v>0</v>
      </c>
      <c r="W195" s="4">
        <f>Table1[[#This Row],[Amount]]-(Table1[[#This Row],[Amount]]*Table1[[#This Row],[Discount_Percent]])</f>
        <v>891.62</v>
      </c>
      <c r="X195" s="4">
        <f>IF(O195="DEL0", Table1[[#This Row],[Discounted_Amount]],Table1[[#This Row],[Discounted_Amount]]+Table1[[#This Row],[Delivery_Charge]])</f>
        <v>891.62</v>
      </c>
      <c r="Y195" s="4" t="str">
        <f>Table1[[#This Row],[First_Name]]&amp;" "&amp;Table1[[#This Row],[Last_Name]]</f>
        <v>Mary Knight</v>
      </c>
      <c r="Z195" s="4" t="str">
        <f>IF(T:T&gt;Table1[[#This Row],[Estimated_Days_to_Deliver]],"Late",IF(T:T=Table1[[#This Row],[Estimated_Days_to_Deliver]],"Intime","BeforeTime"))</f>
        <v>BeforeTime</v>
      </c>
      <c r="AA195" s="4">
        <f>MONTH(Table1[[#This Row],[Order_Date]])</f>
        <v>11</v>
      </c>
      <c r="AB195" s="13">
        <f>Table1[[#This Row],[Amount]]*Table1[[#This Row],[Discount_Percent]]</f>
        <v>0</v>
      </c>
    </row>
    <row r="196" spans="1:28" ht="14.25" customHeight="1">
      <c r="A196" s="1" t="s">
        <v>1045</v>
      </c>
      <c r="B196" s="1" t="s">
        <v>76</v>
      </c>
      <c r="C196" s="1" t="s">
        <v>1046</v>
      </c>
      <c r="D196" s="1">
        <v>46</v>
      </c>
      <c r="E196" s="1" t="s">
        <v>31</v>
      </c>
      <c r="F196" s="1" t="s">
        <v>32</v>
      </c>
      <c r="G196" s="1" t="s">
        <v>1047</v>
      </c>
      <c r="H196" s="1" t="s">
        <v>1048</v>
      </c>
      <c r="I196" s="1" t="s">
        <v>1049</v>
      </c>
      <c r="J196" s="24">
        <v>45051</v>
      </c>
      <c r="K196" s="1" t="s">
        <v>1050</v>
      </c>
      <c r="L196" s="1" t="s">
        <v>311</v>
      </c>
      <c r="M196" s="1">
        <v>129.75</v>
      </c>
      <c r="N196" s="1">
        <v>5</v>
      </c>
      <c r="O196" s="1" t="s">
        <v>87</v>
      </c>
      <c r="P196" s="1">
        <v>5</v>
      </c>
      <c r="Q196" s="1">
        <v>38</v>
      </c>
      <c r="R196" s="24">
        <v>45057</v>
      </c>
      <c r="S196" s="1" t="s">
        <v>1051</v>
      </c>
      <c r="T196" s="4">
        <f>Table1[[#This Row],[Delivery_Date]]-Table1[[#This Row],[Order_Date]]</f>
        <v>6</v>
      </c>
      <c r="U196" s="4">
        <f>Table1[[#This Row],[Price]]*Table1[[#This Row],[Quantity]]</f>
        <v>648.75</v>
      </c>
      <c r="V196" s="11">
        <f t="shared" si="3"/>
        <v>0.2</v>
      </c>
      <c r="W196" s="4">
        <f>Table1[[#This Row],[Amount]]-(Table1[[#This Row],[Amount]]*Table1[[#This Row],[Discount_Percent]])</f>
        <v>519</v>
      </c>
      <c r="X196" s="4">
        <f>IF(O196="DEL0", Table1[[#This Row],[Discounted_Amount]],Table1[[#This Row],[Discounted_Amount]]+Table1[[#This Row],[Delivery_Charge]])</f>
        <v>557</v>
      </c>
      <c r="Y196" s="4" t="str">
        <f>Table1[[#This Row],[First_Name]]&amp;" "&amp;Table1[[#This Row],[Last_Name]]</f>
        <v>Christine Aguilar</v>
      </c>
      <c r="Z196" s="4" t="str">
        <f>IF(T:T&gt;Table1[[#This Row],[Estimated_Days_to_Deliver]],"Late",IF(T:T=Table1[[#This Row],[Estimated_Days_to_Deliver]],"Intime","BeforeTime"))</f>
        <v>Late</v>
      </c>
      <c r="AA196" s="4">
        <f>MONTH(Table1[[#This Row],[Order_Date]])</f>
        <v>5</v>
      </c>
      <c r="AB196" s="13">
        <f>Table1[[#This Row],[Amount]]*Table1[[#This Row],[Discount_Percent]]</f>
        <v>129.75</v>
      </c>
    </row>
    <row r="197" spans="1:28" ht="14.25" customHeight="1">
      <c r="A197" s="1" t="s">
        <v>510</v>
      </c>
      <c r="B197" s="1" t="s">
        <v>511</v>
      </c>
      <c r="C197" s="1" t="s">
        <v>512</v>
      </c>
      <c r="D197" s="1">
        <v>64</v>
      </c>
      <c r="E197" s="1" t="s">
        <v>31</v>
      </c>
      <c r="F197" s="1" t="s">
        <v>32</v>
      </c>
      <c r="G197" s="1" t="s">
        <v>513</v>
      </c>
      <c r="H197" s="1" t="s">
        <v>514</v>
      </c>
      <c r="I197" s="1" t="s">
        <v>1052</v>
      </c>
      <c r="J197" s="24">
        <v>45282</v>
      </c>
      <c r="K197" s="1" t="s">
        <v>1053</v>
      </c>
      <c r="L197" s="1" t="s">
        <v>987</v>
      </c>
      <c r="M197" s="1">
        <v>33.49</v>
      </c>
      <c r="N197" s="1">
        <v>3</v>
      </c>
      <c r="O197" s="1" t="s">
        <v>60</v>
      </c>
      <c r="P197" s="1">
        <v>5</v>
      </c>
      <c r="Q197" s="1">
        <v>62</v>
      </c>
      <c r="R197" s="24">
        <v>45284</v>
      </c>
      <c r="S197" s="1" t="s">
        <v>1054</v>
      </c>
      <c r="T197" s="4">
        <f>Table1[[#This Row],[Delivery_Date]]-Table1[[#This Row],[Order_Date]]</f>
        <v>2</v>
      </c>
      <c r="U197" s="4">
        <f>Table1[[#This Row],[Price]]*Table1[[#This Row],[Quantity]]</f>
        <v>100.47</v>
      </c>
      <c r="V197" s="11">
        <f t="shared" si="3"/>
        <v>0.15</v>
      </c>
      <c r="W197" s="4">
        <f>Table1[[#This Row],[Amount]]-(Table1[[#This Row],[Amount]]*Table1[[#This Row],[Discount_Percent]])</f>
        <v>85.399500000000003</v>
      </c>
      <c r="X197" s="4">
        <f>IF(O197="DEL0", Table1[[#This Row],[Discounted_Amount]],Table1[[#This Row],[Discounted_Amount]]+Table1[[#This Row],[Delivery_Charge]])</f>
        <v>147.39949999999999</v>
      </c>
      <c r="Y197" s="4" t="str">
        <f>Table1[[#This Row],[First_Name]]&amp;" "&amp;Table1[[#This Row],[Last_Name]]</f>
        <v>Sarah Butler</v>
      </c>
      <c r="Z197" s="4" t="str">
        <f>IF(T:T&gt;Table1[[#This Row],[Estimated_Days_to_Deliver]],"Late",IF(T:T=Table1[[#This Row],[Estimated_Days_to_Deliver]],"Intime","BeforeTime"))</f>
        <v>BeforeTime</v>
      </c>
      <c r="AA197" s="4">
        <f>MONTH(Table1[[#This Row],[Order_Date]])</f>
        <v>12</v>
      </c>
      <c r="AB197" s="13">
        <f>Table1[[#This Row],[Amount]]*Table1[[#This Row],[Discount_Percent]]</f>
        <v>15.070499999999999</v>
      </c>
    </row>
    <row r="198" spans="1:28" ht="14.25" customHeight="1">
      <c r="A198" s="1" t="s">
        <v>538</v>
      </c>
      <c r="B198" s="1" t="s">
        <v>539</v>
      </c>
      <c r="C198" s="1" t="s">
        <v>540</v>
      </c>
      <c r="D198" s="1">
        <v>32</v>
      </c>
      <c r="E198" s="1" t="s">
        <v>54</v>
      </c>
      <c r="F198" s="1" t="s">
        <v>92</v>
      </c>
      <c r="G198" s="1" t="s">
        <v>541</v>
      </c>
      <c r="H198" s="1" t="s">
        <v>542</v>
      </c>
      <c r="I198" s="1" t="s">
        <v>1055</v>
      </c>
      <c r="J198" s="24">
        <v>45689</v>
      </c>
      <c r="K198" s="1" t="s">
        <v>1056</v>
      </c>
      <c r="L198" s="1" t="s">
        <v>83</v>
      </c>
      <c r="M198" s="1">
        <v>330.11</v>
      </c>
      <c r="N198" s="1">
        <v>4</v>
      </c>
      <c r="O198" s="1" t="s">
        <v>87</v>
      </c>
      <c r="P198" s="1">
        <v>5</v>
      </c>
      <c r="Q198" s="1">
        <v>69</v>
      </c>
      <c r="R198" s="24">
        <v>45695</v>
      </c>
      <c r="S198" s="1" t="s">
        <v>1057</v>
      </c>
      <c r="T198" s="4">
        <f>Table1[[#This Row],[Delivery_Date]]-Table1[[#This Row],[Order_Date]]</f>
        <v>6</v>
      </c>
      <c r="U198" s="4">
        <f>Table1[[#This Row],[Price]]*Table1[[#This Row],[Quantity]]</f>
        <v>1320.44</v>
      </c>
      <c r="V198" s="11">
        <f t="shared" si="3"/>
        <v>0.2</v>
      </c>
      <c r="W198" s="4">
        <f>Table1[[#This Row],[Amount]]-(Table1[[#This Row],[Amount]]*Table1[[#This Row],[Discount_Percent]])</f>
        <v>1056.3520000000001</v>
      </c>
      <c r="X198" s="4">
        <f>IF(O198="DEL0", Table1[[#This Row],[Discounted_Amount]],Table1[[#This Row],[Discounted_Amount]]+Table1[[#This Row],[Delivery_Charge]])</f>
        <v>1125.3520000000001</v>
      </c>
      <c r="Y198" s="4" t="str">
        <f>Table1[[#This Row],[First_Name]]&amp;" "&amp;Table1[[#This Row],[Last_Name]]</f>
        <v>Brandon Cruz</v>
      </c>
      <c r="Z198" s="4" t="str">
        <f>IF(T:T&gt;Table1[[#This Row],[Estimated_Days_to_Deliver]],"Late",IF(T:T=Table1[[#This Row],[Estimated_Days_to_Deliver]],"Intime","BeforeTime"))</f>
        <v>Late</v>
      </c>
      <c r="AA198" s="4">
        <f>MONTH(Table1[[#This Row],[Order_Date]])</f>
        <v>2</v>
      </c>
      <c r="AB198" s="13">
        <f>Table1[[#This Row],[Amount]]*Table1[[#This Row],[Discount_Percent]]</f>
        <v>264.08800000000002</v>
      </c>
    </row>
    <row r="199" spans="1:28" ht="14.25" customHeight="1">
      <c r="A199" s="1" t="s">
        <v>404</v>
      </c>
      <c r="B199" s="1" t="s">
        <v>405</v>
      </c>
      <c r="C199" s="1" t="s">
        <v>406</v>
      </c>
      <c r="D199" s="1">
        <v>70</v>
      </c>
      <c r="E199" s="1" t="s">
        <v>31</v>
      </c>
      <c r="F199" s="1" t="s">
        <v>32</v>
      </c>
      <c r="G199" s="1" t="s">
        <v>407</v>
      </c>
      <c r="H199" s="1" t="s">
        <v>408</v>
      </c>
      <c r="I199" s="1" t="s">
        <v>1058</v>
      </c>
      <c r="J199" s="24">
        <v>45045</v>
      </c>
      <c r="K199" s="1" t="s">
        <v>1059</v>
      </c>
      <c r="L199" s="1" t="s">
        <v>59</v>
      </c>
      <c r="M199" s="1">
        <v>202.54</v>
      </c>
      <c r="N199" s="1">
        <v>5</v>
      </c>
      <c r="O199" s="1" t="s">
        <v>60</v>
      </c>
      <c r="P199" s="1">
        <v>5</v>
      </c>
      <c r="Q199" s="1">
        <v>47</v>
      </c>
      <c r="R199" s="24">
        <v>45051</v>
      </c>
      <c r="S199" s="1" t="s">
        <v>1060</v>
      </c>
      <c r="T199" s="4">
        <f>Table1[[#This Row],[Delivery_Date]]-Table1[[#This Row],[Order_Date]]</f>
        <v>6</v>
      </c>
      <c r="U199" s="4">
        <f>Table1[[#This Row],[Price]]*Table1[[#This Row],[Quantity]]</f>
        <v>1012.6999999999999</v>
      </c>
      <c r="V199" s="11">
        <f t="shared" si="3"/>
        <v>0.15</v>
      </c>
      <c r="W199" s="4">
        <f>Table1[[#This Row],[Amount]]-(Table1[[#This Row],[Amount]]*Table1[[#This Row],[Discount_Percent]])</f>
        <v>860.79499999999996</v>
      </c>
      <c r="X199" s="4">
        <f>IF(O199="DEL0", Table1[[#This Row],[Discounted_Amount]],Table1[[#This Row],[Discounted_Amount]]+Table1[[#This Row],[Delivery_Charge]])</f>
        <v>907.79499999999996</v>
      </c>
      <c r="Y199" s="4" t="str">
        <f>Table1[[#This Row],[First_Name]]&amp;" "&amp;Table1[[#This Row],[Last_Name]]</f>
        <v>Alexandra Smith</v>
      </c>
      <c r="Z199" s="4" t="str">
        <f>IF(T:T&gt;Table1[[#This Row],[Estimated_Days_to_Deliver]],"Late",IF(T:T=Table1[[#This Row],[Estimated_Days_to_Deliver]],"Intime","BeforeTime"))</f>
        <v>Late</v>
      </c>
      <c r="AA199" s="4">
        <f>MONTH(Table1[[#This Row],[Order_Date]])</f>
        <v>4</v>
      </c>
      <c r="AB199" s="13">
        <f>Table1[[#This Row],[Amount]]*Table1[[#This Row],[Discount_Percent]]</f>
        <v>151.90499999999997</v>
      </c>
    </row>
    <row r="200" spans="1:28" ht="14.25" customHeight="1">
      <c r="A200" s="1" t="s">
        <v>578</v>
      </c>
      <c r="B200" s="1" t="s">
        <v>259</v>
      </c>
      <c r="C200" s="1" t="s">
        <v>579</v>
      </c>
      <c r="D200" s="1">
        <v>35</v>
      </c>
      <c r="E200" s="1" t="s">
        <v>31</v>
      </c>
      <c r="F200" s="1" t="s">
        <v>32</v>
      </c>
      <c r="G200" s="1" t="s">
        <v>580</v>
      </c>
      <c r="H200" s="1" t="s">
        <v>581</v>
      </c>
      <c r="I200" s="1" t="s">
        <v>1061</v>
      </c>
      <c r="J200" s="24">
        <v>45253</v>
      </c>
      <c r="K200" s="1" t="s">
        <v>1062</v>
      </c>
      <c r="L200" s="1" t="s">
        <v>49</v>
      </c>
      <c r="M200" s="1">
        <v>166.28</v>
      </c>
      <c r="N200" s="1">
        <v>4</v>
      </c>
      <c r="O200" s="1" t="s">
        <v>98</v>
      </c>
      <c r="P200" s="1">
        <v>5</v>
      </c>
      <c r="Q200" s="1">
        <v>44</v>
      </c>
      <c r="R200" s="24">
        <v>45257</v>
      </c>
      <c r="S200" s="1" t="s">
        <v>1063</v>
      </c>
      <c r="T200" s="4">
        <f>Table1[[#This Row],[Delivery_Date]]-Table1[[#This Row],[Order_Date]]</f>
        <v>4</v>
      </c>
      <c r="U200" s="4">
        <f>Table1[[#This Row],[Price]]*Table1[[#This Row],[Quantity]]</f>
        <v>665.12</v>
      </c>
      <c r="V200" s="11">
        <f t="shared" si="3"/>
        <v>0.1</v>
      </c>
      <c r="W200" s="4">
        <f>Table1[[#This Row],[Amount]]-(Table1[[#This Row],[Amount]]*Table1[[#This Row],[Discount_Percent]])</f>
        <v>598.60799999999995</v>
      </c>
      <c r="X200" s="4">
        <f>IF(O200="DEL0", Table1[[#This Row],[Discounted_Amount]],Table1[[#This Row],[Discounted_Amount]]+Table1[[#This Row],[Delivery_Charge]])</f>
        <v>642.60799999999995</v>
      </c>
      <c r="Y200" s="4" t="str">
        <f>Table1[[#This Row],[First_Name]]&amp;" "&amp;Table1[[#This Row],[Last_Name]]</f>
        <v>Ashley Romero</v>
      </c>
      <c r="Z200" s="4" t="str">
        <f>IF(T:T&gt;Table1[[#This Row],[Estimated_Days_to_Deliver]],"Late",IF(T:T=Table1[[#This Row],[Estimated_Days_to_Deliver]],"Intime","BeforeTime"))</f>
        <v>BeforeTime</v>
      </c>
      <c r="AA200" s="4">
        <f>MONTH(Table1[[#This Row],[Order_Date]])</f>
        <v>11</v>
      </c>
      <c r="AB200" s="13">
        <f>Table1[[#This Row],[Amount]]*Table1[[#This Row],[Discount_Percent]]</f>
        <v>66.512</v>
      </c>
    </row>
    <row r="201" spans="1:28" ht="14.25" customHeight="1">
      <c r="A201" s="1" t="s">
        <v>438</v>
      </c>
      <c r="B201" s="1" t="s">
        <v>439</v>
      </c>
      <c r="C201" s="1" t="s">
        <v>440</v>
      </c>
      <c r="D201" s="1">
        <v>28</v>
      </c>
      <c r="E201" s="1" t="s">
        <v>54</v>
      </c>
      <c r="F201" s="1" t="s">
        <v>78</v>
      </c>
      <c r="G201" s="1" t="s">
        <v>441</v>
      </c>
      <c r="H201" s="1" t="s">
        <v>442</v>
      </c>
      <c r="I201" s="1" t="s">
        <v>1064</v>
      </c>
      <c r="J201" s="24">
        <v>45523</v>
      </c>
      <c r="K201" s="1" t="s">
        <v>1065</v>
      </c>
      <c r="L201" s="1" t="s">
        <v>874</v>
      </c>
      <c r="M201" s="1">
        <v>292.14999999999998</v>
      </c>
      <c r="N201" s="1">
        <v>2</v>
      </c>
      <c r="O201" s="1" t="s">
        <v>60</v>
      </c>
      <c r="P201" s="1">
        <v>5</v>
      </c>
      <c r="Q201" s="1">
        <v>58</v>
      </c>
      <c r="R201" s="24">
        <v>45526</v>
      </c>
      <c r="S201" s="1" t="s">
        <v>1066</v>
      </c>
      <c r="T201" s="4">
        <f>Table1[[#This Row],[Delivery_Date]]-Table1[[#This Row],[Order_Date]]</f>
        <v>3</v>
      </c>
      <c r="U201" s="4">
        <f>Table1[[#This Row],[Price]]*Table1[[#This Row],[Quantity]]</f>
        <v>584.29999999999995</v>
      </c>
      <c r="V201" s="11">
        <f t="shared" si="3"/>
        <v>0.15</v>
      </c>
      <c r="W201" s="4">
        <f>Table1[[#This Row],[Amount]]-(Table1[[#This Row],[Amount]]*Table1[[#This Row],[Discount_Percent]])</f>
        <v>496.65499999999997</v>
      </c>
      <c r="X201" s="4">
        <f>IF(O201="DEL0", Table1[[#This Row],[Discounted_Amount]],Table1[[#This Row],[Discounted_Amount]]+Table1[[#This Row],[Delivery_Charge]])</f>
        <v>554.65499999999997</v>
      </c>
      <c r="Y201" s="4" t="str">
        <f>Table1[[#This Row],[First_Name]]&amp;" "&amp;Table1[[#This Row],[Last_Name]]</f>
        <v>Mary Knight</v>
      </c>
      <c r="Z201" s="4" t="str">
        <f>IF(T:T&gt;Table1[[#This Row],[Estimated_Days_to_Deliver]],"Late",IF(T:T=Table1[[#This Row],[Estimated_Days_to_Deliver]],"Intime","BeforeTime"))</f>
        <v>BeforeTime</v>
      </c>
      <c r="AA201" s="4">
        <f>MONTH(Table1[[#This Row],[Order_Date]])</f>
        <v>8</v>
      </c>
      <c r="AB201" s="13">
        <f>Table1[[#This Row],[Amount]]*Table1[[#This Row],[Discount_Percent]]</f>
        <v>87.644999999999996</v>
      </c>
    </row>
    <row r="202" spans="1:28" ht="14.25" customHeight="1">
      <c r="A202" s="1" t="s">
        <v>1045</v>
      </c>
      <c r="B202" s="1" t="s">
        <v>76</v>
      </c>
      <c r="C202" s="1" t="s">
        <v>1046</v>
      </c>
      <c r="D202" s="1">
        <v>46</v>
      </c>
      <c r="E202" s="1" t="s">
        <v>31</v>
      </c>
      <c r="F202" s="1" t="s">
        <v>32</v>
      </c>
      <c r="G202" s="1" t="s">
        <v>1047</v>
      </c>
      <c r="H202" s="1" t="s">
        <v>1048</v>
      </c>
      <c r="I202" s="1" t="s">
        <v>1067</v>
      </c>
      <c r="J202" s="24">
        <v>45481</v>
      </c>
      <c r="K202" s="1" t="s">
        <v>1068</v>
      </c>
      <c r="L202" s="1" t="s">
        <v>175</v>
      </c>
      <c r="M202" s="1">
        <v>272.51</v>
      </c>
      <c r="N202" s="1">
        <v>4</v>
      </c>
      <c r="O202" s="1" t="s">
        <v>65</v>
      </c>
      <c r="P202" s="1">
        <v>5</v>
      </c>
      <c r="Q202" s="1">
        <v>38</v>
      </c>
      <c r="R202" s="24">
        <v>45482</v>
      </c>
      <c r="S202" s="1" t="s">
        <v>1069</v>
      </c>
      <c r="T202" s="4">
        <f>Table1[[#This Row],[Delivery_Date]]-Table1[[#This Row],[Order_Date]]</f>
        <v>1</v>
      </c>
      <c r="U202" s="4">
        <f>Table1[[#This Row],[Price]]*Table1[[#This Row],[Quantity]]</f>
        <v>1090.04</v>
      </c>
      <c r="V202" s="11">
        <f t="shared" si="3"/>
        <v>0</v>
      </c>
      <c r="W202" s="4">
        <f>Table1[[#This Row],[Amount]]-(Table1[[#This Row],[Amount]]*Table1[[#This Row],[Discount_Percent]])</f>
        <v>1090.04</v>
      </c>
      <c r="X202" s="4">
        <f>IF(O202="DEL0", Table1[[#This Row],[Discounted_Amount]],Table1[[#This Row],[Discounted_Amount]]+Table1[[#This Row],[Delivery_Charge]])</f>
        <v>1090.04</v>
      </c>
      <c r="Y202" s="4" t="str">
        <f>Table1[[#This Row],[First_Name]]&amp;" "&amp;Table1[[#This Row],[Last_Name]]</f>
        <v>Christine Aguilar</v>
      </c>
      <c r="Z202" s="4" t="str">
        <f>IF(T:T&gt;Table1[[#This Row],[Estimated_Days_to_Deliver]],"Late",IF(T:T=Table1[[#This Row],[Estimated_Days_to_Deliver]],"Intime","BeforeTime"))</f>
        <v>BeforeTime</v>
      </c>
      <c r="AA202" s="4">
        <f>MONTH(Table1[[#This Row],[Order_Date]])</f>
        <v>7</v>
      </c>
      <c r="AB202" s="13">
        <f>Table1[[#This Row],[Amount]]*Table1[[#This Row],[Discount_Percent]]</f>
        <v>0</v>
      </c>
    </row>
    <row r="203" spans="1:28" ht="14.25" customHeight="1">
      <c r="A203" s="1" t="s">
        <v>319</v>
      </c>
      <c r="B203" s="1" t="s">
        <v>320</v>
      </c>
      <c r="C203" s="1" t="s">
        <v>321</v>
      </c>
      <c r="D203" s="1">
        <v>45</v>
      </c>
      <c r="E203" s="1" t="s">
        <v>31</v>
      </c>
      <c r="F203" s="1" t="s">
        <v>44</v>
      </c>
      <c r="G203" s="1" t="s">
        <v>322</v>
      </c>
      <c r="H203" s="1" t="s">
        <v>323</v>
      </c>
      <c r="I203" s="1" t="s">
        <v>1070</v>
      </c>
      <c r="J203" s="24">
        <v>45079</v>
      </c>
      <c r="K203" s="1" t="s">
        <v>1071</v>
      </c>
      <c r="L203" s="1" t="s">
        <v>290</v>
      </c>
      <c r="M203" s="1">
        <v>157.63999999999999</v>
      </c>
      <c r="N203" s="1">
        <v>3</v>
      </c>
      <c r="O203" s="1" t="s">
        <v>87</v>
      </c>
      <c r="P203" s="1">
        <v>5</v>
      </c>
      <c r="Q203" s="1">
        <v>47</v>
      </c>
      <c r="R203" s="24">
        <v>45085</v>
      </c>
      <c r="S203" s="1" t="s">
        <v>1072</v>
      </c>
      <c r="T203" s="4">
        <f>Table1[[#This Row],[Delivery_Date]]-Table1[[#This Row],[Order_Date]]</f>
        <v>6</v>
      </c>
      <c r="U203" s="4">
        <f>Table1[[#This Row],[Price]]*Table1[[#This Row],[Quantity]]</f>
        <v>472.91999999999996</v>
      </c>
      <c r="V203" s="11">
        <f t="shared" si="3"/>
        <v>0.2</v>
      </c>
      <c r="W203" s="4">
        <f>Table1[[#This Row],[Amount]]-(Table1[[#This Row],[Amount]]*Table1[[#This Row],[Discount_Percent]])</f>
        <v>378.33599999999996</v>
      </c>
      <c r="X203" s="4">
        <f>IF(O203="DEL0", Table1[[#This Row],[Discounted_Amount]],Table1[[#This Row],[Discounted_Amount]]+Table1[[#This Row],[Delivery_Charge]])</f>
        <v>425.33599999999996</v>
      </c>
      <c r="Y203" s="4" t="str">
        <f>Table1[[#This Row],[First_Name]]&amp;" "&amp;Table1[[#This Row],[Last_Name]]</f>
        <v>Jenny Estrada</v>
      </c>
      <c r="Z203" s="4" t="str">
        <f>IF(T:T&gt;Table1[[#This Row],[Estimated_Days_to_Deliver]],"Late",IF(T:T=Table1[[#This Row],[Estimated_Days_to_Deliver]],"Intime","BeforeTime"))</f>
        <v>Late</v>
      </c>
      <c r="AA203" s="4">
        <f>MONTH(Table1[[#This Row],[Order_Date]])</f>
        <v>6</v>
      </c>
      <c r="AB203" s="13">
        <f>Table1[[#This Row],[Amount]]*Table1[[#This Row],[Discount_Percent]]</f>
        <v>94.584000000000003</v>
      </c>
    </row>
    <row r="204" spans="1:28" ht="14.25" customHeight="1">
      <c r="A204" s="1" t="s">
        <v>304</v>
      </c>
      <c r="B204" s="1" t="s">
        <v>305</v>
      </c>
      <c r="C204" s="1" t="s">
        <v>306</v>
      </c>
      <c r="D204" s="1">
        <v>26</v>
      </c>
      <c r="E204" s="1" t="s">
        <v>54</v>
      </c>
      <c r="F204" s="1" t="s">
        <v>170</v>
      </c>
      <c r="G204" s="1" t="s">
        <v>307</v>
      </c>
      <c r="H204" s="1" t="s">
        <v>308</v>
      </c>
      <c r="I204" s="1" t="s">
        <v>1073</v>
      </c>
      <c r="J204" s="24">
        <v>45053</v>
      </c>
      <c r="K204" s="1" t="s">
        <v>1074</v>
      </c>
      <c r="L204" s="1" t="s">
        <v>273</v>
      </c>
      <c r="M204" s="1">
        <v>62.42</v>
      </c>
      <c r="N204" s="1">
        <v>3</v>
      </c>
      <c r="O204" s="1" t="s">
        <v>60</v>
      </c>
      <c r="P204" s="1">
        <v>5</v>
      </c>
      <c r="Q204" s="1">
        <v>62</v>
      </c>
      <c r="R204" s="24">
        <v>45058</v>
      </c>
      <c r="S204" s="1" t="s">
        <v>1075</v>
      </c>
      <c r="T204" s="4">
        <f>Table1[[#This Row],[Delivery_Date]]-Table1[[#This Row],[Order_Date]]</f>
        <v>5</v>
      </c>
      <c r="U204" s="4">
        <f>Table1[[#This Row],[Price]]*Table1[[#This Row],[Quantity]]</f>
        <v>187.26</v>
      </c>
      <c r="V204" s="11">
        <f t="shared" si="3"/>
        <v>0.15</v>
      </c>
      <c r="W204" s="4">
        <f>Table1[[#This Row],[Amount]]-(Table1[[#This Row],[Amount]]*Table1[[#This Row],[Discount_Percent]])</f>
        <v>159.17099999999999</v>
      </c>
      <c r="X204" s="4">
        <f>IF(O204="DEL0", Table1[[#This Row],[Discounted_Amount]],Table1[[#This Row],[Discounted_Amount]]+Table1[[#This Row],[Delivery_Charge]])</f>
        <v>221.17099999999999</v>
      </c>
      <c r="Y204" s="4" t="str">
        <f>Table1[[#This Row],[First_Name]]&amp;" "&amp;Table1[[#This Row],[Last_Name]]</f>
        <v>Valerie Carr</v>
      </c>
      <c r="Z204" s="4" t="str">
        <f>IF(T:T&gt;Table1[[#This Row],[Estimated_Days_to_Deliver]],"Late",IF(T:T=Table1[[#This Row],[Estimated_Days_to_Deliver]],"Intime","BeforeTime"))</f>
        <v>Intime</v>
      </c>
      <c r="AA204" s="4">
        <f>MONTH(Table1[[#This Row],[Order_Date]])</f>
        <v>5</v>
      </c>
      <c r="AB204" s="13">
        <f>Table1[[#This Row],[Amount]]*Table1[[#This Row],[Discount_Percent]]</f>
        <v>28.088999999999999</v>
      </c>
    </row>
    <row r="205" spans="1:28" ht="14.25" customHeight="1">
      <c r="A205" s="1" t="s">
        <v>523</v>
      </c>
      <c r="B205" s="1" t="s">
        <v>524</v>
      </c>
      <c r="C205" s="1" t="s">
        <v>525</v>
      </c>
      <c r="D205" s="1">
        <v>42</v>
      </c>
      <c r="E205" s="1" t="s">
        <v>54</v>
      </c>
      <c r="F205" s="1" t="s">
        <v>78</v>
      </c>
      <c r="G205" s="1" t="s">
        <v>526</v>
      </c>
      <c r="H205" s="1" t="s">
        <v>527</v>
      </c>
      <c r="I205" s="1" t="s">
        <v>1076</v>
      </c>
      <c r="J205" s="24">
        <v>45495</v>
      </c>
      <c r="K205" s="1" t="s">
        <v>1077</v>
      </c>
      <c r="L205" s="1" t="s">
        <v>97</v>
      </c>
      <c r="M205" s="1">
        <v>363.64</v>
      </c>
      <c r="N205" s="1">
        <v>3</v>
      </c>
      <c r="O205" s="1" t="s">
        <v>38</v>
      </c>
      <c r="P205" s="1">
        <v>5</v>
      </c>
      <c r="Q205" s="1">
        <v>53</v>
      </c>
      <c r="R205" s="24">
        <v>45502</v>
      </c>
      <c r="S205" s="1" t="s">
        <v>1078</v>
      </c>
      <c r="T205" s="4">
        <f>Table1[[#This Row],[Delivery_Date]]-Table1[[#This Row],[Order_Date]]</f>
        <v>7</v>
      </c>
      <c r="U205" s="4">
        <f>Table1[[#This Row],[Price]]*Table1[[#This Row],[Quantity]]</f>
        <v>1090.92</v>
      </c>
      <c r="V205" s="11">
        <f t="shared" si="3"/>
        <v>0.08</v>
      </c>
      <c r="W205" s="4">
        <f>Table1[[#This Row],[Amount]]-(Table1[[#This Row],[Amount]]*Table1[[#This Row],[Discount_Percent]])</f>
        <v>1003.6464000000001</v>
      </c>
      <c r="X205" s="4">
        <f>IF(O205="DEL0", Table1[[#This Row],[Discounted_Amount]],Table1[[#This Row],[Discounted_Amount]]+Table1[[#This Row],[Delivery_Charge]])</f>
        <v>1056.6464000000001</v>
      </c>
      <c r="Y205" s="4" t="str">
        <f>Table1[[#This Row],[First_Name]]&amp;" "&amp;Table1[[#This Row],[Last_Name]]</f>
        <v>Katherine Weber</v>
      </c>
      <c r="Z205" s="4" t="str">
        <f>IF(T:T&gt;Table1[[#This Row],[Estimated_Days_to_Deliver]],"Late",IF(T:T=Table1[[#This Row],[Estimated_Days_to_Deliver]],"Intime","BeforeTime"))</f>
        <v>Late</v>
      </c>
      <c r="AA205" s="4">
        <f>MONTH(Table1[[#This Row],[Order_Date]])</f>
        <v>7</v>
      </c>
      <c r="AB205" s="13">
        <f>Table1[[#This Row],[Amount]]*Table1[[#This Row],[Discount_Percent]]</f>
        <v>87.273600000000002</v>
      </c>
    </row>
    <row r="206" spans="1:28" ht="14.25" customHeight="1">
      <c r="A206" s="1" t="s">
        <v>549</v>
      </c>
      <c r="B206" s="1" t="s">
        <v>550</v>
      </c>
      <c r="C206" s="1" t="s">
        <v>551</v>
      </c>
      <c r="D206" s="1">
        <v>33</v>
      </c>
      <c r="E206" s="1" t="s">
        <v>54</v>
      </c>
      <c r="F206" s="1" t="s">
        <v>170</v>
      </c>
      <c r="G206" s="1" t="s">
        <v>552</v>
      </c>
      <c r="H206" s="1" t="s">
        <v>553</v>
      </c>
      <c r="I206" s="1" t="s">
        <v>1079</v>
      </c>
      <c r="J206" s="24">
        <v>45125</v>
      </c>
      <c r="K206" s="1" t="s">
        <v>1080</v>
      </c>
      <c r="L206" s="1" t="s">
        <v>576</v>
      </c>
      <c r="M206" s="1">
        <v>477.52</v>
      </c>
      <c r="N206" s="1">
        <v>4</v>
      </c>
      <c r="O206" s="1" t="s">
        <v>87</v>
      </c>
      <c r="P206" s="1">
        <v>5</v>
      </c>
      <c r="Q206" s="1">
        <v>55</v>
      </c>
      <c r="R206" s="24">
        <v>45127</v>
      </c>
      <c r="S206" s="1" t="s">
        <v>1081</v>
      </c>
      <c r="T206" s="4">
        <f>Table1[[#This Row],[Delivery_Date]]-Table1[[#This Row],[Order_Date]]</f>
        <v>2</v>
      </c>
      <c r="U206" s="4">
        <f>Table1[[#This Row],[Price]]*Table1[[#This Row],[Quantity]]</f>
        <v>1910.08</v>
      </c>
      <c r="V206" s="11">
        <f t="shared" si="3"/>
        <v>0.2</v>
      </c>
      <c r="W206" s="4">
        <f>Table1[[#This Row],[Amount]]-(Table1[[#This Row],[Amount]]*Table1[[#This Row],[Discount_Percent]])</f>
        <v>1528.0639999999999</v>
      </c>
      <c r="X206" s="4">
        <f>IF(O206="DEL0", Table1[[#This Row],[Discounted_Amount]],Table1[[#This Row],[Discounted_Amount]]+Table1[[#This Row],[Delivery_Charge]])</f>
        <v>1583.0639999999999</v>
      </c>
      <c r="Y206" s="4" t="str">
        <f>Table1[[#This Row],[First_Name]]&amp;" "&amp;Table1[[#This Row],[Last_Name]]</f>
        <v>Jodi Whitney</v>
      </c>
      <c r="Z206" s="4" t="str">
        <f>IF(T:T&gt;Table1[[#This Row],[Estimated_Days_to_Deliver]],"Late",IF(T:T=Table1[[#This Row],[Estimated_Days_to_Deliver]],"Intime","BeforeTime"))</f>
        <v>BeforeTime</v>
      </c>
      <c r="AA206" s="4">
        <f>MONTH(Table1[[#This Row],[Order_Date]])</f>
        <v>7</v>
      </c>
      <c r="AB206" s="13">
        <f>Table1[[#This Row],[Amount]]*Table1[[#This Row],[Discount_Percent]]</f>
        <v>382.01600000000002</v>
      </c>
    </row>
    <row r="207" spans="1:28" ht="14.25" customHeight="1">
      <c r="A207" s="1" t="s">
        <v>1082</v>
      </c>
      <c r="B207" s="1" t="s">
        <v>221</v>
      </c>
      <c r="C207" s="1" t="s">
        <v>1083</v>
      </c>
      <c r="D207" s="1">
        <v>55</v>
      </c>
      <c r="E207" s="1" t="s">
        <v>43</v>
      </c>
      <c r="F207" s="1" t="s">
        <v>161</v>
      </c>
      <c r="G207" s="1" t="s">
        <v>1084</v>
      </c>
      <c r="H207" s="1" t="s">
        <v>1085</v>
      </c>
      <c r="I207" s="1" t="s">
        <v>1086</v>
      </c>
      <c r="J207" s="24">
        <v>45168</v>
      </c>
      <c r="K207" s="1" t="s">
        <v>1087</v>
      </c>
      <c r="L207" s="1" t="s">
        <v>245</v>
      </c>
      <c r="M207" s="1">
        <v>126.19</v>
      </c>
      <c r="N207" s="1">
        <v>2</v>
      </c>
      <c r="O207" s="1" t="s">
        <v>65</v>
      </c>
      <c r="P207" s="1">
        <v>5</v>
      </c>
      <c r="Q207" s="1">
        <v>59</v>
      </c>
      <c r="R207" s="24">
        <v>45174</v>
      </c>
      <c r="S207" s="1" t="s">
        <v>1088</v>
      </c>
      <c r="T207" s="4">
        <f>Table1[[#This Row],[Delivery_Date]]-Table1[[#This Row],[Order_Date]]</f>
        <v>6</v>
      </c>
      <c r="U207" s="4">
        <f>Table1[[#This Row],[Price]]*Table1[[#This Row],[Quantity]]</f>
        <v>252.38</v>
      </c>
      <c r="V207" s="11">
        <f t="shared" si="3"/>
        <v>0</v>
      </c>
      <c r="W207" s="4">
        <f>Table1[[#This Row],[Amount]]-(Table1[[#This Row],[Amount]]*Table1[[#This Row],[Discount_Percent]])</f>
        <v>252.38</v>
      </c>
      <c r="X207" s="4">
        <f>IF(O207="DEL0", Table1[[#This Row],[Discounted_Amount]],Table1[[#This Row],[Discounted_Amount]]+Table1[[#This Row],[Delivery_Charge]])</f>
        <v>252.38</v>
      </c>
      <c r="Y207" s="4" t="str">
        <f>Table1[[#This Row],[First_Name]]&amp;" "&amp;Table1[[#This Row],[Last_Name]]</f>
        <v>Mark Summers</v>
      </c>
      <c r="Z207" s="4" t="str">
        <f>IF(T:T&gt;Table1[[#This Row],[Estimated_Days_to_Deliver]],"Late",IF(T:T=Table1[[#This Row],[Estimated_Days_to_Deliver]],"Intime","BeforeTime"))</f>
        <v>Late</v>
      </c>
      <c r="AA207" s="4">
        <f>MONTH(Table1[[#This Row],[Order_Date]])</f>
        <v>8</v>
      </c>
      <c r="AB207" s="13">
        <f>Table1[[#This Row],[Amount]]*Table1[[#This Row],[Discount_Percent]]</f>
        <v>0</v>
      </c>
    </row>
    <row r="208" spans="1:28" ht="14.25" customHeight="1">
      <c r="A208" s="1" t="s">
        <v>734</v>
      </c>
      <c r="B208" s="1" t="s">
        <v>735</v>
      </c>
      <c r="C208" s="1" t="s">
        <v>736</v>
      </c>
      <c r="D208" s="1">
        <v>30</v>
      </c>
      <c r="E208" s="1" t="s">
        <v>31</v>
      </c>
      <c r="F208" s="1" t="s">
        <v>161</v>
      </c>
      <c r="G208" s="1" t="s">
        <v>737</v>
      </c>
      <c r="H208" s="1" t="s">
        <v>738</v>
      </c>
      <c r="I208" s="1" t="s">
        <v>1089</v>
      </c>
      <c r="J208" s="24">
        <v>45320</v>
      </c>
      <c r="K208" s="1" t="s">
        <v>1090</v>
      </c>
      <c r="L208" s="1" t="s">
        <v>484</v>
      </c>
      <c r="M208" s="1">
        <v>87.09</v>
      </c>
      <c r="N208" s="1">
        <v>1</v>
      </c>
      <c r="O208" s="1" t="s">
        <v>98</v>
      </c>
      <c r="P208" s="1">
        <v>5</v>
      </c>
      <c r="Q208" s="1">
        <v>61</v>
      </c>
      <c r="R208" s="24">
        <v>45321</v>
      </c>
      <c r="S208" s="1" t="s">
        <v>1091</v>
      </c>
      <c r="T208" s="4">
        <f>Table1[[#This Row],[Delivery_Date]]-Table1[[#This Row],[Order_Date]]</f>
        <v>1</v>
      </c>
      <c r="U208" s="4">
        <f>Table1[[#This Row],[Price]]*Table1[[#This Row],[Quantity]]</f>
        <v>87.09</v>
      </c>
      <c r="V208" s="11">
        <f t="shared" si="3"/>
        <v>0.1</v>
      </c>
      <c r="W208" s="4">
        <f>Table1[[#This Row],[Amount]]-(Table1[[#This Row],[Amount]]*Table1[[#This Row],[Discount_Percent]])</f>
        <v>78.381</v>
      </c>
      <c r="X208" s="4">
        <f>IF(O208="DEL0", Table1[[#This Row],[Discounted_Amount]],Table1[[#This Row],[Discounted_Amount]]+Table1[[#This Row],[Delivery_Charge]])</f>
        <v>139.381</v>
      </c>
      <c r="Y208" s="4" t="str">
        <f>Table1[[#This Row],[First_Name]]&amp;" "&amp;Table1[[#This Row],[Last_Name]]</f>
        <v>Melissa Levy</v>
      </c>
      <c r="Z208" s="4" t="str">
        <f>IF(T:T&gt;Table1[[#This Row],[Estimated_Days_to_Deliver]],"Late",IF(T:T=Table1[[#This Row],[Estimated_Days_to_Deliver]],"Intime","BeforeTime"))</f>
        <v>BeforeTime</v>
      </c>
      <c r="AA208" s="4">
        <f>MONTH(Table1[[#This Row],[Order_Date]])</f>
        <v>1</v>
      </c>
      <c r="AB208" s="13">
        <f>Table1[[#This Row],[Amount]]*Table1[[#This Row],[Discount_Percent]]</f>
        <v>8.7090000000000014</v>
      </c>
    </row>
    <row r="209" spans="1:28" ht="14.25" customHeight="1">
      <c r="A209" s="1" t="s">
        <v>396</v>
      </c>
      <c r="B209" s="1" t="s">
        <v>397</v>
      </c>
      <c r="C209" s="1" t="s">
        <v>398</v>
      </c>
      <c r="D209" s="1">
        <v>40</v>
      </c>
      <c r="E209" s="1" t="s">
        <v>54</v>
      </c>
      <c r="F209" s="1" t="s">
        <v>170</v>
      </c>
      <c r="G209" s="1" t="s">
        <v>399</v>
      </c>
      <c r="H209" s="1" t="s">
        <v>400</v>
      </c>
      <c r="I209" s="1" t="s">
        <v>1092</v>
      </c>
      <c r="J209" s="24">
        <v>45074</v>
      </c>
      <c r="K209" s="1" t="s">
        <v>1093</v>
      </c>
      <c r="L209" s="1" t="s">
        <v>741</v>
      </c>
      <c r="M209" s="1">
        <v>110.95</v>
      </c>
      <c r="N209" s="1">
        <v>3</v>
      </c>
      <c r="O209" s="1" t="s">
        <v>98</v>
      </c>
      <c r="P209" s="1">
        <v>5</v>
      </c>
      <c r="Q209" s="1">
        <v>65</v>
      </c>
      <c r="R209" s="24">
        <v>45079</v>
      </c>
      <c r="S209" s="1" t="s">
        <v>1094</v>
      </c>
      <c r="T209" s="4">
        <f>Table1[[#This Row],[Delivery_Date]]-Table1[[#This Row],[Order_Date]]</f>
        <v>5</v>
      </c>
      <c r="U209" s="4">
        <f>Table1[[#This Row],[Price]]*Table1[[#This Row],[Quantity]]</f>
        <v>332.85</v>
      </c>
      <c r="V209" s="11">
        <f t="shared" si="3"/>
        <v>0.1</v>
      </c>
      <c r="W209" s="4">
        <f>Table1[[#This Row],[Amount]]-(Table1[[#This Row],[Amount]]*Table1[[#This Row],[Discount_Percent]])</f>
        <v>299.565</v>
      </c>
      <c r="X209" s="4">
        <f>IF(O209="DEL0", Table1[[#This Row],[Discounted_Amount]],Table1[[#This Row],[Discounted_Amount]]+Table1[[#This Row],[Delivery_Charge]])</f>
        <v>364.565</v>
      </c>
      <c r="Y209" s="4" t="str">
        <f>Table1[[#This Row],[First_Name]]&amp;" "&amp;Table1[[#This Row],[Last_Name]]</f>
        <v>Jason Lopez</v>
      </c>
      <c r="Z209" s="4" t="str">
        <f>IF(T:T&gt;Table1[[#This Row],[Estimated_Days_to_Deliver]],"Late",IF(T:T=Table1[[#This Row],[Estimated_Days_to_Deliver]],"Intime","BeforeTime"))</f>
        <v>Intime</v>
      </c>
      <c r="AA209" s="4">
        <f>MONTH(Table1[[#This Row],[Order_Date]])</f>
        <v>5</v>
      </c>
      <c r="AB209" s="13">
        <f>Table1[[#This Row],[Amount]]*Table1[[#This Row],[Discount_Percent]]</f>
        <v>33.285000000000004</v>
      </c>
    </row>
    <row r="210" spans="1:28" ht="14.25" customHeight="1">
      <c r="A210" s="1" t="s">
        <v>642</v>
      </c>
      <c r="B210" s="1" t="s">
        <v>150</v>
      </c>
      <c r="C210" s="1" t="s">
        <v>643</v>
      </c>
      <c r="D210" s="1">
        <v>44</v>
      </c>
      <c r="E210" s="1" t="s">
        <v>54</v>
      </c>
      <c r="F210" s="1" t="s">
        <v>92</v>
      </c>
      <c r="G210" s="1" t="s">
        <v>644</v>
      </c>
      <c r="H210" s="1" t="s">
        <v>645</v>
      </c>
      <c r="I210" s="1" t="s">
        <v>1095</v>
      </c>
      <c r="J210" s="24">
        <v>45285</v>
      </c>
      <c r="K210" s="1" t="s">
        <v>1096</v>
      </c>
      <c r="L210" s="1" t="s">
        <v>987</v>
      </c>
      <c r="M210" s="1">
        <v>33.49</v>
      </c>
      <c r="N210" s="1">
        <v>1</v>
      </c>
      <c r="O210" s="1" t="s">
        <v>38</v>
      </c>
      <c r="P210" s="1">
        <v>5</v>
      </c>
      <c r="Q210" s="1">
        <v>67</v>
      </c>
      <c r="R210" s="24">
        <v>45286</v>
      </c>
      <c r="S210" s="1" t="s">
        <v>1097</v>
      </c>
      <c r="T210" s="4">
        <f>Table1[[#This Row],[Delivery_Date]]-Table1[[#This Row],[Order_Date]]</f>
        <v>1</v>
      </c>
      <c r="U210" s="4">
        <f>Table1[[#This Row],[Price]]*Table1[[#This Row],[Quantity]]</f>
        <v>33.49</v>
      </c>
      <c r="V210" s="11">
        <f t="shared" si="3"/>
        <v>0.08</v>
      </c>
      <c r="W210" s="4">
        <f>Table1[[#This Row],[Amount]]-(Table1[[#This Row],[Amount]]*Table1[[#This Row],[Discount_Percent]])</f>
        <v>30.8108</v>
      </c>
      <c r="X210" s="4">
        <f>IF(O210="DEL0", Table1[[#This Row],[Discounted_Amount]],Table1[[#This Row],[Discounted_Amount]]+Table1[[#This Row],[Delivery_Charge]])</f>
        <v>97.8108</v>
      </c>
      <c r="Y210" s="4" t="str">
        <f>Table1[[#This Row],[First_Name]]&amp;" "&amp;Table1[[#This Row],[Last_Name]]</f>
        <v>Amy Ellis</v>
      </c>
      <c r="Z210" s="4" t="str">
        <f>IF(T:T&gt;Table1[[#This Row],[Estimated_Days_to_Deliver]],"Late",IF(T:T=Table1[[#This Row],[Estimated_Days_to_Deliver]],"Intime","BeforeTime"))</f>
        <v>BeforeTime</v>
      </c>
      <c r="AA210" s="4">
        <f>MONTH(Table1[[#This Row],[Order_Date]])</f>
        <v>12</v>
      </c>
      <c r="AB210" s="13">
        <f>Table1[[#This Row],[Amount]]*Table1[[#This Row],[Discount_Percent]]</f>
        <v>2.6792000000000002</v>
      </c>
    </row>
    <row r="211" spans="1:28" ht="14.25" customHeight="1">
      <c r="A211" s="1" t="s">
        <v>423</v>
      </c>
      <c r="B211" s="1" t="s">
        <v>424</v>
      </c>
      <c r="C211" s="1" t="s">
        <v>425</v>
      </c>
      <c r="D211" s="1">
        <v>52</v>
      </c>
      <c r="E211" s="1" t="s">
        <v>54</v>
      </c>
      <c r="F211" s="1" t="s">
        <v>223</v>
      </c>
      <c r="G211" s="1" t="s">
        <v>426</v>
      </c>
      <c r="H211" s="1" t="s">
        <v>427</v>
      </c>
      <c r="I211" s="1" t="s">
        <v>1098</v>
      </c>
      <c r="J211" s="24">
        <v>45001</v>
      </c>
      <c r="K211" s="1" t="s">
        <v>1099</v>
      </c>
      <c r="L211" s="1" t="s">
        <v>556</v>
      </c>
      <c r="M211" s="1">
        <v>425.59</v>
      </c>
      <c r="N211" s="1">
        <v>3</v>
      </c>
      <c r="O211" s="1" t="s">
        <v>38</v>
      </c>
      <c r="P211" s="1">
        <v>5</v>
      </c>
      <c r="Q211" s="1">
        <v>68</v>
      </c>
      <c r="R211" s="24">
        <v>45005</v>
      </c>
      <c r="S211" s="1" t="s">
        <v>812</v>
      </c>
      <c r="T211" s="4">
        <f>Table1[[#This Row],[Delivery_Date]]-Table1[[#This Row],[Order_Date]]</f>
        <v>4</v>
      </c>
      <c r="U211" s="4">
        <f>Table1[[#This Row],[Price]]*Table1[[#This Row],[Quantity]]</f>
        <v>1276.77</v>
      </c>
      <c r="V211" s="11">
        <f t="shared" si="3"/>
        <v>0.08</v>
      </c>
      <c r="W211" s="4">
        <f>Table1[[#This Row],[Amount]]-(Table1[[#This Row],[Amount]]*Table1[[#This Row],[Discount_Percent]])</f>
        <v>1174.6284000000001</v>
      </c>
      <c r="X211" s="4">
        <f>IF(O211="DEL0", Table1[[#This Row],[Discounted_Amount]],Table1[[#This Row],[Discounted_Amount]]+Table1[[#This Row],[Delivery_Charge]])</f>
        <v>1242.6284000000001</v>
      </c>
      <c r="Y211" s="4" t="str">
        <f>Table1[[#This Row],[First_Name]]&amp;" "&amp;Table1[[#This Row],[Last_Name]]</f>
        <v>Amanda Howard</v>
      </c>
      <c r="Z211" s="4" t="str">
        <f>IF(T:T&gt;Table1[[#This Row],[Estimated_Days_to_Deliver]],"Late",IF(T:T=Table1[[#This Row],[Estimated_Days_to_Deliver]],"Intime","BeforeTime"))</f>
        <v>BeforeTime</v>
      </c>
      <c r="AA211" s="4">
        <f>MONTH(Table1[[#This Row],[Order_Date]])</f>
        <v>3</v>
      </c>
      <c r="AB211" s="13">
        <f>Table1[[#This Row],[Amount]]*Table1[[#This Row],[Discount_Percent]]</f>
        <v>102.1416</v>
      </c>
    </row>
    <row r="212" spans="1:28" ht="14.25" customHeight="1">
      <c r="A212" s="1" t="s">
        <v>1082</v>
      </c>
      <c r="B212" s="1" t="s">
        <v>221</v>
      </c>
      <c r="C212" s="1" t="s">
        <v>1083</v>
      </c>
      <c r="D212" s="1">
        <v>55</v>
      </c>
      <c r="E212" s="1" t="s">
        <v>43</v>
      </c>
      <c r="F212" s="1" t="s">
        <v>161</v>
      </c>
      <c r="G212" s="1" t="s">
        <v>1084</v>
      </c>
      <c r="H212" s="1" t="s">
        <v>1085</v>
      </c>
      <c r="I212" s="1" t="s">
        <v>1100</v>
      </c>
      <c r="J212" s="24">
        <v>45039</v>
      </c>
      <c r="K212" s="1" t="s">
        <v>1101</v>
      </c>
      <c r="L212" s="1" t="s">
        <v>521</v>
      </c>
      <c r="M212" s="1">
        <v>441.03</v>
      </c>
      <c r="N212" s="1">
        <v>5</v>
      </c>
      <c r="O212" s="1" t="s">
        <v>60</v>
      </c>
      <c r="P212" s="1">
        <v>5</v>
      </c>
      <c r="Q212" s="1">
        <v>37</v>
      </c>
      <c r="R212" s="24">
        <v>45044</v>
      </c>
      <c r="S212" s="1" t="s">
        <v>1102</v>
      </c>
      <c r="T212" s="4">
        <f>Table1[[#This Row],[Delivery_Date]]-Table1[[#This Row],[Order_Date]]</f>
        <v>5</v>
      </c>
      <c r="U212" s="4">
        <f>Table1[[#This Row],[Price]]*Table1[[#This Row],[Quantity]]</f>
        <v>2205.1499999999996</v>
      </c>
      <c r="V212" s="11">
        <f t="shared" si="3"/>
        <v>0.15</v>
      </c>
      <c r="W212" s="4">
        <f>Table1[[#This Row],[Amount]]-(Table1[[#This Row],[Amount]]*Table1[[#This Row],[Discount_Percent]])</f>
        <v>1874.3774999999996</v>
      </c>
      <c r="X212" s="4">
        <f>IF(O212="DEL0", Table1[[#This Row],[Discounted_Amount]],Table1[[#This Row],[Discounted_Amount]]+Table1[[#This Row],[Delivery_Charge]])</f>
        <v>1911.3774999999996</v>
      </c>
      <c r="Y212" s="4" t="str">
        <f>Table1[[#This Row],[First_Name]]&amp;" "&amp;Table1[[#This Row],[Last_Name]]</f>
        <v>Mark Summers</v>
      </c>
      <c r="Z212" s="4" t="str">
        <f>IF(T:T&gt;Table1[[#This Row],[Estimated_Days_to_Deliver]],"Late",IF(T:T=Table1[[#This Row],[Estimated_Days_to_Deliver]],"Intime","BeforeTime"))</f>
        <v>Intime</v>
      </c>
      <c r="AA212" s="4">
        <f>MONTH(Table1[[#This Row],[Order_Date]])</f>
        <v>4</v>
      </c>
      <c r="AB212" s="13">
        <f>Table1[[#This Row],[Amount]]*Table1[[#This Row],[Discount_Percent]]</f>
        <v>330.77249999999992</v>
      </c>
    </row>
    <row r="213" spans="1:28" ht="14.25" customHeight="1">
      <c r="A213" s="1" t="s">
        <v>531</v>
      </c>
      <c r="B213" s="1" t="s">
        <v>397</v>
      </c>
      <c r="C213" s="1" t="s">
        <v>532</v>
      </c>
      <c r="D213" s="1">
        <v>51</v>
      </c>
      <c r="E213" s="1" t="s">
        <v>54</v>
      </c>
      <c r="F213" s="1" t="s">
        <v>142</v>
      </c>
      <c r="G213" s="1" t="s">
        <v>533</v>
      </c>
      <c r="H213" s="1" t="s">
        <v>534</v>
      </c>
      <c r="I213" s="1" t="s">
        <v>1103</v>
      </c>
      <c r="J213" s="24">
        <v>45339</v>
      </c>
      <c r="K213" s="1" t="s">
        <v>1104</v>
      </c>
      <c r="L213" s="1" t="s">
        <v>311</v>
      </c>
      <c r="M213" s="1">
        <v>129.75</v>
      </c>
      <c r="N213" s="1">
        <v>3</v>
      </c>
      <c r="O213" s="1" t="s">
        <v>60</v>
      </c>
      <c r="P213" s="1">
        <v>5</v>
      </c>
      <c r="Q213" s="1">
        <v>37</v>
      </c>
      <c r="R213" s="24">
        <v>45341</v>
      </c>
      <c r="S213" s="1" t="s">
        <v>1105</v>
      </c>
      <c r="T213" s="4">
        <f>Table1[[#This Row],[Delivery_Date]]-Table1[[#This Row],[Order_Date]]</f>
        <v>2</v>
      </c>
      <c r="U213" s="4">
        <f>Table1[[#This Row],[Price]]*Table1[[#This Row],[Quantity]]</f>
        <v>389.25</v>
      </c>
      <c r="V213" s="11">
        <f t="shared" si="3"/>
        <v>0.15</v>
      </c>
      <c r="W213" s="4">
        <f>Table1[[#This Row],[Amount]]-(Table1[[#This Row],[Amount]]*Table1[[#This Row],[Discount_Percent]])</f>
        <v>330.86250000000001</v>
      </c>
      <c r="X213" s="4">
        <f>IF(O213="DEL0", Table1[[#This Row],[Discounted_Amount]],Table1[[#This Row],[Discounted_Amount]]+Table1[[#This Row],[Delivery_Charge]])</f>
        <v>367.86250000000001</v>
      </c>
      <c r="Y213" s="4" t="str">
        <f>Table1[[#This Row],[First_Name]]&amp;" "&amp;Table1[[#This Row],[Last_Name]]</f>
        <v>Jason Nguyen</v>
      </c>
      <c r="Z213" s="4" t="str">
        <f>IF(T:T&gt;Table1[[#This Row],[Estimated_Days_to_Deliver]],"Late",IF(T:T=Table1[[#This Row],[Estimated_Days_to_Deliver]],"Intime","BeforeTime"))</f>
        <v>BeforeTime</v>
      </c>
      <c r="AA213" s="4">
        <f>MONTH(Table1[[#This Row],[Order_Date]])</f>
        <v>2</v>
      </c>
      <c r="AB213" s="13">
        <f>Table1[[#This Row],[Amount]]*Table1[[#This Row],[Discount_Percent]]</f>
        <v>58.387499999999996</v>
      </c>
    </row>
    <row r="214" spans="1:28" ht="14.25" customHeight="1">
      <c r="A214" s="1" t="s">
        <v>1106</v>
      </c>
      <c r="B214" s="1" t="s">
        <v>1107</v>
      </c>
      <c r="C214" s="1" t="s">
        <v>1108</v>
      </c>
      <c r="D214" s="1">
        <v>18</v>
      </c>
      <c r="E214" s="1" t="s">
        <v>31</v>
      </c>
      <c r="F214" s="1" t="s">
        <v>78</v>
      </c>
      <c r="G214" s="1" t="s">
        <v>1109</v>
      </c>
      <c r="H214" s="1" t="s">
        <v>1110</v>
      </c>
      <c r="I214" s="1" t="s">
        <v>1111</v>
      </c>
      <c r="J214" s="24">
        <v>45349</v>
      </c>
      <c r="K214" s="1" t="s">
        <v>1112</v>
      </c>
      <c r="L214" s="1" t="s">
        <v>660</v>
      </c>
      <c r="M214" s="1">
        <v>235.63</v>
      </c>
      <c r="N214" s="1">
        <v>1</v>
      </c>
      <c r="O214" s="1" t="s">
        <v>38</v>
      </c>
      <c r="P214" s="1">
        <v>5</v>
      </c>
      <c r="Q214" s="1">
        <v>58</v>
      </c>
      <c r="R214" s="24">
        <v>45354</v>
      </c>
      <c r="S214" s="1" t="s">
        <v>1113</v>
      </c>
      <c r="T214" s="4">
        <f>Table1[[#This Row],[Delivery_Date]]-Table1[[#This Row],[Order_Date]]</f>
        <v>5</v>
      </c>
      <c r="U214" s="4">
        <f>Table1[[#This Row],[Price]]*Table1[[#This Row],[Quantity]]</f>
        <v>235.63</v>
      </c>
      <c r="V214" s="11">
        <f t="shared" si="3"/>
        <v>0.08</v>
      </c>
      <c r="W214" s="4">
        <f>Table1[[#This Row],[Amount]]-(Table1[[#This Row],[Amount]]*Table1[[#This Row],[Discount_Percent]])</f>
        <v>216.77959999999999</v>
      </c>
      <c r="X214" s="4">
        <f>IF(O214="DEL0", Table1[[#This Row],[Discounted_Amount]],Table1[[#This Row],[Discounted_Amount]]+Table1[[#This Row],[Delivery_Charge]])</f>
        <v>274.77959999999996</v>
      </c>
      <c r="Y214" s="4" t="str">
        <f>Table1[[#This Row],[First_Name]]&amp;" "&amp;Table1[[#This Row],[Last_Name]]</f>
        <v>Gary Huff</v>
      </c>
      <c r="Z214" s="4" t="str">
        <f>IF(T:T&gt;Table1[[#This Row],[Estimated_Days_to_Deliver]],"Late",IF(T:T=Table1[[#This Row],[Estimated_Days_to_Deliver]],"Intime","BeforeTime"))</f>
        <v>Intime</v>
      </c>
      <c r="AA214" s="4">
        <f>MONTH(Table1[[#This Row],[Order_Date]])</f>
        <v>2</v>
      </c>
      <c r="AB214" s="13">
        <f>Table1[[#This Row],[Amount]]*Table1[[#This Row],[Discount_Percent]]</f>
        <v>18.8504</v>
      </c>
    </row>
    <row r="215" spans="1:28" ht="14.25" customHeight="1">
      <c r="A215" s="1" t="s">
        <v>178</v>
      </c>
      <c r="B215" s="1" t="s">
        <v>179</v>
      </c>
      <c r="C215" s="1" t="s">
        <v>180</v>
      </c>
      <c r="D215" s="1">
        <v>36</v>
      </c>
      <c r="E215" s="1" t="s">
        <v>54</v>
      </c>
      <c r="F215" s="1" t="s">
        <v>142</v>
      </c>
      <c r="G215" s="1" t="s">
        <v>181</v>
      </c>
      <c r="H215" s="1" t="s">
        <v>182</v>
      </c>
      <c r="I215" s="1" t="s">
        <v>1114</v>
      </c>
      <c r="J215" s="24">
        <v>45549</v>
      </c>
      <c r="K215" s="1" t="s">
        <v>1115</v>
      </c>
      <c r="L215" s="1" t="s">
        <v>517</v>
      </c>
      <c r="M215" s="1">
        <v>136.30000000000001</v>
      </c>
      <c r="N215" s="1">
        <v>2</v>
      </c>
      <c r="O215" s="1" t="s">
        <v>87</v>
      </c>
      <c r="P215" s="1">
        <v>5</v>
      </c>
      <c r="Q215" s="1">
        <v>51</v>
      </c>
      <c r="R215" s="24">
        <v>45550</v>
      </c>
      <c r="S215" s="1" t="s">
        <v>1116</v>
      </c>
      <c r="T215" s="4">
        <f>Table1[[#This Row],[Delivery_Date]]-Table1[[#This Row],[Order_Date]]</f>
        <v>1</v>
      </c>
      <c r="U215" s="4">
        <f>Table1[[#This Row],[Price]]*Table1[[#This Row],[Quantity]]</f>
        <v>272.60000000000002</v>
      </c>
      <c r="V215" s="11">
        <f t="shared" si="3"/>
        <v>0.2</v>
      </c>
      <c r="W215" s="4">
        <f>Table1[[#This Row],[Amount]]-(Table1[[#This Row],[Amount]]*Table1[[#This Row],[Discount_Percent]])</f>
        <v>218.08</v>
      </c>
      <c r="X215" s="4">
        <f>IF(O215="DEL0", Table1[[#This Row],[Discounted_Amount]],Table1[[#This Row],[Discounted_Amount]]+Table1[[#This Row],[Delivery_Charge]])</f>
        <v>269.08000000000004</v>
      </c>
      <c r="Y215" s="4" t="str">
        <f>Table1[[#This Row],[First_Name]]&amp;" "&amp;Table1[[#This Row],[Last_Name]]</f>
        <v>Gina Moreno</v>
      </c>
      <c r="Z215" s="4" t="str">
        <f>IF(T:T&gt;Table1[[#This Row],[Estimated_Days_to_Deliver]],"Late",IF(T:T=Table1[[#This Row],[Estimated_Days_to_Deliver]],"Intime","BeforeTime"))</f>
        <v>BeforeTime</v>
      </c>
      <c r="AA215" s="4">
        <f>MONTH(Table1[[#This Row],[Order_Date]])</f>
        <v>9</v>
      </c>
      <c r="AB215" s="13">
        <f>Table1[[#This Row],[Amount]]*Table1[[#This Row],[Discount_Percent]]</f>
        <v>54.52000000000001</v>
      </c>
    </row>
    <row r="216" spans="1:28" ht="14.25" customHeight="1">
      <c r="A216" s="1" t="s">
        <v>486</v>
      </c>
      <c r="B216" s="1" t="s">
        <v>487</v>
      </c>
      <c r="C216" s="1" t="s">
        <v>132</v>
      </c>
      <c r="D216" s="1">
        <v>68</v>
      </c>
      <c r="E216" s="1" t="s">
        <v>54</v>
      </c>
      <c r="F216" s="1" t="s">
        <v>223</v>
      </c>
      <c r="G216" s="1" t="s">
        <v>488</v>
      </c>
      <c r="H216" s="1" t="s">
        <v>489</v>
      </c>
      <c r="I216" s="1" t="s">
        <v>1117</v>
      </c>
      <c r="J216" s="24">
        <v>45112</v>
      </c>
      <c r="K216" s="1" t="s">
        <v>1118</v>
      </c>
      <c r="L216" s="1" t="s">
        <v>944</v>
      </c>
      <c r="M216" s="1">
        <v>107.47</v>
      </c>
      <c r="N216" s="1">
        <v>4</v>
      </c>
      <c r="O216" s="1" t="s">
        <v>87</v>
      </c>
      <c r="P216" s="1">
        <v>5</v>
      </c>
      <c r="Q216" s="1">
        <v>51</v>
      </c>
      <c r="R216" s="24">
        <v>45115</v>
      </c>
      <c r="S216" s="1" t="s">
        <v>1119</v>
      </c>
      <c r="T216" s="4">
        <f>Table1[[#This Row],[Delivery_Date]]-Table1[[#This Row],[Order_Date]]</f>
        <v>3</v>
      </c>
      <c r="U216" s="4">
        <f>Table1[[#This Row],[Price]]*Table1[[#This Row],[Quantity]]</f>
        <v>429.88</v>
      </c>
      <c r="V216" s="11">
        <f t="shared" si="3"/>
        <v>0.2</v>
      </c>
      <c r="W216" s="4">
        <f>Table1[[#This Row],[Amount]]-(Table1[[#This Row],[Amount]]*Table1[[#This Row],[Discount_Percent]])</f>
        <v>343.904</v>
      </c>
      <c r="X216" s="4">
        <f>IF(O216="DEL0", Table1[[#This Row],[Discounted_Amount]],Table1[[#This Row],[Discounted_Amount]]+Table1[[#This Row],[Delivery_Charge]])</f>
        <v>394.904</v>
      </c>
      <c r="Y216" s="4" t="str">
        <f>Table1[[#This Row],[First_Name]]&amp;" "&amp;Table1[[#This Row],[Last_Name]]</f>
        <v>Brittany Stewart</v>
      </c>
      <c r="Z216" s="4" t="str">
        <f>IF(T:T&gt;Table1[[#This Row],[Estimated_Days_to_Deliver]],"Late",IF(T:T=Table1[[#This Row],[Estimated_Days_to_Deliver]],"Intime","BeforeTime"))</f>
        <v>BeforeTime</v>
      </c>
      <c r="AA216" s="4">
        <f>MONTH(Table1[[#This Row],[Order_Date]])</f>
        <v>7</v>
      </c>
      <c r="AB216" s="13">
        <f>Table1[[#This Row],[Amount]]*Table1[[#This Row],[Discount_Percent]]</f>
        <v>85.975999999999999</v>
      </c>
    </row>
    <row r="217" spans="1:28" ht="14.25" customHeight="1">
      <c r="A217" s="1" t="s">
        <v>928</v>
      </c>
      <c r="B217" s="1" t="s">
        <v>929</v>
      </c>
      <c r="C217" s="1" t="s">
        <v>930</v>
      </c>
      <c r="D217" s="1">
        <v>24</v>
      </c>
      <c r="E217" s="1" t="s">
        <v>54</v>
      </c>
      <c r="F217" s="1" t="s">
        <v>223</v>
      </c>
      <c r="G217" s="1" t="s">
        <v>931</v>
      </c>
      <c r="H217" s="1" t="s">
        <v>932</v>
      </c>
      <c r="I217" s="1" t="s">
        <v>1120</v>
      </c>
      <c r="J217" s="24">
        <v>45271</v>
      </c>
      <c r="K217" s="1" t="s">
        <v>1121</v>
      </c>
      <c r="L217" s="1" t="s">
        <v>107</v>
      </c>
      <c r="M217" s="1">
        <v>275.44</v>
      </c>
      <c r="N217" s="1">
        <v>2</v>
      </c>
      <c r="O217" s="1" t="s">
        <v>38</v>
      </c>
      <c r="P217" s="1">
        <v>5</v>
      </c>
      <c r="Q217" s="1">
        <v>36</v>
      </c>
      <c r="R217" s="24">
        <v>45276</v>
      </c>
      <c r="S217" s="1" t="s">
        <v>1122</v>
      </c>
      <c r="T217" s="4">
        <f>Table1[[#This Row],[Delivery_Date]]-Table1[[#This Row],[Order_Date]]</f>
        <v>5</v>
      </c>
      <c r="U217" s="4">
        <f>Table1[[#This Row],[Price]]*Table1[[#This Row],[Quantity]]</f>
        <v>550.88</v>
      </c>
      <c r="V217" s="11">
        <f t="shared" si="3"/>
        <v>0.08</v>
      </c>
      <c r="W217" s="4">
        <f>Table1[[#This Row],[Amount]]-(Table1[[#This Row],[Amount]]*Table1[[#This Row],[Discount_Percent]])</f>
        <v>506.80959999999999</v>
      </c>
      <c r="X217" s="4">
        <f>IF(O217="DEL0", Table1[[#This Row],[Discounted_Amount]],Table1[[#This Row],[Discounted_Amount]]+Table1[[#This Row],[Delivery_Charge]])</f>
        <v>542.80960000000005</v>
      </c>
      <c r="Y217" s="4" t="str">
        <f>Table1[[#This Row],[First_Name]]&amp;" "&amp;Table1[[#This Row],[Last_Name]]</f>
        <v>Rachael Robinson</v>
      </c>
      <c r="Z217" s="4" t="str">
        <f>IF(T:T&gt;Table1[[#This Row],[Estimated_Days_to_Deliver]],"Late",IF(T:T=Table1[[#This Row],[Estimated_Days_to_Deliver]],"Intime","BeforeTime"))</f>
        <v>Intime</v>
      </c>
      <c r="AA217" s="4">
        <f>MONTH(Table1[[#This Row],[Order_Date]])</f>
        <v>12</v>
      </c>
      <c r="AB217" s="13">
        <f>Table1[[#This Row],[Amount]]*Table1[[#This Row],[Discount_Percent]]</f>
        <v>44.070399999999999</v>
      </c>
    </row>
    <row r="218" spans="1:28" ht="14.25" customHeight="1">
      <c r="A218" s="1" t="s">
        <v>779</v>
      </c>
      <c r="B218" s="1" t="s">
        <v>780</v>
      </c>
      <c r="C218" s="1" t="s">
        <v>781</v>
      </c>
      <c r="D218" s="1">
        <v>32</v>
      </c>
      <c r="E218" s="1" t="s">
        <v>31</v>
      </c>
      <c r="F218" s="1" t="s">
        <v>161</v>
      </c>
      <c r="G218" s="1" t="s">
        <v>782</v>
      </c>
      <c r="H218" s="1" t="s">
        <v>783</v>
      </c>
      <c r="I218" s="1" t="s">
        <v>1123</v>
      </c>
      <c r="J218" s="24">
        <v>45588</v>
      </c>
      <c r="K218" s="1" t="s">
        <v>1124</v>
      </c>
      <c r="L218" s="1" t="s">
        <v>944</v>
      </c>
      <c r="M218" s="1">
        <v>107.47</v>
      </c>
      <c r="N218" s="1">
        <v>2</v>
      </c>
      <c r="O218" s="1" t="s">
        <v>60</v>
      </c>
      <c r="P218" s="1">
        <v>5</v>
      </c>
      <c r="Q218" s="1">
        <v>55</v>
      </c>
      <c r="R218" s="24">
        <v>45592</v>
      </c>
      <c r="S218" s="1" t="s">
        <v>1125</v>
      </c>
      <c r="T218" s="4">
        <f>Table1[[#This Row],[Delivery_Date]]-Table1[[#This Row],[Order_Date]]</f>
        <v>4</v>
      </c>
      <c r="U218" s="4">
        <f>Table1[[#This Row],[Price]]*Table1[[#This Row],[Quantity]]</f>
        <v>214.94</v>
      </c>
      <c r="V218" s="11">
        <f t="shared" si="3"/>
        <v>0.15</v>
      </c>
      <c r="W218" s="4">
        <f>Table1[[#This Row],[Amount]]-(Table1[[#This Row],[Amount]]*Table1[[#This Row],[Discount_Percent]])</f>
        <v>182.69900000000001</v>
      </c>
      <c r="X218" s="4">
        <f>IF(O218="DEL0", Table1[[#This Row],[Discounted_Amount]],Table1[[#This Row],[Discounted_Amount]]+Table1[[#This Row],[Delivery_Charge]])</f>
        <v>237.69900000000001</v>
      </c>
      <c r="Y218" s="4" t="str">
        <f>Table1[[#This Row],[First_Name]]&amp;" "&amp;Table1[[#This Row],[Last_Name]]</f>
        <v>Lindsey Byrd</v>
      </c>
      <c r="Z218" s="4" t="str">
        <f>IF(T:T&gt;Table1[[#This Row],[Estimated_Days_to_Deliver]],"Late",IF(T:T=Table1[[#This Row],[Estimated_Days_to_Deliver]],"Intime","BeforeTime"))</f>
        <v>BeforeTime</v>
      </c>
      <c r="AA218" s="4">
        <f>MONTH(Table1[[#This Row],[Order_Date]])</f>
        <v>10</v>
      </c>
      <c r="AB218" s="13">
        <f>Table1[[#This Row],[Amount]]*Table1[[#This Row],[Discount_Percent]]</f>
        <v>32.241</v>
      </c>
    </row>
    <row r="219" spans="1:28" ht="14.25" customHeight="1">
      <c r="A219" s="1" t="s">
        <v>67</v>
      </c>
      <c r="B219" s="1" t="s">
        <v>68</v>
      </c>
      <c r="C219" s="1" t="s">
        <v>69</v>
      </c>
      <c r="D219" s="1">
        <v>49</v>
      </c>
      <c r="E219" s="1" t="s">
        <v>54</v>
      </c>
      <c r="F219" s="1" t="s">
        <v>32</v>
      </c>
      <c r="G219" s="1" t="s">
        <v>70</v>
      </c>
      <c r="H219" s="1" t="s">
        <v>71</v>
      </c>
      <c r="I219" s="1" t="s">
        <v>1126</v>
      </c>
      <c r="J219" s="24">
        <v>45578</v>
      </c>
      <c r="K219" s="1" t="s">
        <v>1127</v>
      </c>
      <c r="L219" s="1" t="s">
        <v>294</v>
      </c>
      <c r="M219" s="1">
        <v>158.53</v>
      </c>
      <c r="N219" s="1">
        <v>5</v>
      </c>
      <c r="O219" s="1" t="s">
        <v>38</v>
      </c>
      <c r="P219" s="1">
        <v>5</v>
      </c>
      <c r="Q219" s="1">
        <v>64</v>
      </c>
      <c r="R219" s="24">
        <v>45582</v>
      </c>
      <c r="S219" s="1" t="s">
        <v>1128</v>
      </c>
      <c r="T219" s="4">
        <f>Table1[[#This Row],[Delivery_Date]]-Table1[[#This Row],[Order_Date]]</f>
        <v>4</v>
      </c>
      <c r="U219" s="4">
        <f>Table1[[#This Row],[Price]]*Table1[[#This Row],[Quantity]]</f>
        <v>792.65</v>
      </c>
      <c r="V219" s="11">
        <f t="shared" si="3"/>
        <v>0.08</v>
      </c>
      <c r="W219" s="4">
        <f>Table1[[#This Row],[Amount]]-(Table1[[#This Row],[Amount]]*Table1[[#This Row],[Discount_Percent]])</f>
        <v>729.23799999999994</v>
      </c>
      <c r="X219" s="4">
        <f>IF(O219="DEL0", Table1[[#This Row],[Discounted_Amount]],Table1[[#This Row],[Discounted_Amount]]+Table1[[#This Row],[Delivery_Charge]])</f>
        <v>793.23799999999994</v>
      </c>
      <c r="Y219" s="4" t="str">
        <f>Table1[[#This Row],[First_Name]]&amp;" "&amp;Table1[[#This Row],[Last_Name]]</f>
        <v>Angela Horne</v>
      </c>
      <c r="Z219" s="4" t="str">
        <f>IF(T:T&gt;Table1[[#This Row],[Estimated_Days_to_Deliver]],"Late",IF(T:T=Table1[[#This Row],[Estimated_Days_to_Deliver]],"Intime","BeforeTime"))</f>
        <v>BeforeTime</v>
      </c>
      <c r="AA219" s="4">
        <f>MONTH(Table1[[#This Row],[Order_Date]])</f>
        <v>10</v>
      </c>
      <c r="AB219" s="13">
        <f>Table1[[#This Row],[Amount]]*Table1[[#This Row],[Discount_Percent]]</f>
        <v>63.411999999999999</v>
      </c>
    </row>
    <row r="220" spans="1:28" ht="14.25" customHeight="1">
      <c r="A220" s="1" t="s">
        <v>212</v>
      </c>
      <c r="B220" s="1" t="s">
        <v>213</v>
      </c>
      <c r="C220" s="1" t="s">
        <v>214</v>
      </c>
      <c r="D220" s="1">
        <v>39</v>
      </c>
      <c r="E220" s="1" t="s">
        <v>43</v>
      </c>
      <c r="F220" s="1" t="s">
        <v>161</v>
      </c>
      <c r="G220" s="1" t="s">
        <v>215</v>
      </c>
      <c r="H220" s="1" t="s">
        <v>216</v>
      </c>
      <c r="I220" s="1" t="s">
        <v>1129</v>
      </c>
      <c r="J220" s="24">
        <v>45541</v>
      </c>
      <c r="K220" s="1" t="s">
        <v>1130</v>
      </c>
      <c r="L220" s="1" t="s">
        <v>97</v>
      </c>
      <c r="M220" s="1">
        <v>363.64</v>
      </c>
      <c r="N220" s="1">
        <v>2</v>
      </c>
      <c r="O220" s="1" t="s">
        <v>87</v>
      </c>
      <c r="P220" s="1">
        <v>5</v>
      </c>
      <c r="Q220" s="1">
        <v>37</v>
      </c>
      <c r="R220" s="24">
        <v>45544</v>
      </c>
      <c r="S220" s="1" t="s">
        <v>1131</v>
      </c>
      <c r="T220" s="4">
        <f>Table1[[#This Row],[Delivery_Date]]-Table1[[#This Row],[Order_Date]]</f>
        <v>3</v>
      </c>
      <c r="U220" s="4">
        <f>Table1[[#This Row],[Price]]*Table1[[#This Row],[Quantity]]</f>
        <v>727.28</v>
      </c>
      <c r="V220" s="11">
        <f t="shared" si="3"/>
        <v>0.2</v>
      </c>
      <c r="W220" s="4">
        <f>Table1[[#This Row],[Amount]]-(Table1[[#This Row],[Amount]]*Table1[[#This Row],[Discount_Percent]])</f>
        <v>581.82399999999996</v>
      </c>
      <c r="X220" s="4">
        <f>IF(O220="DEL0", Table1[[#This Row],[Discounted_Amount]],Table1[[#This Row],[Discounted_Amount]]+Table1[[#This Row],[Delivery_Charge]])</f>
        <v>618.82399999999996</v>
      </c>
      <c r="Y220" s="4" t="str">
        <f>Table1[[#This Row],[First_Name]]&amp;" "&amp;Table1[[#This Row],[Last_Name]]</f>
        <v>Christian Clayton</v>
      </c>
      <c r="Z220" s="4" t="str">
        <f>IF(T:T&gt;Table1[[#This Row],[Estimated_Days_to_Deliver]],"Late",IF(T:T=Table1[[#This Row],[Estimated_Days_to_Deliver]],"Intime","BeforeTime"))</f>
        <v>BeforeTime</v>
      </c>
      <c r="AA220" s="4">
        <f>MONTH(Table1[[#This Row],[Order_Date]])</f>
        <v>9</v>
      </c>
      <c r="AB220" s="13">
        <f>Table1[[#This Row],[Amount]]*Table1[[#This Row],[Discount_Percent]]</f>
        <v>145.45599999999999</v>
      </c>
    </row>
    <row r="221" spans="1:28" ht="14.25" customHeight="1">
      <c r="A221" s="1" t="s">
        <v>336</v>
      </c>
      <c r="B221" s="1" t="s">
        <v>337</v>
      </c>
      <c r="C221" s="1" t="s">
        <v>338</v>
      </c>
      <c r="D221" s="1">
        <v>23</v>
      </c>
      <c r="E221" s="1" t="s">
        <v>31</v>
      </c>
      <c r="F221" s="1" t="s">
        <v>32</v>
      </c>
      <c r="G221" s="1" t="s">
        <v>339</v>
      </c>
      <c r="H221" s="1" t="s">
        <v>340</v>
      </c>
      <c r="I221" s="1" t="s">
        <v>1132</v>
      </c>
      <c r="J221" s="24">
        <v>45504</v>
      </c>
      <c r="K221" s="1" t="s">
        <v>1133</v>
      </c>
      <c r="L221" s="1" t="s">
        <v>517</v>
      </c>
      <c r="M221" s="1">
        <v>136.30000000000001</v>
      </c>
      <c r="N221" s="1">
        <v>2</v>
      </c>
      <c r="O221" s="1" t="s">
        <v>98</v>
      </c>
      <c r="P221" s="1">
        <v>5</v>
      </c>
      <c r="Q221" s="1">
        <v>47</v>
      </c>
      <c r="R221" s="24">
        <v>45511</v>
      </c>
      <c r="S221" s="1" t="s">
        <v>1134</v>
      </c>
      <c r="T221" s="4">
        <f>Table1[[#This Row],[Delivery_Date]]-Table1[[#This Row],[Order_Date]]</f>
        <v>7</v>
      </c>
      <c r="U221" s="4">
        <f>Table1[[#This Row],[Price]]*Table1[[#This Row],[Quantity]]</f>
        <v>272.60000000000002</v>
      </c>
      <c r="V221" s="11">
        <f t="shared" si="3"/>
        <v>0.1</v>
      </c>
      <c r="W221" s="4">
        <f>Table1[[#This Row],[Amount]]-(Table1[[#This Row],[Amount]]*Table1[[#This Row],[Discount_Percent]])</f>
        <v>245.34000000000003</v>
      </c>
      <c r="X221" s="4">
        <f>IF(O221="DEL0", Table1[[#This Row],[Discounted_Amount]],Table1[[#This Row],[Discounted_Amount]]+Table1[[#This Row],[Delivery_Charge]])</f>
        <v>292.34000000000003</v>
      </c>
      <c r="Y221" s="4" t="str">
        <f>Table1[[#This Row],[First_Name]]&amp;" "&amp;Table1[[#This Row],[Last_Name]]</f>
        <v>Julie Meyer</v>
      </c>
      <c r="Z221" s="4" t="str">
        <f>IF(T:T&gt;Table1[[#This Row],[Estimated_Days_to_Deliver]],"Late",IF(T:T=Table1[[#This Row],[Estimated_Days_to_Deliver]],"Intime","BeforeTime"))</f>
        <v>Late</v>
      </c>
      <c r="AA221" s="4">
        <f>MONTH(Table1[[#This Row],[Order_Date]])</f>
        <v>7</v>
      </c>
      <c r="AB221" s="13">
        <f>Table1[[#This Row],[Amount]]*Table1[[#This Row],[Discount_Percent]]</f>
        <v>27.260000000000005</v>
      </c>
    </row>
    <row r="222" spans="1:28" ht="14.25" customHeight="1">
      <c r="A222" s="1" t="s">
        <v>1082</v>
      </c>
      <c r="B222" s="1" t="s">
        <v>221</v>
      </c>
      <c r="C222" s="1" t="s">
        <v>1083</v>
      </c>
      <c r="D222" s="1">
        <v>55</v>
      </c>
      <c r="E222" s="1" t="s">
        <v>43</v>
      </c>
      <c r="F222" s="1" t="s">
        <v>161</v>
      </c>
      <c r="G222" s="1" t="s">
        <v>1084</v>
      </c>
      <c r="H222" s="1" t="s">
        <v>1085</v>
      </c>
      <c r="I222" s="1" t="s">
        <v>1135</v>
      </c>
      <c r="J222" s="24">
        <v>45408</v>
      </c>
      <c r="K222" s="1" t="s">
        <v>1136</v>
      </c>
      <c r="L222" s="1" t="s">
        <v>433</v>
      </c>
      <c r="M222" s="1">
        <v>369.03</v>
      </c>
      <c r="N222" s="1">
        <v>3</v>
      </c>
      <c r="O222" s="1" t="s">
        <v>87</v>
      </c>
      <c r="P222" s="1">
        <v>5</v>
      </c>
      <c r="Q222" s="1">
        <v>65</v>
      </c>
      <c r="R222" s="24">
        <v>45412</v>
      </c>
      <c r="S222" s="1" t="s">
        <v>1137</v>
      </c>
      <c r="T222" s="4">
        <f>Table1[[#This Row],[Delivery_Date]]-Table1[[#This Row],[Order_Date]]</f>
        <v>4</v>
      </c>
      <c r="U222" s="4">
        <f>Table1[[#This Row],[Price]]*Table1[[#This Row],[Quantity]]</f>
        <v>1107.0899999999999</v>
      </c>
      <c r="V222" s="11">
        <f t="shared" si="3"/>
        <v>0.2</v>
      </c>
      <c r="W222" s="4">
        <f>Table1[[#This Row],[Amount]]-(Table1[[#This Row],[Amount]]*Table1[[#This Row],[Discount_Percent]])</f>
        <v>885.67199999999991</v>
      </c>
      <c r="X222" s="4">
        <f>IF(O222="DEL0", Table1[[#This Row],[Discounted_Amount]],Table1[[#This Row],[Discounted_Amount]]+Table1[[#This Row],[Delivery_Charge]])</f>
        <v>950.67199999999991</v>
      </c>
      <c r="Y222" s="4" t="str">
        <f>Table1[[#This Row],[First_Name]]&amp;" "&amp;Table1[[#This Row],[Last_Name]]</f>
        <v>Mark Summers</v>
      </c>
      <c r="Z222" s="4" t="str">
        <f>IF(T:T&gt;Table1[[#This Row],[Estimated_Days_to_Deliver]],"Late",IF(T:T=Table1[[#This Row],[Estimated_Days_to_Deliver]],"Intime","BeforeTime"))</f>
        <v>BeforeTime</v>
      </c>
      <c r="AA222" s="4">
        <f>MONTH(Table1[[#This Row],[Order_Date]])</f>
        <v>4</v>
      </c>
      <c r="AB222" s="13">
        <f>Table1[[#This Row],[Amount]]*Table1[[#This Row],[Discount_Percent]]</f>
        <v>221.41800000000001</v>
      </c>
    </row>
    <row r="223" spans="1:28" ht="14.25" customHeight="1">
      <c r="A223" s="1" t="s">
        <v>266</v>
      </c>
      <c r="B223" s="1" t="s">
        <v>267</v>
      </c>
      <c r="C223" s="1" t="s">
        <v>268</v>
      </c>
      <c r="D223" s="1">
        <v>54</v>
      </c>
      <c r="E223" s="1" t="s">
        <v>43</v>
      </c>
      <c r="F223" s="1" t="s">
        <v>32</v>
      </c>
      <c r="G223" s="1" t="s">
        <v>269</v>
      </c>
      <c r="H223" s="1" t="s">
        <v>270</v>
      </c>
      <c r="I223" s="1" t="s">
        <v>1138</v>
      </c>
      <c r="J223" s="24">
        <v>45105</v>
      </c>
      <c r="K223" s="1" t="s">
        <v>1139</v>
      </c>
      <c r="L223" s="1" t="s">
        <v>751</v>
      </c>
      <c r="M223" s="1">
        <v>381.73</v>
      </c>
      <c r="N223" s="1">
        <v>2</v>
      </c>
      <c r="O223" s="1" t="s">
        <v>60</v>
      </c>
      <c r="P223" s="1">
        <v>5</v>
      </c>
      <c r="Q223" s="1">
        <v>70</v>
      </c>
      <c r="R223" s="24">
        <v>45112</v>
      </c>
      <c r="S223" s="1" t="s">
        <v>1140</v>
      </c>
      <c r="T223" s="4">
        <f>Table1[[#This Row],[Delivery_Date]]-Table1[[#This Row],[Order_Date]]</f>
        <v>7</v>
      </c>
      <c r="U223" s="4">
        <f>Table1[[#This Row],[Price]]*Table1[[#This Row],[Quantity]]</f>
        <v>763.46</v>
      </c>
      <c r="V223" s="11">
        <f t="shared" si="3"/>
        <v>0.15</v>
      </c>
      <c r="W223" s="4">
        <f>Table1[[#This Row],[Amount]]-(Table1[[#This Row],[Amount]]*Table1[[#This Row],[Discount_Percent]])</f>
        <v>648.94100000000003</v>
      </c>
      <c r="X223" s="4">
        <f>IF(O223="DEL0", Table1[[#This Row],[Discounted_Amount]],Table1[[#This Row],[Discounted_Amount]]+Table1[[#This Row],[Delivery_Charge]])</f>
        <v>718.94100000000003</v>
      </c>
      <c r="Y223" s="4" t="str">
        <f>Table1[[#This Row],[First_Name]]&amp;" "&amp;Table1[[#This Row],[Last_Name]]</f>
        <v>Taylor Davis</v>
      </c>
      <c r="Z223" s="4" t="str">
        <f>IF(T:T&gt;Table1[[#This Row],[Estimated_Days_to_Deliver]],"Late",IF(T:T=Table1[[#This Row],[Estimated_Days_to_Deliver]],"Intime","BeforeTime"))</f>
        <v>Late</v>
      </c>
      <c r="AA223" s="4">
        <f>MONTH(Table1[[#This Row],[Order_Date]])</f>
        <v>6</v>
      </c>
      <c r="AB223" s="13">
        <f>Table1[[#This Row],[Amount]]*Table1[[#This Row],[Discount_Percent]]</f>
        <v>114.51900000000001</v>
      </c>
    </row>
    <row r="224" spans="1:28" ht="14.25" customHeight="1">
      <c r="A224" s="1" t="s">
        <v>649</v>
      </c>
      <c r="B224" s="1" t="s">
        <v>650</v>
      </c>
      <c r="C224" s="1" t="s">
        <v>651</v>
      </c>
      <c r="D224" s="1">
        <v>45</v>
      </c>
      <c r="E224" s="1" t="s">
        <v>54</v>
      </c>
      <c r="F224" s="1" t="s">
        <v>92</v>
      </c>
      <c r="G224" s="1" t="s">
        <v>652</v>
      </c>
      <c r="H224" s="1" t="s">
        <v>653</v>
      </c>
      <c r="I224" s="1" t="s">
        <v>1141</v>
      </c>
      <c r="J224" s="24">
        <v>45677</v>
      </c>
      <c r="K224" s="1" t="s">
        <v>1142</v>
      </c>
      <c r="L224" s="1" t="s">
        <v>498</v>
      </c>
      <c r="M224" s="1">
        <v>421.7</v>
      </c>
      <c r="N224" s="1">
        <v>3</v>
      </c>
      <c r="O224" s="1" t="s">
        <v>98</v>
      </c>
      <c r="P224" s="1">
        <v>5</v>
      </c>
      <c r="Q224" s="1">
        <v>38</v>
      </c>
      <c r="R224" s="24">
        <v>45680</v>
      </c>
      <c r="S224" s="1" t="s">
        <v>1143</v>
      </c>
      <c r="T224" s="4">
        <f>Table1[[#This Row],[Delivery_Date]]-Table1[[#This Row],[Order_Date]]</f>
        <v>3</v>
      </c>
      <c r="U224" s="4">
        <f>Table1[[#This Row],[Price]]*Table1[[#This Row],[Quantity]]</f>
        <v>1265.0999999999999</v>
      </c>
      <c r="V224" s="11">
        <f t="shared" si="3"/>
        <v>0.1</v>
      </c>
      <c r="W224" s="4">
        <f>Table1[[#This Row],[Amount]]-(Table1[[#This Row],[Amount]]*Table1[[#This Row],[Discount_Percent]])</f>
        <v>1138.5899999999999</v>
      </c>
      <c r="X224" s="4">
        <f>IF(O224="DEL0", Table1[[#This Row],[Discounted_Amount]],Table1[[#This Row],[Discounted_Amount]]+Table1[[#This Row],[Delivery_Charge]])</f>
        <v>1176.5899999999999</v>
      </c>
      <c r="Y224" s="4" t="str">
        <f>Table1[[#This Row],[First_Name]]&amp;" "&amp;Table1[[#This Row],[Last_Name]]</f>
        <v>Beth Mason</v>
      </c>
      <c r="Z224" s="4" t="str">
        <f>IF(T:T&gt;Table1[[#This Row],[Estimated_Days_to_Deliver]],"Late",IF(T:T=Table1[[#This Row],[Estimated_Days_to_Deliver]],"Intime","BeforeTime"))</f>
        <v>BeforeTime</v>
      </c>
      <c r="AA224" s="4">
        <f>MONTH(Table1[[#This Row],[Order_Date]])</f>
        <v>1</v>
      </c>
      <c r="AB224" s="13">
        <f>Table1[[#This Row],[Amount]]*Table1[[#This Row],[Discount_Percent]]</f>
        <v>126.50999999999999</v>
      </c>
    </row>
    <row r="225" spans="1:28" ht="14.25" customHeight="1">
      <c r="A225" s="1" t="s">
        <v>1082</v>
      </c>
      <c r="B225" s="1" t="s">
        <v>221</v>
      </c>
      <c r="C225" s="1" t="s">
        <v>1083</v>
      </c>
      <c r="D225" s="1">
        <v>55</v>
      </c>
      <c r="E225" s="1" t="s">
        <v>43</v>
      </c>
      <c r="F225" s="1" t="s">
        <v>161</v>
      </c>
      <c r="G225" s="1" t="s">
        <v>1084</v>
      </c>
      <c r="H225" s="1" t="s">
        <v>1085</v>
      </c>
      <c r="I225" s="1" t="s">
        <v>1144</v>
      </c>
      <c r="J225" s="24">
        <v>45186</v>
      </c>
      <c r="K225" s="1" t="s">
        <v>1145</v>
      </c>
      <c r="L225" s="1" t="s">
        <v>83</v>
      </c>
      <c r="M225" s="1">
        <v>330.11</v>
      </c>
      <c r="N225" s="1">
        <v>3</v>
      </c>
      <c r="O225" s="1" t="s">
        <v>38</v>
      </c>
      <c r="P225" s="1">
        <v>5</v>
      </c>
      <c r="Q225" s="1">
        <v>40</v>
      </c>
      <c r="R225" s="24">
        <v>45191</v>
      </c>
      <c r="S225" s="1" t="s">
        <v>1146</v>
      </c>
      <c r="T225" s="4">
        <f>Table1[[#This Row],[Delivery_Date]]-Table1[[#This Row],[Order_Date]]</f>
        <v>5</v>
      </c>
      <c r="U225" s="4">
        <f>Table1[[#This Row],[Price]]*Table1[[#This Row],[Quantity]]</f>
        <v>990.33</v>
      </c>
      <c r="V225" s="11">
        <f t="shared" si="3"/>
        <v>0.08</v>
      </c>
      <c r="W225" s="4">
        <f>Table1[[#This Row],[Amount]]-(Table1[[#This Row],[Amount]]*Table1[[#This Row],[Discount_Percent]])</f>
        <v>911.10360000000003</v>
      </c>
      <c r="X225" s="4">
        <f>IF(O225="DEL0", Table1[[#This Row],[Discounted_Amount]],Table1[[#This Row],[Discounted_Amount]]+Table1[[#This Row],[Delivery_Charge]])</f>
        <v>951.10360000000003</v>
      </c>
      <c r="Y225" s="4" t="str">
        <f>Table1[[#This Row],[First_Name]]&amp;" "&amp;Table1[[#This Row],[Last_Name]]</f>
        <v>Mark Summers</v>
      </c>
      <c r="Z225" s="4" t="str">
        <f>IF(T:T&gt;Table1[[#This Row],[Estimated_Days_to_Deliver]],"Late",IF(T:T=Table1[[#This Row],[Estimated_Days_to_Deliver]],"Intime","BeforeTime"))</f>
        <v>Intime</v>
      </c>
      <c r="AA225" s="4">
        <f>MONTH(Table1[[#This Row],[Order_Date]])</f>
        <v>9</v>
      </c>
      <c r="AB225" s="13">
        <f>Table1[[#This Row],[Amount]]*Table1[[#This Row],[Discount_Percent]]</f>
        <v>79.226399999999998</v>
      </c>
    </row>
    <row r="226" spans="1:28" ht="14.25" customHeight="1">
      <c r="A226" s="1" t="s">
        <v>304</v>
      </c>
      <c r="B226" s="1" t="s">
        <v>305</v>
      </c>
      <c r="C226" s="1" t="s">
        <v>306</v>
      </c>
      <c r="D226" s="1">
        <v>26</v>
      </c>
      <c r="E226" s="1" t="s">
        <v>54</v>
      </c>
      <c r="F226" s="1" t="s">
        <v>170</v>
      </c>
      <c r="G226" s="1" t="s">
        <v>307</v>
      </c>
      <c r="H226" s="1" t="s">
        <v>308</v>
      </c>
      <c r="I226" s="1" t="s">
        <v>1147</v>
      </c>
      <c r="J226" s="24">
        <v>45537</v>
      </c>
      <c r="K226" s="1" t="s">
        <v>1148</v>
      </c>
      <c r="L226" s="1" t="s">
        <v>347</v>
      </c>
      <c r="M226" s="1">
        <v>372.62</v>
      </c>
      <c r="N226" s="1">
        <v>1</v>
      </c>
      <c r="O226" s="1" t="s">
        <v>98</v>
      </c>
      <c r="P226" s="1">
        <v>5</v>
      </c>
      <c r="Q226" s="1">
        <v>36</v>
      </c>
      <c r="R226" s="24">
        <v>45541</v>
      </c>
      <c r="S226" s="1" t="s">
        <v>1149</v>
      </c>
      <c r="T226" s="4">
        <f>Table1[[#This Row],[Delivery_Date]]-Table1[[#This Row],[Order_Date]]</f>
        <v>4</v>
      </c>
      <c r="U226" s="4">
        <f>Table1[[#This Row],[Price]]*Table1[[#This Row],[Quantity]]</f>
        <v>372.62</v>
      </c>
      <c r="V226" s="11">
        <f t="shared" si="3"/>
        <v>0.1</v>
      </c>
      <c r="W226" s="4">
        <f>Table1[[#This Row],[Amount]]-(Table1[[#This Row],[Amount]]*Table1[[#This Row],[Discount_Percent]])</f>
        <v>335.358</v>
      </c>
      <c r="X226" s="4">
        <f>IF(O226="DEL0", Table1[[#This Row],[Discounted_Amount]],Table1[[#This Row],[Discounted_Amount]]+Table1[[#This Row],[Delivery_Charge]])</f>
        <v>371.358</v>
      </c>
      <c r="Y226" s="4" t="str">
        <f>Table1[[#This Row],[First_Name]]&amp;" "&amp;Table1[[#This Row],[Last_Name]]</f>
        <v>Valerie Carr</v>
      </c>
      <c r="Z226" s="4" t="str">
        <f>IF(T:T&gt;Table1[[#This Row],[Estimated_Days_to_Deliver]],"Late",IF(T:T=Table1[[#This Row],[Estimated_Days_to_Deliver]],"Intime","BeforeTime"))</f>
        <v>BeforeTime</v>
      </c>
      <c r="AA226" s="4">
        <f>MONTH(Table1[[#This Row],[Order_Date]])</f>
        <v>9</v>
      </c>
      <c r="AB226" s="13">
        <f>Table1[[#This Row],[Amount]]*Table1[[#This Row],[Discount_Percent]]</f>
        <v>37.262</v>
      </c>
    </row>
    <row r="227" spans="1:28" ht="14.25" customHeight="1">
      <c r="A227" s="1" t="s">
        <v>1106</v>
      </c>
      <c r="B227" s="1" t="s">
        <v>1107</v>
      </c>
      <c r="C227" s="1" t="s">
        <v>1108</v>
      </c>
      <c r="D227" s="1">
        <v>18</v>
      </c>
      <c r="E227" s="1" t="s">
        <v>31</v>
      </c>
      <c r="F227" s="1" t="s">
        <v>78</v>
      </c>
      <c r="G227" s="1" t="s">
        <v>1109</v>
      </c>
      <c r="H227" s="1" t="s">
        <v>1110</v>
      </c>
      <c r="I227" s="1" t="s">
        <v>1150</v>
      </c>
      <c r="J227" s="24">
        <v>45217</v>
      </c>
      <c r="K227" s="1" t="s">
        <v>1151</v>
      </c>
      <c r="L227" s="1" t="s">
        <v>326</v>
      </c>
      <c r="M227" s="1">
        <v>481.48</v>
      </c>
      <c r="N227" s="1">
        <v>3</v>
      </c>
      <c r="O227" s="1" t="s">
        <v>98</v>
      </c>
      <c r="P227" s="1">
        <v>5</v>
      </c>
      <c r="Q227" s="1">
        <v>42</v>
      </c>
      <c r="R227" s="24">
        <v>45221</v>
      </c>
      <c r="S227" s="1" t="s">
        <v>1152</v>
      </c>
      <c r="T227" s="4">
        <f>Table1[[#This Row],[Delivery_Date]]-Table1[[#This Row],[Order_Date]]</f>
        <v>4</v>
      </c>
      <c r="U227" s="4">
        <f>Table1[[#This Row],[Price]]*Table1[[#This Row],[Quantity]]</f>
        <v>1444.44</v>
      </c>
      <c r="V227" s="11">
        <f t="shared" si="3"/>
        <v>0.1</v>
      </c>
      <c r="W227" s="4">
        <f>Table1[[#This Row],[Amount]]-(Table1[[#This Row],[Amount]]*Table1[[#This Row],[Discount_Percent]])</f>
        <v>1299.9960000000001</v>
      </c>
      <c r="X227" s="4">
        <f>IF(O227="DEL0", Table1[[#This Row],[Discounted_Amount]],Table1[[#This Row],[Discounted_Amount]]+Table1[[#This Row],[Delivery_Charge]])</f>
        <v>1341.9960000000001</v>
      </c>
      <c r="Y227" s="4" t="str">
        <f>Table1[[#This Row],[First_Name]]&amp;" "&amp;Table1[[#This Row],[Last_Name]]</f>
        <v>Gary Huff</v>
      </c>
      <c r="Z227" s="4" t="str">
        <f>IF(T:T&gt;Table1[[#This Row],[Estimated_Days_to_Deliver]],"Late",IF(T:T=Table1[[#This Row],[Estimated_Days_to_Deliver]],"Intime","BeforeTime"))</f>
        <v>BeforeTime</v>
      </c>
      <c r="AA227" s="4">
        <f>MONTH(Table1[[#This Row],[Order_Date]])</f>
        <v>10</v>
      </c>
      <c r="AB227" s="13">
        <f>Table1[[#This Row],[Amount]]*Table1[[#This Row],[Discount_Percent]]</f>
        <v>144.44400000000002</v>
      </c>
    </row>
    <row r="228" spans="1:28" ht="14.25" customHeight="1">
      <c r="A228" s="1" t="s">
        <v>187</v>
      </c>
      <c r="B228" s="1" t="s">
        <v>188</v>
      </c>
      <c r="C228" s="1" t="s">
        <v>189</v>
      </c>
      <c r="D228" s="1">
        <v>42</v>
      </c>
      <c r="E228" s="1" t="s">
        <v>43</v>
      </c>
      <c r="F228" s="1" t="s">
        <v>170</v>
      </c>
      <c r="G228" s="1" t="s">
        <v>190</v>
      </c>
      <c r="H228" s="1" t="s">
        <v>191</v>
      </c>
      <c r="I228" s="1" t="s">
        <v>1153</v>
      </c>
      <c r="J228" s="24">
        <v>45555</v>
      </c>
      <c r="K228" s="1" t="s">
        <v>1154</v>
      </c>
      <c r="L228" s="1" t="s">
        <v>37</v>
      </c>
      <c r="M228" s="1">
        <v>308.88</v>
      </c>
      <c r="N228" s="1">
        <v>1</v>
      </c>
      <c r="O228" s="1" t="s">
        <v>60</v>
      </c>
      <c r="P228" s="1">
        <v>5</v>
      </c>
      <c r="Q228" s="1">
        <v>54</v>
      </c>
      <c r="R228" s="24">
        <v>45556</v>
      </c>
      <c r="S228" s="1" t="s">
        <v>1155</v>
      </c>
      <c r="T228" s="4">
        <f>Table1[[#This Row],[Delivery_Date]]-Table1[[#This Row],[Order_Date]]</f>
        <v>1</v>
      </c>
      <c r="U228" s="4">
        <f>Table1[[#This Row],[Price]]*Table1[[#This Row],[Quantity]]</f>
        <v>308.88</v>
      </c>
      <c r="V228" s="11">
        <f t="shared" si="3"/>
        <v>0.15</v>
      </c>
      <c r="W228" s="4">
        <f>Table1[[#This Row],[Amount]]-(Table1[[#This Row],[Amount]]*Table1[[#This Row],[Discount_Percent]])</f>
        <v>262.548</v>
      </c>
      <c r="X228" s="4">
        <f>IF(O228="DEL0", Table1[[#This Row],[Discounted_Amount]],Table1[[#This Row],[Discounted_Amount]]+Table1[[#This Row],[Delivery_Charge]])</f>
        <v>316.548</v>
      </c>
      <c r="Y228" s="4" t="str">
        <f>Table1[[#This Row],[First_Name]]&amp;" "&amp;Table1[[#This Row],[Last_Name]]</f>
        <v>Mallory Mitchell</v>
      </c>
      <c r="Z228" s="4" t="str">
        <f>IF(T:T&gt;Table1[[#This Row],[Estimated_Days_to_Deliver]],"Late",IF(T:T=Table1[[#This Row],[Estimated_Days_to_Deliver]],"Intime","BeforeTime"))</f>
        <v>BeforeTime</v>
      </c>
      <c r="AA228" s="4">
        <f>MONTH(Table1[[#This Row],[Order_Date]])</f>
        <v>9</v>
      </c>
      <c r="AB228" s="13">
        <f>Table1[[#This Row],[Amount]]*Table1[[#This Row],[Discount_Percent]]</f>
        <v>46.332000000000001</v>
      </c>
    </row>
    <row r="229" spans="1:28" ht="14.25" customHeight="1">
      <c r="A229" s="1" t="s">
        <v>28</v>
      </c>
      <c r="B229" s="1" t="s">
        <v>29</v>
      </c>
      <c r="C229" s="1" t="s">
        <v>30</v>
      </c>
      <c r="D229" s="1">
        <v>37</v>
      </c>
      <c r="E229" s="1" t="s">
        <v>31</v>
      </c>
      <c r="F229" s="1" t="s">
        <v>32</v>
      </c>
      <c r="G229" s="1" t="s">
        <v>33</v>
      </c>
      <c r="H229" s="1" t="s">
        <v>34</v>
      </c>
      <c r="I229" s="1" t="s">
        <v>1156</v>
      </c>
      <c r="J229" s="24">
        <v>45162</v>
      </c>
      <c r="K229" s="1" t="s">
        <v>1157</v>
      </c>
      <c r="L229" s="1" t="s">
        <v>237</v>
      </c>
      <c r="M229" s="1">
        <v>132.97</v>
      </c>
      <c r="N229" s="1">
        <v>4</v>
      </c>
      <c r="O229" s="1" t="s">
        <v>98</v>
      </c>
      <c r="P229" s="1">
        <v>5</v>
      </c>
      <c r="Q229" s="1">
        <v>43</v>
      </c>
      <c r="R229" s="24">
        <v>45163</v>
      </c>
      <c r="S229" s="1" t="s">
        <v>1158</v>
      </c>
      <c r="T229" s="4">
        <f>Table1[[#This Row],[Delivery_Date]]-Table1[[#This Row],[Order_Date]]</f>
        <v>1</v>
      </c>
      <c r="U229" s="4">
        <f>Table1[[#This Row],[Price]]*Table1[[#This Row],[Quantity]]</f>
        <v>531.88</v>
      </c>
      <c r="V229" s="11">
        <f t="shared" si="3"/>
        <v>0.1</v>
      </c>
      <c r="W229" s="4">
        <f>Table1[[#This Row],[Amount]]-(Table1[[#This Row],[Amount]]*Table1[[#This Row],[Discount_Percent]])</f>
        <v>478.69200000000001</v>
      </c>
      <c r="X229" s="4">
        <f>IF(O229="DEL0", Table1[[#This Row],[Discounted_Amount]],Table1[[#This Row],[Discounted_Amount]]+Table1[[#This Row],[Delivery_Charge]])</f>
        <v>521.69200000000001</v>
      </c>
      <c r="Y229" s="4" t="str">
        <f>Table1[[#This Row],[First_Name]]&amp;" "&amp;Table1[[#This Row],[Last_Name]]</f>
        <v>Anne Oconnell</v>
      </c>
      <c r="Z229" s="4" t="str">
        <f>IF(T:T&gt;Table1[[#This Row],[Estimated_Days_to_Deliver]],"Late",IF(T:T=Table1[[#This Row],[Estimated_Days_to_Deliver]],"Intime","BeforeTime"))</f>
        <v>BeforeTime</v>
      </c>
      <c r="AA229" s="4">
        <f>MONTH(Table1[[#This Row],[Order_Date]])</f>
        <v>8</v>
      </c>
      <c r="AB229" s="13">
        <f>Table1[[#This Row],[Amount]]*Table1[[#This Row],[Discount_Percent]]</f>
        <v>53.188000000000002</v>
      </c>
    </row>
    <row r="230" spans="1:28" ht="14.25" customHeight="1">
      <c r="A230" s="1" t="s">
        <v>230</v>
      </c>
      <c r="B230" s="1" t="s">
        <v>231</v>
      </c>
      <c r="C230" s="1" t="s">
        <v>232</v>
      </c>
      <c r="D230" s="1">
        <v>64</v>
      </c>
      <c r="E230" s="1" t="s">
        <v>43</v>
      </c>
      <c r="F230" s="1" t="s">
        <v>44</v>
      </c>
      <c r="G230" s="1" t="s">
        <v>233</v>
      </c>
      <c r="H230" s="1" t="s">
        <v>234</v>
      </c>
      <c r="I230" s="1" t="s">
        <v>1159</v>
      </c>
      <c r="J230" s="24">
        <v>45488</v>
      </c>
      <c r="K230" s="1" t="s">
        <v>1160</v>
      </c>
      <c r="L230" s="1" t="s">
        <v>347</v>
      </c>
      <c r="M230" s="1">
        <v>372.62</v>
      </c>
      <c r="N230" s="1">
        <v>4</v>
      </c>
      <c r="O230" s="1" t="s">
        <v>38</v>
      </c>
      <c r="P230" s="1">
        <v>5</v>
      </c>
      <c r="Q230" s="1">
        <v>45</v>
      </c>
      <c r="R230" s="24">
        <v>45492</v>
      </c>
      <c r="S230" s="1" t="s">
        <v>1161</v>
      </c>
      <c r="T230" s="4">
        <f>Table1[[#This Row],[Delivery_Date]]-Table1[[#This Row],[Order_Date]]</f>
        <v>4</v>
      </c>
      <c r="U230" s="4">
        <f>Table1[[#This Row],[Price]]*Table1[[#This Row],[Quantity]]</f>
        <v>1490.48</v>
      </c>
      <c r="V230" s="11">
        <f t="shared" si="3"/>
        <v>0.08</v>
      </c>
      <c r="W230" s="4">
        <f>Table1[[#This Row],[Amount]]-(Table1[[#This Row],[Amount]]*Table1[[#This Row],[Discount_Percent]])</f>
        <v>1371.2416000000001</v>
      </c>
      <c r="X230" s="4">
        <f>IF(O230="DEL0", Table1[[#This Row],[Discounted_Amount]],Table1[[#This Row],[Discounted_Amount]]+Table1[[#This Row],[Delivery_Charge]])</f>
        <v>1416.2416000000001</v>
      </c>
      <c r="Y230" s="4" t="str">
        <f>Table1[[#This Row],[First_Name]]&amp;" "&amp;Table1[[#This Row],[Last_Name]]</f>
        <v>John Herrera</v>
      </c>
      <c r="Z230" s="4" t="str">
        <f>IF(T:T&gt;Table1[[#This Row],[Estimated_Days_to_Deliver]],"Late",IF(T:T=Table1[[#This Row],[Estimated_Days_to_Deliver]],"Intime","BeforeTime"))</f>
        <v>BeforeTime</v>
      </c>
      <c r="AA230" s="4">
        <f>MONTH(Table1[[#This Row],[Order_Date]])</f>
        <v>7</v>
      </c>
      <c r="AB230" s="13">
        <f>Table1[[#This Row],[Amount]]*Table1[[#This Row],[Discount_Percent]]</f>
        <v>119.2384</v>
      </c>
    </row>
    <row r="231" spans="1:28" ht="14.25" customHeight="1">
      <c r="A231" s="1" t="s">
        <v>469</v>
      </c>
      <c r="B231" s="1" t="s">
        <v>470</v>
      </c>
      <c r="C231" s="1" t="s">
        <v>471</v>
      </c>
      <c r="D231" s="1">
        <v>18</v>
      </c>
      <c r="E231" s="1" t="s">
        <v>43</v>
      </c>
      <c r="F231" s="1" t="s">
        <v>44</v>
      </c>
      <c r="G231" s="1" t="s">
        <v>472</v>
      </c>
      <c r="H231" s="1" t="s">
        <v>473</v>
      </c>
      <c r="I231" s="1" t="s">
        <v>1162</v>
      </c>
      <c r="J231" s="24">
        <v>45273</v>
      </c>
      <c r="K231" s="1" t="s">
        <v>1163</v>
      </c>
      <c r="L231" s="1" t="s">
        <v>245</v>
      </c>
      <c r="M231" s="1">
        <v>126.19</v>
      </c>
      <c r="N231" s="1">
        <v>5</v>
      </c>
      <c r="O231" s="1" t="s">
        <v>98</v>
      </c>
      <c r="P231" s="1">
        <v>5</v>
      </c>
      <c r="Q231" s="1">
        <v>47</v>
      </c>
      <c r="R231" s="24">
        <v>45280</v>
      </c>
      <c r="S231" s="1" t="s">
        <v>1164</v>
      </c>
      <c r="T231" s="4">
        <f>Table1[[#This Row],[Delivery_Date]]-Table1[[#This Row],[Order_Date]]</f>
        <v>7</v>
      </c>
      <c r="U231" s="4">
        <f>Table1[[#This Row],[Price]]*Table1[[#This Row],[Quantity]]</f>
        <v>630.95000000000005</v>
      </c>
      <c r="V231" s="11">
        <f t="shared" si="3"/>
        <v>0.1</v>
      </c>
      <c r="W231" s="4">
        <f>Table1[[#This Row],[Amount]]-(Table1[[#This Row],[Amount]]*Table1[[#This Row],[Discount_Percent]])</f>
        <v>567.85500000000002</v>
      </c>
      <c r="X231" s="4">
        <f>IF(O231="DEL0", Table1[[#This Row],[Discounted_Amount]],Table1[[#This Row],[Discounted_Amount]]+Table1[[#This Row],[Delivery_Charge]])</f>
        <v>614.85500000000002</v>
      </c>
      <c r="Y231" s="4" t="str">
        <f>Table1[[#This Row],[First_Name]]&amp;" "&amp;Table1[[#This Row],[Last_Name]]</f>
        <v>Lori Cook</v>
      </c>
      <c r="Z231" s="4" t="str">
        <f>IF(T:T&gt;Table1[[#This Row],[Estimated_Days_to_Deliver]],"Late",IF(T:T=Table1[[#This Row],[Estimated_Days_to_Deliver]],"Intime","BeforeTime"))</f>
        <v>Late</v>
      </c>
      <c r="AA231" s="4">
        <f>MONTH(Table1[[#This Row],[Order_Date]])</f>
        <v>12</v>
      </c>
      <c r="AB231" s="13">
        <f>Table1[[#This Row],[Amount]]*Table1[[#This Row],[Discount_Percent]]</f>
        <v>63.095000000000006</v>
      </c>
    </row>
    <row r="232" spans="1:28" ht="14.25" customHeight="1">
      <c r="A232" s="1" t="s">
        <v>1106</v>
      </c>
      <c r="B232" s="1" t="s">
        <v>1107</v>
      </c>
      <c r="C232" s="1" t="s">
        <v>1108</v>
      </c>
      <c r="D232" s="1">
        <v>18</v>
      </c>
      <c r="E232" s="1" t="s">
        <v>31</v>
      </c>
      <c r="F232" s="1" t="s">
        <v>78</v>
      </c>
      <c r="G232" s="1" t="s">
        <v>1109</v>
      </c>
      <c r="H232" s="1" t="s">
        <v>1110</v>
      </c>
      <c r="I232" s="1" t="s">
        <v>1165</v>
      </c>
      <c r="J232" s="24">
        <v>45117</v>
      </c>
      <c r="K232" s="1" t="s">
        <v>1166</v>
      </c>
      <c r="L232" s="1" t="s">
        <v>593</v>
      </c>
      <c r="M232" s="1">
        <v>403.03</v>
      </c>
      <c r="N232" s="1">
        <v>2</v>
      </c>
      <c r="O232" s="1" t="s">
        <v>60</v>
      </c>
      <c r="P232" s="1">
        <v>5</v>
      </c>
      <c r="Q232" s="1">
        <v>45</v>
      </c>
      <c r="R232" s="24">
        <v>45118</v>
      </c>
      <c r="S232" s="1" t="s">
        <v>1167</v>
      </c>
      <c r="T232" s="4">
        <f>Table1[[#This Row],[Delivery_Date]]-Table1[[#This Row],[Order_Date]]</f>
        <v>1</v>
      </c>
      <c r="U232" s="4">
        <f>Table1[[#This Row],[Price]]*Table1[[#This Row],[Quantity]]</f>
        <v>806.06</v>
      </c>
      <c r="V232" s="11">
        <f t="shared" si="3"/>
        <v>0.15</v>
      </c>
      <c r="W232" s="4">
        <f>Table1[[#This Row],[Amount]]-(Table1[[#This Row],[Amount]]*Table1[[#This Row],[Discount_Percent]])</f>
        <v>685.15099999999995</v>
      </c>
      <c r="X232" s="4">
        <f>IF(O232="DEL0", Table1[[#This Row],[Discounted_Amount]],Table1[[#This Row],[Discounted_Amount]]+Table1[[#This Row],[Delivery_Charge]])</f>
        <v>730.15099999999995</v>
      </c>
      <c r="Y232" s="4" t="str">
        <f>Table1[[#This Row],[First_Name]]&amp;" "&amp;Table1[[#This Row],[Last_Name]]</f>
        <v>Gary Huff</v>
      </c>
      <c r="Z232" s="4" t="str">
        <f>IF(T:T&gt;Table1[[#This Row],[Estimated_Days_to_Deliver]],"Late",IF(T:T=Table1[[#This Row],[Estimated_Days_to_Deliver]],"Intime","BeforeTime"))</f>
        <v>BeforeTime</v>
      </c>
      <c r="AA232" s="4">
        <f>MONTH(Table1[[#This Row],[Order_Date]])</f>
        <v>7</v>
      </c>
      <c r="AB232" s="13">
        <f>Table1[[#This Row],[Amount]]*Table1[[#This Row],[Discount_Percent]]</f>
        <v>120.90899999999999</v>
      </c>
    </row>
    <row r="233" spans="1:28" ht="14.25" customHeight="1">
      <c r="A233" s="1" t="s">
        <v>1106</v>
      </c>
      <c r="B233" s="1" t="s">
        <v>1107</v>
      </c>
      <c r="C233" s="1" t="s">
        <v>1108</v>
      </c>
      <c r="D233" s="1">
        <v>18</v>
      </c>
      <c r="E233" s="1" t="s">
        <v>31</v>
      </c>
      <c r="F233" s="1" t="s">
        <v>78</v>
      </c>
      <c r="G233" s="1" t="s">
        <v>1109</v>
      </c>
      <c r="H233" s="1" t="s">
        <v>1110</v>
      </c>
      <c r="I233" s="1" t="s">
        <v>1168</v>
      </c>
      <c r="J233" s="24">
        <v>45392</v>
      </c>
      <c r="K233" s="1" t="s">
        <v>1169</v>
      </c>
      <c r="L233" s="1" t="s">
        <v>290</v>
      </c>
      <c r="M233" s="1">
        <v>157.63999999999999</v>
      </c>
      <c r="N233" s="1">
        <v>2</v>
      </c>
      <c r="O233" s="1" t="s">
        <v>60</v>
      </c>
      <c r="P233" s="1">
        <v>5</v>
      </c>
      <c r="Q233" s="1">
        <v>64</v>
      </c>
      <c r="R233" s="24">
        <v>45395</v>
      </c>
      <c r="S233" s="1" t="s">
        <v>1170</v>
      </c>
      <c r="T233" s="4">
        <f>Table1[[#This Row],[Delivery_Date]]-Table1[[#This Row],[Order_Date]]</f>
        <v>3</v>
      </c>
      <c r="U233" s="4">
        <f>Table1[[#This Row],[Price]]*Table1[[#This Row],[Quantity]]</f>
        <v>315.27999999999997</v>
      </c>
      <c r="V233" s="11">
        <f t="shared" si="3"/>
        <v>0.15</v>
      </c>
      <c r="W233" s="4">
        <f>Table1[[#This Row],[Amount]]-(Table1[[#This Row],[Amount]]*Table1[[#This Row],[Discount_Percent]])</f>
        <v>267.988</v>
      </c>
      <c r="X233" s="4">
        <f>IF(O233="DEL0", Table1[[#This Row],[Discounted_Amount]],Table1[[#This Row],[Discounted_Amount]]+Table1[[#This Row],[Delivery_Charge]])</f>
        <v>331.988</v>
      </c>
      <c r="Y233" s="4" t="str">
        <f>Table1[[#This Row],[First_Name]]&amp;" "&amp;Table1[[#This Row],[Last_Name]]</f>
        <v>Gary Huff</v>
      </c>
      <c r="Z233" s="4" t="str">
        <f>IF(T:T&gt;Table1[[#This Row],[Estimated_Days_to_Deliver]],"Late",IF(T:T=Table1[[#This Row],[Estimated_Days_to_Deliver]],"Intime","BeforeTime"))</f>
        <v>BeforeTime</v>
      </c>
      <c r="AA233" s="4">
        <f>MONTH(Table1[[#This Row],[Order_Date]])</f>
        <v>4</v>
      </c>
      <c r="AB233" s="13">
        <f>Table1[[#This Row],[Amount]]*Table1[[#This Row],[Discount_Percent]]</f>
        <v>47.291999999999994</v>
      </c>
    </row>
    <row r="234" spans="1:28" ht="14.25" customHeight="1">
      <c r="A234" s="1" t="s">
        <v>1171</v>
      </c>
      <c r="B234" s="1" t="s">
        <v>1172</v>
      </c>
      <c r="C234" s="1" t="s">
        <v>1173</v>
      </c>
      <c r="D234" s="1">
        <v>59</v>
      </c>
      <c r="E234" s="1" t="s">
        <v>54</v>
      </c>
      <c r="F234" s="1" t="s">
        <v>170</v>
      </c>
      <c r="G234" s="1" t="s">
        <v>1174</v>
      </c>
      <c r="H234" s="1" t="s">
        <v>1175</v>
      </c>
      <c r="I234" s="1" t="s">
        <v>1176</v>
      </c>
      <c r="J234" s="24">
        <v>45251</v>
      </c>
      <c r="K234" s="1" t="s">
        <v>1177</v>
      </c>
      <c r="L234" s="1" t="s">
        <v>253</v>
      </c>
      <c r="M234" s="1">
        <v>128.13999999999999</v>
      </c>
      <c r="N234" s="1">
        <v>1</v>
      </c>
      <c r="O234" s="1" t="s">
        <v>98</v>
      </c>
      <c r="P234" s="1">
        <v>5</v>
      </c>
      <c r="Q234" s="1">
        <v>52</v>
      </c>
      <c r="R234" s="24">
        <v>45254</v>
      </c>
      <c r="S234" s="1" t="s">
        <v>1178</v>
      </c>
      <c r="T234" s="4">
        <f>Table1[[#This Row],[Delivery_Date]]-Table1[[#This Row],[Order_Date]]</f>
        <v>3</v>
      </c>
      <c r="U234" s="4">
        <f>Table1[[#This Row],[Price]]*Table1[[#This Row],[Quantity]]</f>
        <v>128.13999999999999</v>
      </c>
      <c r="V234" s="11">
        <f t="shared" si="3"/>
        <v>0.1</v>
      </c>
      <c r="W234" s="4">
        <f>Table1[[#This Row],[Amount]]-(Table1[[#This Row],[Amount]]*Table1[[#This Row],[Discount_Percent]])</f>
        <v>115.32599999999999</v>
      </c>
      <c r="X234" s="4">
        <f>IF(O234="DEL0", Table1[[#This Row],[Discounted_Amount]],Table1[[#This Row],[Discounted_Amount]]+Table1[[#This Row],[Delivery_Charge]])</f>
        <v>167.32599999999999</v>
      </c>
      <c r="Y234" s="4" t="str">
        <f>Table1[[#This Row],[First_Name]]&amp;" "&amp;Table1[[#This Row],[Last_Name]]</f>
        <v>Mike Carter</v>
      </c>
      <c r="Z234" s="4" t="str">
        <f>IF(T:T&gt;Table1[[#This Row],[Estimated_Days_to_Deliver]],"Late",IF(T:T=Table1[[#This Row],[Estimated_Days_to_Deliver]],"Intime","BeforeTime"))</f>
        <v>BeforeTime</v>
      </c>
      <c r="AA234" s="4">
        <f>MONTH(Table1[[#This Row],[Order_Date]])</f>
        <v>11</v>
      </c>
      <c r="AB234" s="13">
        <f>Table1[[#This Row],[Amount]]*Table1[[#This Row],[Discount_Percent]]</f>
        <v>12.814</v>
      </c>
    </row>
    <row r="235" spans="1:28" ht="14.25" customHeight="1">
      <c r="A235" s="1" t="s">
        <v>275</v>
      </c>
      <c r="B235" s="1" t="s">
        <v>276</v>
      </c>
      <c r="C235" s="1" t="s">
        <v>277</v>
      </c>
      <c r="D235" s="1">
        <v>44</v>
      </c>
      <c r="E235" s="1" t="s">
        <v>31</v>
      </c>
      <c r="F235" s="1" t="s">
        <v>223</v>
      </c>
      <c r="G235" s="1" t="s">
        <v>278</v>
      </c>
      <c r="H235" s="1" t="s">
        <v>279</v>
      </c>
      <c r="I235" s="1" t="s">
        <v>1179</v>
      </c>
      <c r="J235" s="24">
        <v>45348</v>
      </c>
      <c r="K235" s="1" t="s">
        <v>1180</v>
      </c>
      <c r="L235" s="1" t="s">
        <v>128</v>
      </c>
      <c r="M235" s="1">
        <v>257.06</v>
      </c>
      <c r="N235" s="1">
        <v>3</v>
      </c>
      <c r="O235" s="1" t="s">
        <v>65</v>
      </c>
      <c r="P235" s="1">
        <v>5</v>
      </c>
      <c r="Q235" s="1">
        <v>63</v>
      </c>
      <c r="R235" s="24">
        <v>45354</v>
      </c>
      <c r="S235" s="1" t="s">
        <v>1181</v>
      </c>
      <c r="T235" s="4">
        <f>Table1[[#This Row],[Delivery_Date]]-Table1[[#This Row],[Order_Date]]</f>
        <v>6</v>
      </c>
      <c r="U235" s="4">
        <f>Table1[[#This Row],[Price]]*Table1[[#This Row],[Quantity]]</f>
        <v>771.18000000000006</v>
      </c>
      <c r="V235" s="11">
        <f t="shared" si="3"/>
        <v>0</v>
      </c>
      <c r="W235" s="4">
        <f>Table1[[#This Row],[Amount]]-(Table1[[#This Row],[Amount]]*Table1[[#This Row],[Discount_Percent]])</f>
        <v>771.18000000000006</v>
      </c>
      <c r="X235" s="4">
        <f>IF(O235="DEL0", Table1[[#This Row],[Discounted_Amount]],Table1[[#This Row],[Discounted_Amount]]+Table1[[#This Row],[Delivery_Charge]])</f>
        <v>771.18000000000006</v>
      </c>
      <c r="Y235" s="4" t="str">
        <f>Table1[[#This Row],[First_Name]]&amp;" "&amp;Table1[[#This Row],[Last_Name]]</f>
        <v>Lauren Long</v>
      </c>
      <c r="Z235" s="4" t="str">
        <f>IF(T:T&gt;Table1[[#This Row],[Estimated_Days_to_Deliver]],"Late",IF(T:T=Table1[[#This Row],[Estimated_Days_to_Deliver]],"Intime","BeforeTime"))</f>
        <v>Late</v>
      </c>
      <c r="AA235" s="4">
        <f>MONTH(Table1[[#This Row],[Order_Date]])</f>
        <v>2</v>
      </c>
      <c r="AB235" s="13">
        <f>Table1[[#This Row],[Amount]]*Table1[[#This Row],[Discount_Percent]]</f>
        <v>0</v>
      </c>
    </row>
    <row r="236" spans="1:28" ht="14.25" customHeight="1">
      <c r="A236" s="1" t="s">
        <v>549</v>
      </c>
      <c r="B236" s="1" t="s">
        <v>550</v>
      </c>
      <c r="C236" s="1" t="s">
        <v>551</v>
      </c>
      <c r="D236" s="1">
        <v>33</v>
      </c>
      <c r="E236" s="1" t="s">
        <v>54</v>
      </c>
      <c r="F236" s="1" t="s">
        <v>170</v>
      </c>
      <c r="G236" s="1" t="s">
        <v>552</v>
      </c>
      <c r="H236" s="1" t="s">
        <v>553</v>
      </c>
      <c r="I236" s="1" t="s">
        <v>1182</v>
      </c>
      <c r="J236" s="24">
        <v>45257</v>
      </c>
      <c r="K236" s="1" t="s">
        <v>1183</v>
      </c>
      <c r="L236" s="1" t="s">
        <v>175</v>
      </c>
      <c r="M236" s="1">
        <v>272.51</v>
      </c>
      <c r="N236" s="1">
        <v>2</v>
      </c>
      <c r="O236" s="1" t="s">
        <v>98</v>
      </c>
      <c r="P236" s="1">
        <v>5</v>
      </c>
      <c r="Q236" s="1">
        <v>48</v>
      </c>
      <c r="R236" s="24">
        <v>45264</v>
      </c>
      <c r="S236" s="1" t="s">
        <v>1184</v>
      </c>
      <c r="T236" s="4">
        <f>Table1[[#This Row],[Delivery_Date]]-Table1[[#This Row],[Order_Date]]</f>
        <v>7</v>
      </c>
      <c r="U236" s="4">
        <f>Table1[[#This Row],[Price]]*Table1[[#This Row],[Quantity]]</f>
        <v>545.02</v>
      </c>
      <c r="V236" s="11">
        <f t="shared" si="3"/>
        <v>0.1</v>
      </c>
      <c r="W236" s="4">
        <f>Table1[[#This Row],[Amount]]-(Table1[[#This Row],[Amount]]*Table1[[#This Row],[Discount_Percent]])</f>
        <v>490.51799999999997</v>
      </c>
      <c r="X236" s="4">
        <f>IF(O236="DEL0", Table1[[#This Row],[Discounted_Amount]],Table1[[#This Row],[Discounted_Amount]]+Table1[[#This Row],[Delivery_Charge]])</f>
        <v>538.51800000000003</v>
      </c>
      <c r="Y236" s="4" t="str">
        <f>Table1[[#This Row],[First_Name]]&amp;" "&amp;Table1[[#This Row],[Last_Name]]</f>
        <v>Jodi Whitney</v>
      </c>
      <c r="Z236" s="4" t="str">
        <f>IF(T:T&gt;Table1[[#This Row],[Estimated_Days_to_Deliver]],"Late",IF(T:T=Table1[[#This Row],[Estimated_Days_to_Deliver]],"Intime","BeforeTime"))</f>
        <v>Late</v>
      </c>
      <c r="AA236" s="4">
        <f>MONTH(Table1[[#This Row],[Order_Date]])</f>
        <v>11</v>
      </c>
      <c r="AB236" s="13">
        <f>Table1[[#This Row],[Amount]]*Table1[[#This Row],[Discount_Percent]]</f>
        <v>54.502000000000002</v>
      </c>
    </row>
    <row r="237" spans="1:28" ht="14.25" customHeight="1">
      <c r="A237" s="1" t="s">
        <v>275</v>
      </c>
      <c r="B237" s="1" t="s">
        <v>276</v>
      </c>
      <c r="C237" s="1" t="s">
        <v>277</v>
      </c>
      <c r="D237" s="1">
        <v>44</v>
      </c>
      <c r="E237" s="1" t="s">
        <v>31</v>
      </c>
      <c r="F237" s="1" t="s">
        <v>223</v>
      </c>
      <c r="G237" s="1" t="s">
        <v>278</v>
      </c>
      <c r="H237" s="1" t="s">
        <v>279</v>
      </c>
      <c r="I237" s="1" t="s">
        <v>1185</v>
      </c>
      <c r="J237" s="24">
        <v>45390</v>
      </c>
      <c r="K237" s="1" t="s">
        <v>1186</v>
      </c>
      <c r="L237" s="1" t="s">
        <v>97</v>
      </c>
      <c r="M237" s="1">
        <v>363.64</v>
      </c>
      <c r="N237" s="1">
        <v>3</v>
      </c>
      <c r="O237" s="1" t="s">
        <v>60</v>
      </c>
      <c r="P237" s="1">
        <v>5</v>
      </c>
      <c r="Q237" s="1">
        <v>47</v>
      </c>
      <c r="R237" s="24">
        <v>45395</v>
      </c>
      <c r="S237" s="1" t="s">
        <v>1187</v>
      </c>
      <c r="T237" s="4">
        <f>Table1[[#This Row],[Delivery_Date]]-Table1[[#This Row],[Order_Date]]</f>
        <v>5</v>
      </c>
      <c r="U237" s="4">
        <f>Table1[[#This Row],[Price]]*Table1[[#This Row],[Quantity]]</f>
        <v>1090.92</v>
      </c>
      <c r="V237" s="11">
        <f t="shared" si="3"/>
        <v>0.15</v>
      </c>
      <c r="W237" s="4">
        <f>Table1[[#This Row],[Amount]]-(Table1[[#This Row],[Amount]]*Table1[[#This Row],[Discount_Percent]])</f>
        <v>927.28200000000004</v>
      </c>
      <c r="X237" s="4">
        <f>IF(O237="DEL0", Table1[[#This Row],[Discounted_Amount]],Table1[[#This Row],[Discounted_Amount]]+Table1[[#This Row],[Delivery_Charge]])</f>
        <v>974.28200000000004</v>
      </c>
      <c r="Y237" s="4" t="str">
        <f>Table1[[#This Row],[First_Name]]&amp;" "&amp;Table1[[#This Row],[Last_Name]]</f>
        <v>Lauren Long</v>
      </c>
      <c r="Z237" s="4" t="str">
        <f>IF(T:T&gt;Table1[[#This Row],[Estimated_Days_to_Deliver]],"Late",IF(T:T=Table1[[#This Row],[Estimated_Days_to_Deliver]],"Intime","BeforeTime"))</f>
        <v>Intime</v>
      </c>
      <c r="AA237" s="4">
        <f>MONTH(Table1[[#This Row],[Order_Date]])</f>
        <v>4</v>
      </c>
      <c r="AB237" s="13">
        <f>Table1[[#This Row],[Amount]]*Table1[[#This Row],[Discount_Percent]]</f>
        <v>163.63800000000001</v>
      </c>
    </row>
    <row r="238" spans="1:28" ht="14.25" customHeight="1">
      <c r="A238" s="1" t="s">
        <v>595</v>
      </c>
      <c r="B238" s="1" t="s">
        <v>596</v>
      </c>
      <c r="C238" s="1" t="s">
        <v>597</v>
      </c>
      <c r="D238" s="1">
        <v>21</v>
      </c>
      <c r="E238" s="1" t="s">
        <v>31</v>
      </c>
      <c r="F238" s="1" t="s">
        <v>44</v>
      </c>
      <c r="G238" s="1" t="s">
        <v>598</v>
      </c>
      <c r="H238" s="1" t="s">
        <v>599</v>
      </c>
      <c r="I238" s="1" t="s">
        <v>1188</v>
      </c>
      <c r="J238" s="24">
        <v>45578</v>
      </c>
      <c r="K238" s="1" t="s">
        <v>1189</v>
      </c>
      <c r="L238" s="1" t="s">
        <v>97</v>
      </c>
      <c r="M238" s="1">
        <v>363.64</v>
      </c>
      <c r="N238" s="1">
        <v>3</v>
      </c>
      <c r="O238" s="1" t="s">
        <v>87</v>
      </c>
      <c r="P238" s="1">
        <v>5</v>
      </c>
      <c r="Q238" s="1">
        <v>64</v>
      </c>
      <c r="R238" s="24">
        <v>45585</v>
      </c>
      <c r="S238" s="1" t="s">
        <v>1190</v>
      </c>
      <c r="T238" s="4">
        <f>Table1[[#This Row],[Delivery_Date]]-Table1[[#This Row],[Order_Date]]</f>
        <v>7</v>
      </c>
      <c r="U238" s="4">
        <f>Table1[[#This Row],[Price]]*Table1[[#This Row],[Quantity]]</f>
        <v>1090.92</v>
      </c>
      <c r="V238" s="11">
        <f t="shared" si="3"/>
        <v>0.2</v>
      </c>
      <c r="W238" s="4">
        <f>Table1[[#This Row],[Amount]]-(Table1[[#This Row],[Amount]]*Table1[[#This Row],[Discount_Percent]])</f>
        <v>872.7360000000001</v>
      </c>
      <c r="X238" s="4">
        <f>IF(O238="DEL0", Table1[[#This Row],[Discounted_Amount]],Table1[[#This Row],[Discounted_Amount]]+Table1[[#This Row],[Delivery_Charge]])</f>
        <v>936.7360000000001</v>
      </c>
      <c r="Y238" s="4" t="str">
        <f>Table1[[#This Row],[First_Name]]&amp;" "&amp;Table1[[#This Row],[Last_Name]]</f>
        <v>William Mann</v>
      </c>
      <c r="Z238" s="4" t="str">
        <f>IF(T:T&gt;Table1[[#This Row],[Estimated_Days_to_Deliver]],"Late",IF(T:T=Table1[[#This Row],[Estimated_Days_to_Deliver]],"Intime","BeforeTime"))</f>
        <v>Late</v>
      </c>
      <c r="AA238" s="4">
        <f>MONTH(Table1[[#This Row],[Order_Date]])</f>
        <v>10</v>
      </c>
      <c r="AB238" s="13">
        <f>Table1[[#This Row],[Amount]]*Table1[[#This Row],[Discount_Percent]]</f>
        <v>218.18400000000003</v>
      </c>
    </row>
    <row r="239" spans="1:28" ht="14.25" customHeight="1">
      <c r="A239" s="1" t="s">
        <v>642</v>
      </c>
      <c r="B239" s="1" t="s">
        <v>150</v>
      </c>
      <c r="C239" s="1" t="s">
        <v>643</v>
      </c>
      <c r="D239" s="1">
        <v>44</v>
      </c>
      <c r="E239" s="1" t="s">
        <v>54</v>
      </c>
      <c r="F239" s="1" t="s">
        <v>92</v>
      </c>
      <c r="G239" s="1" t="s">
        <v>644</v>
      </c>
      <c r="H239" s="1" t="s">
        <v>645</v>
      </c>
      <c r="I239" s="1" t="s">
        <v>1191</v>
      </c>
      <c r="J239" s="24">
        <v>45109</v>
      </c>
      <c r="K239" s="1" t="s">
        <v>1192</v>
      </c>
      <c r="L239" s="1" t="s">
        <v>660</v>
      </c>
      <c r="M239" s="1">
        <v>235.63</v>
      </c>
      <c r="N239" s="1">
        <v>5</v>
      </c>
      <c r="O239" s="1" t="s">
        <v>87</v>
      </c>
      <c r="P239" s="1">
        <v>5</v>
      </c>
      <c r="Q239" s="1">
        <v>63</v>
      </c>
      <c r="R239" s="24">
        <v>45114</v>
      </c>
      <c r="S239" s="1" t="s">
        <v>1193</v>
      </c>
      <c r="T239" s="4">
        <f>Table1[[#This Row],[Delivery_Date]]-Table1[[#This Row],[Order_Date]]</f>
        <v>5</v>
      </c>
      <c r="U239" s="4">
        <f>Table1[[#This Row],[Price]]*Table1[[#This Row],[Quantity]]</f>
        <v>1178.1500000000001</v>
      </c>
      <c r="V239" s="11">
        <f t="shared" si="3"/>
        <v>0.2</v>
      </c>
      <c r="W239" s="4">
        <f>Table1[[#This Row],[Amount]]-(Table1[[#This Row],[Amount]]*Table1[[#This Row],[Discount_Percent]])</f>
        <v>942.5200000000001</v>
      </c>
      <c r="X239" s="4">
        <f>IF(O239="DEL0", Table1[[#This Row],[Discounted_Amount]],Table1[[#This Row],[Discounted_Amount]]+Table1[[#This Row],[Delivery_Charge]])</f>
        <v>1005.5200000000001</v>
      </c>
      <c r="Y239" s="4" t="str">
        <f>Table1[[#This Row],[First_Name]]&amp;" "&amp;Table1[[#This Row],[Last_Name]]</f>
        <v>Amy Ellis</v>
      </c>
      <c r="Z239" s="4" t="str">
        <f>IF(T:T&gt;Table1[[#This Row],[Estimated_Days_to_Deliver]],"Late",IF(T:T=Table1[[#This Row],[Estimated_Days_to_Deliver]],"Intime","BeforeTime"))</f>
        <v>Intime</v>
      </c>
      <c r="AA239" s="4">
        <f>MONTH(Table1[[#This Row],[Order_Date]])</f>
        <v>7</v>
      </c>
      <c r="AB239" s="13">
        <f>Table1[[#This Row],[Amount]]*Table1[[#This Row],[Discount_Percent]]</f>
        <v>235.63000000000002</v>
      </c>
    </row>
    <row r="240" spans="1:28" ht="14.25" customHeight="1">
      <c r="A240" s="1" t="s">
        <v>1194</v>
      </c>
      <c r="B240" s="1" t="s">
        <v>42</v>
      </c>
      <c r="C240" s="1" t="s">
        <v>1195</v>
      </c>
      <c r="D240" s="1">
        <v>34</v>
      </c>
      <c r="E240" s="1" t="s">
        <v>54</v>
      </c>
      <c r="F240" s="1" t="s">
        <v>223</v>
      </c>
      <c r="G240" s="1" t="s">
        <v>1196</v>
      </c>
      <c r="H240" s="1" t="s">
        <v>1197</v>
      </c>
      <c r="I240" s="1" t="s">
        <v>1198</v>
      </c>
      <c r="J240" s="24">
        <v>45595</v>
      </c>
      <c r="K240" s="1" t="s">
        <v>1199</v>
      </c>
      <c r="L240" s="1" t="s">
        <v>566</v>
      </c>
      <c r="M240" s="1">
        <v>133.62</v>
      </c>
      <c r="N240" s="1">
        <v>1</v>
      </c>
      <c r="O240" s="1" t="s">
        <v>38</v>
      </c>
      <c r="P240" s="1">
        <v>5</v>
      </c>
      <c r="Q240" s="1">
        <v>57</v>
      </c>
      <c r="R240" s="24">
        <v>45602</v>
      </c>
      <c r="S240" s="1" t="s">
        <v>1200</v>
      </c>
      <c r="T240" s="4">
        <f>Table1[[#This Row],[Delivery_Date]]-Table1[[#This Row],[Order_Date]]</f>
        <v>7</v>
      </c>
      <c r="U240" s="4">
        <f>Table1[[#This Row],[Price]]*Table1[[#This Row],[Quantity]]</f>
        <v>133.62</v>
      </c>
      <c r="V240" s="11">
        <f t="shared" si="3"/>
        <v>0.08</v>
      </c>
      <c r="W240" s="4">
        <f>Table1[[#This Row],[Amount]]-(Table1[[#This Row],[Amount]]*Table1[[#This Row],[Discount_Percent]])</f>
        <v>122.93040000000001</v>
      </c>
      <c r="X240" s="4">
        <f>IF(O240="DEL0", Table1[[#This Row],[Discounted_Amount]],Table1[[#This Row],[Discounted_Amount]]+Table1[[#This Row],[Delivery_Charge]])</f>
        <v>179.93040000000002</v>
      </c>
      <c r="Y240" s="4" t="str">
        <f>Table1[[#This Row],[First_Name]]&amp;" "&amp;Table1[[#This Row],[Last_Name]]</f>
        <v>Thomas Owens</v>
      </c>
      <c r="Z240" s="4" t="str">
        <f>IF(T:T&gt;Table1[[#This Row],[Estimated_Days_to_Deliver]],"Late",IF(T:T=Table1[[#This Row],[Estimated_Days_to_Deliver]],"Intime","BeforeTime"))</f>
        <v>Late</v>
      </c>
      <c r="AA240" s="4">
        <f>MONTH(Table1[[#This Row],[Order_Date]])</f>
        <v>10</v>
      </c>
      <c r="AB240" s="13">
        <f>Table1[[#This Row],[Amount]]*Table1[[#This Row],[Discount_Percent]]</f>
        <v>10.6896</v>
      </c>
    </row>
    <row r="241" spans="1:28" ht="14.25" customHeight="1">
      <c r="A241" s="1" t="s">
        <v>296</v>
      </c>
      <c r="B241" s="1" t="s">
        <v>297</v>
      </c>
      <c r="C241" s="1" t="s">
        <v>298</v>
      </c>
      <c r="D241" s="1">
        <v>48</v>
      </c>
      <c r="E241" s="1" t="s">
        <v>43</v>
      </c>
      <c r="F241" s="1" t="s">
        <v>92</v>
      </c>
      <c r="G241" s="1" t="s">
        <v>299</v>
      </c>
      <c r="H241" s="1" t="s">
        <v>300</v>
      </c>
      <c r="I241" s="1" t="s">
        <v>1201</v>
      </c>
      <c r="J241" s="24">
        <v>45616</v>
      </c>
      <c r="K241" s="1" t="s">
        <v>1202</v>
      </c>
      <c r="L241" s="1" t="s">
        <v>249</v>
      </c>
      <c r="M241" s="1">
        <v>282.63</v>
      </c>
      <c r="N241" s="1">
        <v>4</v>
      </c>
      <c r="O241" s="1" t="s">
        <v>98</v>
      </c>
      <c r="P241" s="1">
        <v>5</v>
      </c>
      <c r="Q241" s="1">
        <v>60</v>
      </c>
      <c r="R241" s="24">
        <v>45618</v>
      </c>
      <c r="S241" s="1" t="s">
        <v>1203</v>
      </c>
      <c r="T241" s="4">
        <f>Table1[[#This Row],[Delivery_Date]]-Table1[[#This Row],[Order_Date]]</f>
        <v>2</v>
      </c>
      <c r="U241" s="4">
        <f>Table1[[#This Row],[Price]]*Table1[[#This Row],[Quantity]]</f>
        <v>1130.52</v>
      </c>
      <c r="V241" s="11">
        <f t="shared" si="3"/>
        <v>0.1</v>
      </c>
      <c r="W241" s="4">
        <f>Table1[[#This Row],[Amount]]-(Table1[[#This Row],[Amount]]*Table1[[#This Row],[Discount_Percent]])</f>
        <v>1017.468</v>
      </c>
      <c r="X241" s="4">
        <f>IF(O241="DEL0", Table1[[#This Row],[Discounted_Amount]],Table1[[#This Row],[Discounted_Amount]]+Table1[[#This Row],[Delivery_Charge]])</f>
        <v>1077.4679999999998</v>
      </c>
      <c r="Y241" s="4" t="str">
        <f>Table1[[#This Row],[First_Name]]&amp;" "&amp;Table1[[#This Row],[Last_Name]]</f>
        <v>Heather Schneider</v>
      </c>
      <c r="Z241" s="4" t="str">
        <f>IF(T:T&gt;Table1[[#This Row],[Estimated_Days_to_Deliver]],"Late",IF(T:T=Table1[[#This Row],[Estimated_Days_to_Deliver]],"Intime","BeforeTime"))</f>
        <v>BeforeTime</v>
      </c>
      <c r="AA241" s="4">
        <f>MONTH(Table1[[#This Row],[Order_Date]])</f>
        <v>11</v>
      </c>
      <c r="AB241" s="13">
        <f>Table1[[#This Row],[Amount]]*Table1[[#This Row],[Discount_Percent]]</f>
        <v>113.05200000000001</v>
      </c>
    </row>
    <row r="242" spans="1:28" ht="14.25" customHeight="1">
      <c r="A242" s="1" t="s">
        <v>319</v>
      </c>
      <c r="B242" s="1" t="s">
        <v>320</v>
      </c>
      <c r="C242" s="1" t="s">
        <v>321</v>
      </c>
      <c r="D242" s="1">
        <v>45</v>
      </c>
      <c r="E242" s="1" t="s">
        <v>31</v>
      </c>
      <c r="F242" s="1" t="s">
        <v>44</v>
      </c>
      <c r="G242" s="1" t="s">
        <v>322</v>
      </c>
      <c r="H242" s="1" t="s">
        <v>323</v>
      </c>
      <c r="I242" s="1" t="s">
        <v>1204</v>
      </c>
      <c r="J242" s="24">
        <v>45271</v>
      </c>
      <c r="K242" s="1" t="s">
        <v>1205</v>
      </c>
      <c r="L242" s="1" t="s">
        <v>49</v>
      </c>
      <c r="M242" s="1">
        <v>166.28</v>
      </c>
      <c r="N242" s="1">
        <v>3</v>
      </c>
      <c r="O242" s="1" t="s">
        <v>98</v>
      </c>
      <c r="P242" s="1">
        <v>5</v>
      </c>
      <c r="Q242" s="1">
        <v>59</v>
      </c>
      <c r="R242" s="24">
        <v>45275</v>
      </c>
      <c r="S242" s="1" t="s">
        <v>1206</v>
      </c>
      <c r="T242" s="4">
        <f>Table1[[#This Row],[Delivery_Date]]-Table1[[#This Row],[Order_Date]]</f>
        <v>4</v>
      </c>
      <c r="U242" s="4">
        <f>Table1[[#This Row],[Price]]*Table1[[#This Row],[Quantity]]</f>
        <v>498.84000000000003</v>
      </c>
      <c r="V242" s="11">
        <f t="shared" si="3"/>
        <v>0.1</v>
      </c>
      <c r="W242" s="4">
        <f>Table1[[#This Row],[Amount]]-(Table1[[#This Row],[Amount]]*Table1[[#This Row],[Discount_Percent]])</f>
        <v>448.95600000000002</v>
      </c>
      <c r="X242" s="4">
        <f>IF(O242="DEL0", Table1[[#This Row],[Discounted_Amount]],Table1[[#This Row],[Discounted_Amount]]+Table1[[#This Row],[Delivery_Charge]])</f>
        <v>507.95600000000002</v>
      </c>
      <c r="Y242" s="4" t="str">
        <f>Table1[[#This Row],[First_Name]]&amp;" "&amp;Table1[[#This Row],[Last_Name]]</f>
        <v>Jenny Estrada</v>
      </c>
      <c r="Z242" s="4" t="str">
        <f>IF(T:T&gt;Table1[[#This Row],[Estimated_Days_to_Deliver]],"Late",IF(T:T=Table1[[#This Row],[Estimated_Days_to_Deliver]],"Intime","BeforeTime"))</f>
        <v>BeforeTime</v>
      </c>
      <c r="AA242" s="4">
        <f>MONTH(Table1[[#This Row],[Order_Date]])</f>
        <v>12</v>
      </c>
      <c r="AB242" s="13">
        <f>Table1[[#This Row],[Amount]]*Table1[[#This Row],[Discount_Percent]]</f>
        <v>49.884000000000007</v>
      </c>
    </row>
    <row r="243" spans="1:28" ht="14.25" customHeight="1">
      <c r="A243" s="1" t="s">
        <v>779</v>
      </c>
      <c r="B243" s="1" t="s">
        <v>780</v>
      </c>
      <c r="C243" s="1" t="s">
        <v>781</v>
      </c>
      <c r="D243" s="1">
        <v>32</v>
      </c>
      <c r="E243" s="1" t="s">
        <v>31</v>
      </c>
      <c r="F243" s="1" t="s">
        <v>161</v>
      </c>
      <c r="G243" s="1" t="s">
        <v>782</v>
      </c>
      <c r="H243" s="1" t="s">
        <v>783</v>
      </c>
      <c r="I243" s="1" t="s">
        <v>1207</v>
      </c>
      <c r="J243" s="24">
        <v>45117</v>
      </c>
      <c r="K243" s="1" t="s">
        <v>1208</v>
      </c>
      <c r="L243" s="1" t="s">
        <v>556</v>
      </c>
      <c r="M243" s="1">
        <v>425.59</v>
      </c>
      <c r="N243" s="1">
        <v>5</v>
      </c>
      <c r="O243" s="1" t="s">
        <v>38</v>
      </c>
      <c r="P243" s="1">
        <v>5</v>
      </c>
      <c r="Q243" s="1">
        <v>57</v>
      </c>
      <c r="R243" s="24">
        <v>45124</v>
      </c>
      <c r="S243" s="1" t="s">
        <v>1209</v>
      </c>
      <c r="T243" s="4">
        <f>Table1[[#This Row],[Delivery_Date]]-Table1[[#This Row],[Order_Date]]</f>
        <v>7</v>
      </c>
      <c r="U243" s="4">
        <f>Table1[[#This Row],[Price]]*Table1[[#This Row],[Quantity]]</f>
        <v>2127.9499999999998</v>
      </c>
      <c r="V243" s="11">
        <f t="shared" si="3"/>
        <v>0.08</v>
      </c>
      <c r="W243" s="4">
        <f>Table1[[#This Row],[Amount]]-(Table1[[#This Row],[Amount]]*Table1[[#This Row],[Discount_Percent]])</f>
        <v>1957.7139999999999</v>
      </c>
      <c r="X243" s="4">
        <f>IF(O243="DEL0", Table1[[#This Row],[Discounted_Amount]],Table1[[#This Row],[Discounted_Amount]]+Table1[[#This Row],[Delivery_Charge]])</f>
        <v>2014.7139999999999</v>
      </c>
      <c r="Y243" s="4" t="str">
        <f>Table1[[#This Row],[First_Name]]&amp;" "&amp;Table1[[#This Row],[Last_Name]]</f>
        <v>Lindsey Byrd</v>
      </c>
      <c r="Z243" s="4" t="str">
        <f>IF(T:T&gt;Table1[[#This Row],[Estimated_Days_to_Deliver]],"Late",IF(T:T=Table1[[#This Row],[Estimated_Days_to_Deliver]],"Intime","BeforeTime"))</f>
        <v>Late</v>
      </c>
      <c r="AA243" s="4">
        <f>MONTH(Table1[[#This Row],[Order_Date]])</f>
        <v>7</v>
      </c>
      <c r="AB243" s="13">
        <f>Table1[[#This Row],[Amount]]*Table1[[#This Row],[Discount_Percent]]</f>
        <v>170.23599999999999</v>
      </c>
    </row>
    <row r="244" spans="1:28" ht="14.25" customHeight="1">
      <c r="A244" s="1" t="s">
        <v>486</v>
      </c>
      <c r="B244" s="1" t="s">
        <v>487</v>
      </c>
      <c r="C244" s="1" t="s">
        <v>132</v>
      </c>
      <c r="D244" s="1">
        <v>68</v>
      </c>
      <c r="E244" s="1" t="s">
        <v>54</v>
      </c>
      <c r="F244" s="1" t="s">
        <v>223</v>
      </c>
      <c r="G244" s="1" t="s">
        <v>488</v>
      </c>
      <c r="H244" s="1" t="s">
        <v>489</v>
      </c>
      <c r="I244" s="1" t="s">
        <v>1210</v>
      </c>
      <c r="J244" s="24">
        <v>45417</v>
      </c>
      <c r="K244" s="1" t="s">
        <v>1211</v>
      </c>
      <c r="L244" s="1" t="s">
        <v>97</v>
      </c>
      <c r="M244" s="1">
        <v>363.64</v>
      </c>
      <c r="N244" s="1">
        <v>5</v>
      </c>
      <c r="O244" s="1" t="s">
        <v>98</v>
      </c>
      <c r="P244" s="1">
        <v>5</v>
      </c>
      <c r="Q244" s="1">
        <v>60</v>
      </c>
      <c r="R244" s="24">
        <v>45419</v>
      </c>
      <c r="S244" s="1" t="s">
        <v>1212</v>
      </c>
      <c r="T244" s="4">
        <f>Table1[[#This Row],[Delivery_Date]]-Table1[[#This Row],[Order_Date]]</f>
        <v>2</v>
      </c>
      <c r="U244" s="4">
        <f>Table1[[#This Row],[Price]]*Table1[[#This Row],[Quantity]]</f>
        <v>1818.1999999999998</v>
      </c>
      <c r="V244" s="11">
        <f t="shared" si="3"/>
        <v>0.1</v>
      </c>
      <c r="W244" s="4">
        <f>Table1[[#This Row],[Amount]]-(Table1[[#This Row],[Amount]]*Table1[[#This Row],[Discount_Percent]])</f>
        <v>1636.3799999999999</v>
      </c>
      <c r="X244" s="4">
        <f>IF(O244="DEL0", Table1[[#This Row],[Discounted_Amount]],Table1[[#This Row],[Discounted_Amount]]+Table1[[#This Row],[Delivery_Charge]])</f>
        <v>1696.3799999999999</v>
      </c>
      <c r="Y244" s="4" t="str">
        <f>Table1[[#This Row],[First_Name]]&amp;" "&amp;Table1[[#This Row],[Last_Name]]</f>
        <v>Brittany Stewart</v>
      </c>
      <c r="Z244" s="4" t="str">
        <f>IF(T:T&gt;Table1[[#This Row],[Estimated_Days_to_Deliver]],"Late",IF(T:T=Table1[[#This Row],[Estimated_Days_to_Deliver]],"Intime","BeforeTime"))</f>
        <v>BeforeTime</v>
      </c>
      <c r="AA244" s="4">
        <f>MONTH(Table1[[#This Row],[Order_Date]])</f>
        <v>5</v>
      </c>
      <c r="AB244" s="13">
        <f>Table1[[#This Row],[Amount]]*Table1[[#This Row],[Discount_Percent]]</f>
        <v>181.82</v>
      </c>
    </row>
    <row r="245" spans="1:28" ht="14.25" customHeight="1">
      <c r="A245" s="1" t="s">
        <v>1213</v>
      </c>
      <c r="B245" s="1" t="s">
        <v>1214</v>
      </c>
      <c r="C245" s="1" t="s">
        <v>1215</v>
      </c>
      <c r="D245" s="1">
        <v>50</v>
      </c>
      <c r="E245" s="1" t="s">
        <v>54</v>
      </c>
      <c r="F245" s="1" t="s">
        <v>170</v>
      </c>
      <c r="G245" s="1" t="s">
        <v>1216</v>
      </c>
      <c r="H245" s="1" t="s">
        <v>1217</v>
      </c>
      <c r="I245" s="1" t="s">
        <v>1218</v>
      </c>
      <c r="J245" s="24">
        <v>45470</v>
      </c>
      <c r="K245" s="1" t="s">
        <v>1219</v>
      </c>
      <c r="L245" s="1" t="s">
        <v>593</v>
      </c>
      <c r="M245" s="1">
        <v>403.03</v>
      </c>
      <c r="N245" s="1">
        <v>5</v>
      </c>
      <c r="O245" s="1" t="s">
        <v>87</v>
      </c>
      <c r="P245" s="1">
        <v>5</v>
      </c>
      <c r="Q245" s="1">
        <v>52</v>
      </c>
      <c r="R245" s="24">
        <v>45475</v>
      </c>
      <c r="S245" s="1" t="s">
        <v>1220</v>
      </c>
      <c r="T245" s="4">
        <f>Table1[[#This Row],[Delivery_Date]]-Table1[[#This Row],[Order_Date]]</f>
        <v>5</v>
      </c>
      <c r="U245" s="4">
        <f>Table1[[#This Row],[Price]]*Table1[[#This Row],[Quantity]]</f>
        <v>2015.1499999999999</v>
      </c>
      <c r="V245" s="11">
        <f t="shared" si="3"/>
        <v>0.2</v>
      </c>
      <c r="W245" s="4">
        <f>Table1[[#This Row],[Amount]]-(Table1[[#This Row],[Amount]]*Table1[[#This Row],[Discount_Percent]])</f>
        <v>1612.12</v>
      </c>
      <c r="X245" s="4">
        <f>IF(O245="DEL0", Table1[[#This Row],[Discounted_Amount]],Table1[[#This Row],[Discounted_Amount]]+Table1[[#This Row],[Delivery_Charge]])</f>
        <v>1664.12</v>
      </c>
      <c r="Y245" s="4" t="str">
        <f>Table1[[#This Row],[First_Name]]&amp;" "&amp;Table1[[#This Row],[Last_Name]]</f>
        <v>Brendan Kelly</v>
      </c>
      <c r="Z245" s="4" t="str">
        <f>IF(T:T&gt;Table1[[#This Row],[Estimated_Days_to_Deliver]],"Late",IF(T:T=Table1[[#This Row],[Estimated_Days_to_Deliver]],"Intime","BeforeTime"))</f>
        <v>Intime</v>
      </c>
      <c r="AA245" s="4">
        <f>MONTH(Table1[[#This Row],[Order_Date]])</f>
        <v>6</v>
      </c>
      <c r="AB245" s="13">
        <f>Table1[[#This Row],[Amount]]*Table1[[#This Row],[Discount_Percent]]</f>
        <v>403.03</v>
      </c>
    </row>
    <row r="246" spans="1:28" ht="14.25" customHeight="1">
      <c r="A246" s="1" t="s">
        <v>523</v>
      </c>
      <c r="B246" s="1" t="s">
        <v>524</v>
      </c>
      <c r="C246" s="1" t="s">
        <v>525</v>
      </c>
      <c r="D246" s="1">
        <v>42</v>
      </c>
      <c r="E246" s="1" t="s">
        <v>54</v>
      </c>
      <c r="F246" s="1" t="s">
        <v>78</v>
      </c>
      <c r="G246" s="1" t="s">
        <v>526</v>
      </c>
      <c r="H246" s="1" t="s">
        <v>527</v>
      </c>
      <c r="I246" s="1" t="s">
        <v>1221</v>
      </c>
      <c r="J246" s="24">
        <v>44968</v>
      </c>
      <c r="K246" s="1" t="s">
        <v>1222</v>
      </c>
      <c r="L246" s="1" t="s">
        <v>433</v>
      </c>
      <c r="M246" s="1">
        <v>369.03</v>
      </c>
      <c r="N246" s="1">
        <v>1</v>
      </c>
      <c r="O246" s="1" t="s">
        <v>87</v>
      </c>
      <c r="P246" s="1">
        <v>5</v>
      </c>
      <c r="Q246" s="1">
        <v>38</v>
      </c>
      <c r="R246" s="24">
        <v>44974</v>
      </c>
      <c r="S246" s="1" t="s">
        <v>1223</v>
      </c>
      <c r="T246" s="4">
        <f>Table1[[#This Row],[Delivery_Date]]-Table1[[#This Row],[Order_Date]]</f>
        <v>6</v>
      </c>
      <c r="U246" s="4">
        <f>Table1[[#This Row],[Price]]*Table1[[#This Row],[Quantity]]</f>
        <v>369.03</v>
      </c>
      <c r="V246" s="11">
        <f t="shared" si="3"/>
        <v>0.2</v>
      </c>
      <c r="W246" s="4">
        <f>Table1[[#This Row],[Amount]]-(Table1[[#This Row],[Amount]]*Table1[[#This Row],[Discount_Percent]])</f>
        <v>295.22399999999999</v>
      </c>
      <c r="X246" s="4">
        <f>IF(O246="DEL0", Table1[[#This Row],[Discounted_Amount]],Table1[[#This Row],[Discounted_Amount]]+Table1[[#This Row],[Delivery_Charge]])</f>
        <v>333.22399999999999</v>
      </c>
      <c r="Y246" s="4" t="str">
        <f>Table1[[#This Row],[First_Name]]&amp;" "&amp;Table1[[#This Row],[Last_Name]]</f>
        <v>Katherine Weber</v>
      </c>
      <c r="Z246" s="4" t="str">
        <f>IF(T:T&gt;Table1[[#This Row],[Estimated_Days_to_Deliver]],"Late",IF(T:T=Table1[[#This Row],[Estimated_Days_to_Deliver]],"Intime","BeforeTime"))</f>
        <v>Late</v>
      </c>
      <c r="AA246" s="4">
        <f>MONTH(Table1[[#This Row],[Order_Date]])</f>
        <v>2</v>
      </c>
      <c r="AB246" s="13">
        <f>Table1[[#This Row],[Amount]]*Table1[[#This Row],[Discount_Percent]]</f>
        <v>73.805999999999997</v>
      </c>
    </row>
    <row r="247" spans="1:28" ht="14.25" customHeight="1">
      <c r="A247" s="1" t="s">
        <v>1224</v>
      </c>
      <c r="B247" s="1" t="s">
        <v>1225</v>
      </c>
      <c r="C247" s="1" t="s">
        <v>1226</v>
      </c>
      <c r="D247" s="1">
        <v>19</v>
      </c>
      <c r="E247" s="1" t="s">
        <v>43</v>
      </c>
      <c r="F247" s="1" t="s">
        <v>78</v>
      </c>
      <c r="G247" s="1" t="s">
        <v>1227</v>
      </c>
      <c r="H247" s="1" t="s">
        <v>1228</v>
      </c>
      <c r="I247" s="1" t="s">
        <v>1229</v>
      </c>
      <c r="J247" s="24">
        <v>45453</v>
      </c>
      <c r="K247" s="1" t="s">
        <v>1230</v>
      </c>
      <c r="L247" s="1" t="s">
        <v>498</v>
      </c>
      <c r="M247" s="1">
        <v>421.7</v>
      </c>
      <c r="N247" s="1">
        <v>5</v>
      </c>
      <c r="O247" s="1" t="s">
        <v>98</v>
      </c>
      <c r="P247" s="1">
        <v>5</v>
      </c>
      <c r="Q247" s="1">
        <v>61</v>
      </c>
      <c r="R247" s="24">
        <v>45457</v>
      </c>
      <c r="S247" s="1" t="s">
        <v>1231</v>
      </c>
      <c r="T247" s="4">
        <f>Table1[[#This Row],[Delivery_Date]]-Table1[[#This Row],[Order_Date]]</f>
        <v>4</v>
      </c>
      <c r="U247" s="4">
        <f>Table1[[#This Row],[Price]]*Table1[[#This Row],[Quantity]]</f>
        <v>2108.5</v>
      </c>
      <c r="V247" s="11">
        <f t="shared" si="3"/>
        <v>0.1</v>
      </c>
      <c r="W247" s="4">
        <f>Table1[[#This Row],[Amount]]-(Table1[[#This Row],[Amount]]*Table1[[#This Row],[Discount_Percent]])</f>
        <v>1897.65</v>
      </c>
      <c r="X247" s="4">
        <f>IF(O247="DEL0", Table1[[#This Row],[Discounted_Amount]],Table1[[#This Row],[Discounted_Amount]]+Table1[[#This Row],[Delivery_Charge]])</f>
        <v>1958.65</v>
      </c>
      <c r="Y247" s="4" t="str">
        <f>Table1[[#This Row],[First_Name]]&amp;" "&amp;Table1[[#This Row],[Last_Name]]</f>
        <v>Jessica Ruiz</v>
      </c>
      <c r="Z247" s="4" t="str">
        <f>IF(T:T&gt;Table1[[#This Row],[Estimated_Days_to_Deliver]],"Late",IF(T:T=Table1[[#This Row],[Estimated_Days_to_Deliver]],"Intime","BeforeTime"))</f>
        <v>BeforeTime</v>
      </c>
      <c r="AA247" s="4">
        <f>MONTH(Table1[[#This Row],[Order_Date]])</f>
        <v>6</v>
      </c>
      <c r="AB247" s="13">
        <f>Table1[[#This Row],[Amount]]*Table1[[#This Row],[Discount_Percent]]</f>
        <v>210.85000000000002</v>
      </c>
    </row>
    <row r="248" spans="1:28" ht="14.25" customHeight="1">
      <c r="A248" s="1" t="s">
        <v>1082</v>
      </c>
      <c r="B248" s="1" t="s">
        <v>221</v>
      </c>
      <c r="C248" s="1" t="s">
        <v>1083</v>
      </c>
      <c r="D248" s="1">
        <v>55</v>
      </c>
      <c r="E248" s="1" t="s">
        <v>43</v>
      </c>
      <c r="F248" s="1" t="s">
        <v>161</v>
      </c>
      <c r="G248" s="1" t="s">
        <v>1084</v>
      </c>
      <c r="H248" s="1" t="s">
        <v>1085</v>
      </c>
      <c r="I248" s="1" t="s">
        <v>1232</v>
      </c>
      <c r="J248" s="24">
        <v>45608</v>
      </c>
      <c r="K248" s="1" t="s">
        <v>1233</v>
      </c>
      <c r="L248" s="1" t="s">
        <v>751</v>
      </c>
      <c r="M248" s="1">
        <v>381.73</v>
      </c>
      <c r="N248" s="1">
        <v>4</v>
      </c>
      <c r="O248" s="1" t="s">
        <v>38</v>
      </c>
      <c r="P248" s="1">
        <v>5</v>
      </c>
      <c r="Q248" s="1">
        <v>58</v>
      </c>
      <c r="R248" s="24">
        <v>45613</v>
      </c>
      <c r="S248" s="1" t="s">
        <v>1234</v>
      </c>
      <c r="T248" s="4">
        <f>Table1[[#This Row],[Delivery_Date]]-Table1[[#This Row],[Order_Date]]</f>
        <v>5</v>
      </c>
      <c r="U248" s="4">
        <f>Table1[[#This Row],[Price]]*Table1[[#This Row],[Quantity]]</f>
        <v>1526.92</v>
      </c>
      <c r="V248" s="11">
        <f t="shared" si="3"/>
        <v>0.08</v>
      </c>
      <c r="W248" s="4">
        <f>Table1[[#This Row],[Amount]]-(Table1[[#This Row],[Amount]]*Table1[[#This Row],[Discount_Percent]])</f>
        <v>1404.7664</v>
      </c>
      <c r="X248" s="4">
        <f>IF(O248="DEL0", Table1[[#This Row],[Discounted_Amount]],Table1[[#This Row],[Discounted_Amount]]+Table1[[#This Row],[Delivery_Charge]])</f>
        <v>1462.7664</v>
      </c>
      <c r="Y248" s="4" t="str">
        <f>Table1[[#This Row],[First_Name]]&amp;" "&amp;Table1[[#This Row],[Last_Name]]</f>
        <v>Mark Summers</v>
      </c>
      <c r="Z248" s="4" t="str">
        <f>IF(T:T&gt;Table1[[#This Row],[Estimated_Days_to_Deliver]],"Late",IF(T:T=Table1[[#This Row],[Estimated_Days_to_Deliver]],"Intime","BeforeTime"))</f>
        <v>Intime</v>
      </c>
      <c r="AA248" s="4">
        <f>MONTH(Table1[[#This Row],[Order_Date]])</f>
        <v>11</v>
      </c>
      <c r="AB248" s="13">
        <f>Table1[[#This Row],[Amount]]*Table1[[#This Row],[Discount_Percent]]</f>
        <v>122.15360000000001</v>
      </c>
    </row>
    <row r="249" spans="1:28" ht="14.25" customHeight="1">
      <c r="A249" s="1" t="s">
        <v>727</v>
      </c>
      <c r="B249" s="1" t="s">
        <v>728</v>
      </c>
      <c r="C249" s="1" t="s">
        <v>169</v>
      </c>
      <c r="D249" s="1">
        <v>70</v>
      </c>
      <c r="E249" s="1" t="s">
        <v>43</v>
      </c>
      <c r="F249" s="1" t="s">
        <v>92</v>
      </c>
      <c r="G249" s="1" t="s">
        <v>729</v>
      </c>
      <c r="H249" s="1" t="s">
        <v>730</v>
      </c>
      <c r="I249" s="1" t="s">
        <v>1235</v>
      </c>
      <c r="J249" s="24">
        <v>45386</v>
      </c>
      <c r="K249" s="1" t="s">
        <v>1236</v>
      </c>
      <c r="L249" s="1" t="s">
        <v>137</v>
      </c>
      <c r="M249" s="1">
        <v>175.93</v>
      </c>
      <c r="N249" s="1">
        <v>2</v>
      </c>
      <c r="O249" s="1" t="s">
        <v>98</v>
      </c>
      <c r="P249" s="1">
        <v>5</v>
      </c>
      <c r="Q249" s="1">
        <v>61</v>
      </c>
      <c r="R249" s="24">
        <v>45391</v>
      </c>
      <c r="S249" s="1" t="s">
        <v>1237</v>
      </c>
      <c r="T249" s="4">
        <f>Table1[[#This Row],[Delivery_Date]]-Table1[[#This Row],[Order_Date]]</f>
        <v>5</v>
      </c>
      <c r="U249" s="4">
        <f>Table1[[#This Row],[Price]]*Table1[[#This Row],[Quantity]]</f>
        <v>351.86</v>
      </c>
      <c r="V249" s="11">
        <f t="shared" si="3"/>
        <v>0.1</v>
      </c>
      <c r="W249" s="4">
        <f>Table1[[#This Row],[Amount]]-(Table1[[#This Row],[Amount]]*Table1[[#This Row],[Discount_Percent]])</f>
        <v>316.67400000000004</v>
      </c>
      <c r="X249" s="4">
        <f>IF(O249="DEL0", Table1[[#This Row],[Discounted_Amount]],Table1[[#This Row],[Discounted_Amount]]+Table1[[#This Row],[Delivery_Charge]])</f>
        <v>377.67400000000004</v>
      </c>
      <c r="Y249" s="4" t="str">
        <f>Table1[[#This Row],[First_Name]]&amp;" "&amp;Table1[[#This Row],[Last_Name]]</f>
        <v>Lisa Miller</v>
      </c>
      <c r="Z249" s="4" t="str">
        <f>IF(T:T&gt;Table1[[#This Row],[Estimated_Days_to_Deliver]],"Late",IF(T:T=Table1[[#This Row],[Estimated_Days_to_Deliver]],"Intime","BeforeTime"))</f>
        <v>Intime</v>
      </c>
      <c r="AA249" s="4">
        <f>MONTH(Table1[[#This Row],[Order_Date]])</f>
        <v>4</v>
      </c>
      <c r="AB249" s="13">
        <f>Table1[[#This Row],[Amount]]*Table1[[#This Row],[Discount_Percent]]</f>
        <v>35.186</v>
      </c>
    </row>
    <row r="250" spans="1:28" ht="14.25" customHeight="1">
      <c r="A250" s="1" t="s">
        <v>415</v>
      </c>
      <c r="B250" s="1" t="s">
        <v>231</v>
      </c>
      <c r="C250" s="1" t="s">
        <v>416</v>
      </c>
      <c r="D250" s="1">
        <v>28</v>
      </c>
      <c r="E250" s="1" t="s">
        <v>54</v>
      </c>
      <c r="F250" s="1" t="s">
        <v>142</v>
      </c>
      <c r="G250" s="1" t="s">
        <v>417</v>
      </c>
      <c r="H250" s="1" t="s">
        <v>418</v>
      </c>
      <c r="I250" s="1" t="s">
        <v>1238</v>
      </c>
      <c r="J250" s="24">
        <v>45322</v>
      </c>
      <c r="K250" s="1" t="s">
        <v>1239</v>
      </c>
      <c r="L250" s="1" t="s">
        <v>751</v>
      </c>
      <c r="M250" s="1">
        <v>381.73</v>
      </c>
      <c r="N250" s="1">
        <v>2</v>
      </c>
      <c r="O250" s="1" t="s">
        <v>60</v>
      </c>
      <c r="P250" s="1">
        <v>5</v>
      </c>
      <c r="Q250" s="1">
        <v>68</v>
      </c>
      <c r="R250" s="24">
        <v>45329</v>
      </c>
      <c r="S250" s="1" t="s">
        <v>1240</v>
      </c>
      <c r="T250" s="4">
        <f>Table1[[#This Row],[Delivery_Date]]-Table1[[#This Row],[Order_Date]]</f>
        <v>7</v>
      </c>
      <c r="U250" s="4">
        <f>Table1[[#This Row],[Price]]*Table1[[#This Row],[Quantity]]</f>
        <v>763.46</v>
      </c>
      <c r="V250" s="11">
        <f t="shared" si="3"/>
        <v>0.15</v>
      </c>
      <c r="W250" s="4">
        <f>Table1[[#This Row],[Amount]]-(Table1[[#This Row],[Amount]]*Table1[[#This Row],[Discount_Percent]])</f>
        <v>648.94100000000003</v>
      </c>
      <c r="X250" s="4">
        <f>IF(O250="DEL0", Table1[[#This Row],[Discounted_Amount]],Table1[[#This Row],[Discounted_Amount]]+Table1[[#This Row],[Delivery_Charge]])</f>
        <v>716.94100000000003</v>
      </c>
      <c r="Y250" s="4" t="str">
        <f>Table1[[#This Row],[First_Name]]&amp;" "&amp;Table1[[#This Row],[Last_Name]]</f>
        <v>John Ramirez</v>
      </c>
      <c r="Z250" s="4" t="str">
        <f>IF(T:T&gt;Table1[[#This Row],[Estimated_Days_to_Deliver]],"Late",IF(T:T=Table1[[#This Row],[Estimated_Days_to_Deliver]],"Intime","BeforeTime"))</f>
        <v>Late</v>
      </c>
      <c r="AA250" s="4">
        <f>MONTH(Table1[[#This Row],[Order_Date]])</f>
        <v>1</v>
      </c>
      <c r="AB250" s="13">
        <f>Table1[[#This Row],[Amount]]*Table1[[#This Row],[Discount_Percent]]</f>
        <v>114.51900000000001</v>
      </c>
    </row>
    <row r="251" spans="1:28" ht="14.25" customHeight="1">
      <c r="A251" s="1" t="s">
        <v>1241</v>
      </c>
      <c r="B251" s="1" t="s">
        <v>1242</v>
      </c>
      <c r="C251" s="1" t="s">
        <v>1243</v>
      </c>
      <c r="D251" s="1">
        <v>55</v>
      </c>
      <c r="E251" s="1" t="s">
        <v>43</v>
      </c>
      <c r="F251" s="1" t="s">
        <v>161</v>
      </c>
      <c r="G251" s="1" t="s">
        <v>1244</v>
      </c>
      <c r="H251" s="1" t="s">
        <v>1245</v>
      </c>
      <c r="I251" s="1" t="s">
        <v>1246</v>
      </c>
      <c r="J251" s="24">
        <v>45470</v>
      </c>
      <c r="K251" s="1" t="s">
        <v>1247</v>
      </c>
      <c r="L251" s="1" t="s">
        <v>521</v>
      </c>
      <c r="M251" s="1">
        <v>441.03</v>
      </c>
      <c r="N251" s="1">
        <v>3</v>
      </c>
      <c r="O251" s="1" t="s">
        <v>65</v>
      </c>
      <c r="P251" s="1">
        <v>5</v>
      </c>
      <c r="Q251" s="1">
        <v>47</v>
      </c>
      <c r="R251" s="24">
        <v>45473</v>
      </c>
      <c r="S251" s="1" t="s">
        <v>1248</v>
      </c>
      <c r="T251" s="4">
        <f>Table1[[#This Row],[Delivery_Date]]-Table1[[#This Row],[Order_Date]]</f>
        <v>3</v>
      </c>
      <c r="U251" s="4">
        <f>Table1[[#This Row],[Price]]*Table1[[#This Row],[Quantity]]</f>
        <v>1323.09</v>
      </c>
      <c r="V251" s="11">
        <f t="shared" si="3"/>
        <v>0</v>
      </c>
      <c r="W251" s="4">
        <f>Table1[[#This Row],[Amount]]-(Table1[[#This Row],[Amount]]*Table1[[#This Row],[Discount_Percent]])</f>
        <v>1323.09</v>
      </c>
      <c r="X251" s="4">
        <f>IF(O251="DEL0", Table1[[#This Row],[Discounted_Amount]],Table1[[#This Row],[Discounted_Amount]]+Table1[[#This Row],[Delivery_Charge]])</f>
        <v>1323.09</v>
      </c>
      <c r="Y251" s="4" t="str">
        <f>Table1[[#This Row],[First_Name]]&amp;" "&amp;Table1[[#This Row],[Last_Name]]</f>
        <v>Hannah Gutierrez</v>
      </c>
      <c r="Z251" s="4" t="str">
        <f>IF(T:T&gt;Table1[[#This Row],[Estimated_Days_to_Deliver]],"Late",IF(T:T=Table1[[#This Row],[Estimated_Days_to_Deliver]],"Intime","BeforeTime"))</f>
        <v>BeforeTime</v>
      </c>
      <c r="AA251" s="4">
        <f>MONTH(Table1[[#This Row],[Order_Date]])</f>
        <v>6</v>
      </c>
      <c r="AB251" s="13">
        <f>Table1[[#This Row],[Amount]]*Table1[[#This Row],[Discount_Percent]]</f>
        <v>0</v>
      </c>
    </row>
    <row r="252" spans="1:28" ht="14.25" customHeight="1">
      <c r="A252" s="1" t="s">
        <v>1249</v>
      </c>
      <c r="B252" s="1" t="s">
        <v>68</v>
      </c>
      <c r="C252" s="1" t="s">
        <v>1250</v>
      </c>
      <c r="D252" s="1">
        <v>40</v>
      </c>
      <c r="E252" s="1" t="s">
        <v>31</v>
      </c>
      <c r="F252" s="1" t="s">
        <v>78</v>
      </c>
      <c r="G252" s="1" t="s">
        <v>1251</v>
      </c>
      <c r="H252" s="1" t="s">
        <v>1252</v>
      </c>
      <c r="I252" s="1" t="s">
        <v>1253</v>
      </c>
      <c r="J252" s="24">
        <v>45531</v>
      </c>
      <c r="K252" s="1" t="s">
        <v>1254</v>
      </c>
      <c r="L252" s="1" t="s">
        <v>517</v>
      </c>
      <c r="M252" s="1">
        <v>136.30000000000001</v>
      </c>
      <c r="N252" s="1">
        <v>2</v>
      </c>
      <c r="O252" s="1" t="s">
        <v>38</v>
      </c>
      <c r="P252" s="1">
        <v>5</v>
      </c>
      <c r="Q252" s="1">
        <v>58</v>
      </c>
      <c r="R252" s="24">
        <v>45533</v>
      </c>
      <c r="S252" s="1" t="s">
        <v>1255</v>
      </c>
      <c r="T252" s="4">
        <f>Table1[[#This Row],[Delivery_Date]]-Table1[[#This Row],[Order_Date]]</f>
        <v>2</v>
      </c>
      <c r="U252" s="4">
        <f>Table1[[#This Row],[Price]]*Table1[[#This Row],[Quantity]]</f>
        <v>272.60000000000002</v>
      </c>
      <c r="V252" s="11">
        <f t="shared" si="3"/>
        <v>0.08</v>
      </c>
      <c r="W252" s="4">
        <f>Table1[[#This Row],[Amount]]-(Table1[[#This Row],[Amount]]*Table1[[#This Row],[Discount_Percent]])</f>
        <v>250.79200000000003</v>
      </c>
      <c r="X252" s="4">
        <f>IF(O252="DEL0", Table1[[#This Row],[Discounted_Amount]],Table1[[#This Row],[Discounted_Amount]]+Table1[[#This Row],[Delivery_Charge]])</f>
        <v>308.79200000000003</v>
      </c>
      <c r="Y252" s="4" t="str">
        <f>Table1[[#This Row],[First_Name]]&amp;" "&amp;Table1[[#This Row],[Last_Name]]</f>
        <v>Angela Casey</v>
      </c>
      <c r="Z252" s="4" t="str">
        <f>IF(T:T&gt;Table1[[#This Row],[Estimated_Days_to_Deliver]],"Late",IF(T:T=Table1[[#This Row],[Estimated_Days_to_Deliver]],"Intime","BeforeTime"))</f>
        <v>BeforeTime</v>
      </c>
      <c r="AA252" s="4">
        <f>MONTH(Table1[[#This Row],[Order_Date]])</f>
        <v>8</v>
      </c>
      <c r="AB252" s="13">
        <f>Table1[[#This Row],[Amount]]*Table1[[#This Row],[Discount_Percent]]</f>
        <v>21.808000000000003</v>
      </c>
    </row>
    <row r="253" spans="1:28" ht="14.25" customHeight="1">
      <c r="A253" s="1" t="s">
        <v>549</v>
      </c>
      <c r="B253" s="1" t="s">
        <v>550</v>
      </c>
      <c r="C253" s="1" t="s">
        <v>551</v>
      </c>
      <c r="D253" s="1">
        <v>33</v>
      </c>
      <c r="E253" s="1" t="s">
        <v>54</v>
      </c>
      <c r="F253" s="1" t="s">
        <v>170</v>
      </c>
      <c r="G253" s="1" t="s">
        <v>552</v>
      </c>
      <c r="H253" s="1" t="s">
        <v>553</v>
      </c>
      <c r="I253" s="1" t="s">
        <v>1256</v>
      </c>
      <c r="J253" s="24">
        <v>45383</v>
      </c>
      <c r="K253" s="1" t="s">
        <v>1257</v>
      </c>
      <c r="L253" s="1" t="s">
        <v>593</v>
      </c>
      <c r="M253" s="1">
        <v>403.03</v>
      </c>
      <c r="N253" s="1">
        <v>3</v>
      </c>
      <c r="O253" s="1" t="s">
        <v>60</v>
      </c>
      <c r="P253" s="1">
        <v>5</v>
      </c>
      <c r="Q253" s="1">
        <v>44</v>
      </c>
      <c r="R253" s="24">
        <v>45384</v>
      </c>
      <c r="S253" s="1" t="s">
        <v>1258</v>
      </c>
      <c r="T253" s="4">
        <f>Table1[[#This Row],[Delivery_Date]]-Table1[[#This Row],[Order_Date]]</f>
        <v>1</v>
      </c>
      <c r="U253" s="4">
        <f>Table1[[#This Row],[Price]]*Table1[[#This Row],[Quantity]]</f>
        <v>1209.0899999999999</v>
      </c>
      <c r="V253" s="11">
        <f t="shared" si="3"/>
        <v>0.15</v>
      </c>
      <c r="W253" s="4">
        <f>Table1[[#This Row],[Amount]]-(Table1[[#This Row],[Amount]]*Table1[[#This Row],[Discount_Percent]])</f>
        <v>1027.7265</v>
      </c>
      <c r="X253" s="4">
        <f>IF(O253="DEL0", Table1[[#This Row],[Discounted_Amount]],Table1[[#This Row],[Discounted_Amount]]+Table1[[#This Row],[Delivery_Charge]])</f>
        <v>1071.7265</v>
      </c>
      <c r="Y253" s="4" t="str">
        <f>Table1[[#This Row],[First_Name]]&amp;" "&amp;Table1[[#This Row],[Last_Name]]</f>
        <v>Jodi Whitney</v>
      </c>
      <c r="Z253" s="4" t="str">
        <f>IF(T:T&gt;Table1[[#This Row],[Estimated_Days_to_Deliver]],"Late",IF(T:T=Table1[[#This Row],[Estimated_Days_to_Deliver]],"Intime","BeforeTime"))</f>
        <v>BeforeTime</v>
      </c>
      <c r="AA253" s="4">
        <f>MONTH(Table1[[#This Row],[Order_Date]])</f>
        <v>4</v>
      </c>
      <c r="AB253" s="13">
        <f>Table1[[#This Row],[Amount]]*Table1[[#This Row],[Discount_Percent]]</f>
        <v>181.36349999999999</v>
      </c>
    </row>
    <row r="254" spans="1:28" ht="14.25" customHeight="1">
      <c r="A254" s="1" t="s">
        <v>989</v>
      </c>
      <c r="B254" s="1" t="s">
        <v>990</v>
      </c>
      <c r="C254" s="1" t="s">
        <v>991</v>
      </c>
      <c r="D254" s="1">
        <v>49</v>
      </c>
      <c r="E254" s="1" t="s">
        <v>31</v>
      </c>
      <c r="F254" s="1" t="s">
        <v>44</v>
      </c>
      <c r="G254" s="1" t="s">
        <v>992</v>
      </c>
      <c r="H254" s="1" t="s">
        <v>993</v>
      </c>
      <c r="I254" s="1" t="s">
        <v>1259</v>
      </c>
      <c r="J254" s="24">
        <v>45233</v>
      </c>
      <c r="K254" s="1" t="s">
        <v>1260</v>
      </c>
      <c r="L254" s="1" t="s">
        <v>751</v>
      </c>
      <c r="M254" s="1">
        <v>381.73</v>
      </c>
      <c r="N254" s="1">
        <v>5</v>
      </c>
      <c r="O254" s="1" t="s">
        <v>38</v>
      </c>
      <c r="P254" s="1">
        <v>5</v>
      </c>
      <c r="Q254" s="1">
        <v>45</v>
      </c>
      <c r="R254" s="24">
        <v>45236</v>
      </c>
      <c r="S254" s="1" t="s">
        <v>1261</v>
      </c>
      <c r="T254" s="4">
        <f>Table1[[#This Row],[Delivery_Date]]-Table1[[#This Row],[Order_Date]]</f>
        <v>3</v>
      </c>
      <c r="U254" s="4">
        <f>Table1[[#This Row],[Price]]*Table1[[#This Row],[Quantity]]</f>
        <v>1908.65</v>
      </c>
      <c r="V254" s="11">
        <f t="shared" si="3"/>
        <v>0.08</v>
      </c>
      <c r="W254" s="4">
        <f>Table1[[#This Row],[Amount]]-(Table1[[#This Row],[Amount]]*Table1[[#This Row],[Discount_Percent]])</f>
        <v>1755.9580000000001</v>
      </c>
      <c r="X254" s="4">
        <f>IF(O254="DEL0", Table1[[#This Row],[Discounted_Amount]],Table1[[#This Row],[Discounted_Amount]]+Table1[[#This Row],[Delivery_Charge]])</f>
        <v>1800.9580000000001</v>
      </c>
      <c r="Y254" s="4" t="str">
        <f>Table1[[#This Row],[First_Name]]&amp;" "&amp;Table1[[#This Row],[Last_Name]]</f>
        <v>Natasha Michael</v>
      </c>
      <c r="Z254" s="4" t="str">
        <f>IF(T:T&gt;Table1[[#This Row],[Estimated_Days_to_Deliver]],"Late",IF(T:T=Table1[[#This Row],[Estimated_Days_to_Deliver]],"Intime","BeforeTime"))</f>
        <v>BeforeTime</v>
      </c>
      <c r="AA254" s="4">
        <f>MONTH(Table1[[#This Row],[Order_Date]])</f>
        <v>11</v>
      </c>
      <c r="AB254" s="13">
        <f>Table1[[#This Row],[Amount]]*Table1[[#This Row],[Discount_Percent]]</f>
        <v>152.69200000000001</v>
      </c>
    </row>
    <row r="255" spans="1:28" ht="14.25" customHeight="1">
      <c r="A255" s="1" t="s">
        <v>928</v>
      </c>
      <c r="B255" s="1" t="s">
        <v>929</v>
      </c>
      <c r="C255" s="1" t="s">
        <v>930</v>
      </c>
      <c r="D255" s="1">
        <v>24</v>
      </c>
      <c r="E255" s="1" t="s">
        <v>54</v>
      </c>
      <c r="F255" s="1" t="s">
        <v>223</v>
      </c>
      <c r="G255" s="1" t="s">
        <v>931</v>
      </c>
      <c r="H255" s="1" t="s">
        <v>932</v>
      </c>
      <c r="I255" s="1" t="s">
        <v>1262</v>
      </c>
      <c r="J255" s="24">
        <v>45668</v>
      </c>
      <c r="K255" s="1" t="s">
        <v>1263</v>
      </c>
      <c r="L255" s="1" t="s">
        <v>751</v>
      </c>
      <c r="M255" s="1">
        <v>381.73</v>
      </c>
      <c r="N255" s="1">
        <v>1</v>
      </c>
      <c r="O255" s="1" t="s">
        <v>38</v>
      </c>
      <c r="P255" s="1">
        <v>5</v>
      </c>
      <c r="Q255" s="1">
        <v>36</v>
      </c>
      <c r="R255" s="24">
        <v>45675</v>
      </c>
      <c r="S255" s="1" t="s">
        <v>1264</v>
      </c>
      <c r="T255" s="4">
        <f>Table1[[#This Row],[Delivery_Date]]-Table1[[#This Row],[Order_Date]]</f>
        <v>7</v>
      </c>
      <c r="U255" s="4">
        <f>Table1[[#This Row],[Price]]*Table1[[#This Row],[Quantity]]</f>
        <v>381.73</v>
      </c>
      <c r="V255" s="11">
        <f t="shared" si="3"/>
        <v>0.08</v>
      </c>
      <c r="W255" s="4">
        <f>Table1[[#This Row],[Amount]]-(Table1[[#This Row],[Amount]]*Table1[[#This Row],[Discount_Percent]])</f>
        <v>351.19159999999999</v>
      </c>
      <c r="X255" s="4">
        <f>IF(O255="DEL0", Table1[[#This Row],[Discounted_Amount]],Table1[[#This Row],[Discounted_Amount]]+Table1[[#This Row],[Delivery_Charge]])</f>
        <v>387.19159999999999</v>
      </c>
      <c r="Y255" s="4" t="str">
        <f>Table1[[#This Row],[First_Name]]&amp;" "&amp;Table1[[#This Row],[Last_Name]]</f>
        <v>Rachael Robinson</v>
      </c>
      <c r="Z255" s="4" t="str">
        <f>IF(T:T&gt;Table1[[#This Row],[Estimated_Days_to_Deliver]],"Late",IF(T:T=Table1[[#This Row],[Estimated_Days_to_Deliver]],"Intime","BeforeTime"))</f>
        <v>Late</v>
      </c>
      <c r="AA255" s="4">
        <f>MONTH(Table1[[#This Row],[Order_Date]])</f>
        <v>1</v>
      </c>
      <c r="AB255" s="13">
        <f>Table1[[#This Row],[Amount]]*Table1[[#This Row],[Discount_Percent]]</f>
        <v>30.538400000000003</v>
      </c>
    </row>
    <row r="256" spans="1:28" ht="14.25" customHeight="1">
      <c r="A256" s="1" t="s">
        <v>461</v>
      </c>
      <c r="B256" s="1" t="s">
        <v>462</v>
      </c>
      <c r="C256" s="1" t="s">
        <v>463</v>
      </c>
      <c r="D256" s="1">
        <v>63</v>
      </c>
      <c r="E256" s="1" t="s">
        <v>31</v>
      </c>
      <c r="F256" s="1" t="s">
        <v>142</v>
      </c>
      <c r="G256" s="1" t="s">
        <v>464</v>
      </c>
      <c r="H256" s="1" t="s">
        <v>465</v>
      </c>
      <c r="I256" s="1" t="s">
        <v>1265</v>
      </c>
      <c r="J256" s="24">
        <v>45457</v>
      </c>
      <c r="K256" s="1" t="s">
        <v>1266</v>
      </c>
      <c r="L256" s="1" t="s">
        <v>556</v>
      </c>
      <c r="M256" s="1">
        <v>425.59</v>
      </c>
      <c r="N256" s="1">
        <v>1</v>
      </c>
      <c r="O256" s="1" t="s">
        <v>87</v>
      </c>
      <c r="P256" s="1">
        <v>5</v>
      </c>
      <c r="Q256" s="1">
        <v>40</v>
      </c>
      <c r="R256" s="24">
        <v>45460</v>
      </c>
      <c r="S256" s="1" t="s">
        <v>1267</v>
      </c>
      <c r="T256" s="4">
        <f>Table1[[#This Row],[Delivery_Date]]-Table1[[#This Row],[Order_Date]]</f>
        <v>3</v>
      </c>
      <c r="U256" s="4">
        <f>Table1[[#This Row],[Price]]*Table1[[#This Row],[Quantity]]</f>
        <v>425.59</v>
      </c>
      <c r="V256" s="11">
        <f t="shared" si="3"/>
        <v>0.2</v>
      </c>
      <c r="W256" s="4">
        <f>Table1[[#This Row],[Amount]]-(Table1[[#This Row],[Amount]]*Table1[[#This Row],[Discount_Percent]])</f>
        <v>340.47199999999998</v>
      </c>
      <c r="X256" s="4">
        <f>IF(O256="DEL0", Table1[[#This Row],[Discounted_Amount]],Table1[[#This Row],[Discounted_Amount]]+Table1[[#This Row],[Delivery_Charge]])</f>
        <v>380.47199999999998</v>
      </c>
      <c r="Y256" s="4" t="str">
        <f>Table1[[#This Row],[First_Name]]&amp;" "&amp;Table1[[#This Row],[Last_Name]]</f>
        <v>Rebecca Figueroa</v>
      </c>
      <c r="Z256" s="4" t="str">
        <f>IF(T:T&gt;Table1[[#This Row],[Estimated_Days_to_Deliver]],"Late",IF(T:T=Table1[[#This Row],[Estimated_Days_to_Deliver]],"Intime","BeforeTime"))</f>
        <v>BeforeTime</v>
      </c>
      <c r="AA256" s="4">
        <f>MONTH(Table1[[#This Row],[Order_Date]])</f>
        <v>6</v>
      </c>
      <c r="AB256" s="13">
        <f>Table1[[#This Row],[Amount]]*Table1[[#This Row],[Discount_Percent]]</f>
        <v>85.117999999999995</v>
      </c>
    </row>
    <row r="257" spans="1:28" ht="14.25" customHeight="1">
      <c r="A257" s="1" t="s">
        <v>275</v>
      </c>
      <c r="B257" s="1" t="s">
        <v>276</v>
      </c>
      <c r="C257" s="1" t="s">
        <v>277</v>
      </c>
      <c r="D257" s="1">
        <v>44</v>
      </c>
      <c r="E257" s="1" t="s">
        <v>31</v>
      </c>
      <c r="F257" s="1" t="s">
        <v>223</v>
      </c>
      <c r="G257" s="1" t="s">
        <v>278</v>
      </c>
      <c r="H257" s="1" t="s">
        <v>279</v>
      </c>
      <c r="I257" s="1" t="s">
        <v>1268</v>
      </c>
      <c r="J257" s="24">
        <v>45659</v>
      </c>
      <c r="K257" s="1" t="s">
        <v>1269</v>
      </c>
      <c r="L257" s="1" t="s">
        <v>326</v>
      </c>
      <c r="M257" s="1">
        <v>481.48</v>
      </c>
      <c r="N257" s="1">
        <v>4</v>
      </c>
      <c r="O257" s="1" t="s">
        <v>60</v>
      </c>
      <c r="P257" s="1">
        <v>5</v>
      </c>
      <c r="Q257" s="1">
        <v>67</v>
      </c>
      <c r="R257" s="24">
        <v>45665</v>
      </c>
      <c r="S257" s="1" t="s">
        <v>1270</v>
      </c>
      <c r="T257" s="4">
        <f>Table1[[#This Row],[Delivery_Date]]-Table1[[#This Row],[Order_Date]]</f>
        <v>6</v>
      </c>
      <c r="U257" s="4">
        <f>Table1[[#This Row],[Price]]*Table1[[#This Row],[Quantity]]</f>
        <v>1925.92</v>
      </c>
      <c r="V257" s="11">
        <f t="shared" si="3"/>
        <v>0.15</v>
      </c>
      <c r="W257" s="4">
        <f>Table1[[#This Row],[Amount]]-(Table1[[#This Row],[Amount]]*Table1[[#This Row],[Discount_Percent]])</f>
        <v>1637.0320000000002</v>
      </c>
      <c r="X257" s="4">
        <f>IF(O257="DEL0", Table1[[#This Row],[Discounted_Amount]],Table1[[#This Row],[Discounted_Amount]]+Table1[[#This Row],[Delivery_Charge]])</f>
        <v>1704.0320000000002</v>
      </c>
      <c r="Y257" s="4" t="str">
        <f>Table1[[#This Row],[First_Name]]&amp;" "&amp;Table1[[#This Row],[Last_Name]]</f>
        <v>Lauren Long</v>
      </c>
      <c r="Z257" s="4" t="str">
        <f>IF(T:T&gt;Table1[[#This Row],[Estimated_Days_to_Deliver]],"Late",IF(T:T=Table1[[#This Row],[Estimated_Days_to_Deliver]],"Intime","BeforeTime"))</f>
        <v>Late</v>
      </c>
      <c r="AA257" s="4">
        <f>MONTH(Table1[[#This Row],[Order_Date]])</f>
        <v>1</v>
      </c>
      <c r="AB257" s="13">
        <f>Table1[[#This Row],[Amount]]*Table1[[#This Row],[Discount_Percent]]</f>
        <v>288.88799999999998</v>
      </c>
    </row>
    <row r="258" spans="1:28" ht="14.25" customHeight="1">
      <c r="A258" s="1" t="s">
        <v>158</v>
      </c>
      <c r="B258" s="1" t="s">
        <v>159</v>
      </c>
      <c r="C258" s="1" t="s">
        <v>160</v>
      </c>
      <c r="D258" s="1">
        <v>24</v>
      </c>
      <c r="E258" s="1" t="s">
        <v>31</v>
      </c>
      <c r="F258" s="1" t="s">
        <v>161</v>
      </c>
      <c r="G258" s="1" t="s">
        <v>162</v>
      </c>
      <c r="H258" s="1" t="s">
        <v>163</v>
      </c>
      <c r="I258" s="1" t="s">
        <v>1271</v>
      </c>
      <c r="J258" s="24">
        <v>45512</v>
      </c>
      <c r="K258" s="1" t="s">
        <v>1272</v>
      </c>
      <c r="L258" s="1" t="s">
        <v>498</v>
      </c>
      <c r="M258" s="1">
        <v>421.7</v>
      </c>
      <c r="N258" s="1">
        <v>2</v>
      </c>
      <c r="O258" s="1" t="s">
        <v>98</v>
      </c>
      <c r="P258" s="1">
        <v>5</v>
      </c>
      <c r="Q258" s="1">
        <v>54</v>
      </c>
      <c r="R258" s="24">
        <v>45514</v>
      </c>
      <c r="S258" s="1" t="s">
        <v>1273</v>
      </c>
      <c r="T258" s="4">
        <f>Table1[[#This Row],[Delivery_Date]]-Table1[[#This Row],[Order_Date]]</f>
        <v>2</v>
      </c>
      <c r="U258" s="4">
        <f>Table1[[#This Row],[Price]]*Table1[[#This Row],[Quantity]]</f>
        <v>843.4</v>
      </c>
      <c r="V258" s="11">
        <f t="shared" ref="V258:V321" si="4">IF(O258="FLAT8",8%,IF(O258="FLAT10",10%,IF(O258="FLAT15",15%,IF(O258="FLAT20",20%,0))))</f>
        <v>0.1</v>
      </c>
      <c r="W258" s="4">
        <f>Table1[[#This Row],[Amount]]-(Table1[[#This Row],[Amount]]*Table1[[#This Row],[Discount_Percent]])</f>
        <v>759.06</v>
      </c>
      <c r="X258" s="4">
        <f>IF(O258="DEL0", Table1[[#This Row],[Discounted_Amount]],Table1[[#This Row],[Discounted_Amount]]+Table1[[#This Row],[Delivery_Charge]])</f>
        <v>813.06</v>
      </c>
      <c r="Y258" s="4" t="str">
        <f>Table1[[#This Row],[First_Name]]&amp;" "&amp;Table1[[#This Row],[Last_Name]]</f>
        <v>Joshua Campbell</v>
      </c>
      <c r="Z258" s="4" t="str">
        <f>IF(T:T&gt;Table1[[#This Row],[Estimated_Days_to_Deliver]],"Late",IF(T:T=Table1[[#This Row],[Estimated_Days_to_Deliver]],"Intime","BeforeTime"))</f>
        <v>BeforeTime</v>
      </c>
      <c r="AA258" s="4">
        <f>MONTH(Table1[[#This Row],[Order_Date]])</f>
        <v>8</v>
      </c>
      <c r="AB258" s="13">
        <f>Table1[[#This Row],[Amount]]*Table1[[#This Row],[Discount_Percent]]</f>
        <v>84.34</v>
      </c>
    </row>
    <row r="259" spans="1:28" ht="14.25" customHeight="1">
      <c r="A259" s="1" t="s">
        <v>304</v>
      </c>
      <c r="B259" s="1" t="s">
        <v>305</v>
      </c>
      <c r="C259" s="1" t="s">
        <v>306</v>
      </c>
      <c r="D259" s="1">
        <v>26</v>
      </c>
      <c r="E259" s="1" t="s">
        <v>54</v>
      </c>
      <c r="F259" s="1" t="s">
        <v>170</v>
      </c>
      <c r="G259" s="1" t="s">
        <v>307</v>
      </c>
      <c r="H259" s="1" t="s">
        <v>308</v>
      </c>
      <c r="I259" s="1" t="s">
        <v>1274</v>
      </c>
      <c r="J259" s="24">
        <v>45393</v>
      </c>
      <c r="K259" s="1" t="s">
        <v>1275</v>
      </c>
      <c r="L259" s="1" t="s">
        <v>741</v>
      </c>
      <c r="M259" s="1">
        <v>110.95</v>
      </c>
      <c r="N259" s="1">
        <v>3</v>
      </c>
      <c r="O259" s="1" t="s">
        <v>65</v>
      </c>
      <c r="P259" s="1">
        <v>5</v>
      </c>
      <c r="Q259" s="1">
        <v>47</v>
      </c>
      <c r="R259" s="24">
        <v>45399</v>
      </c>
      <c r="S259" s="1" t="s">
        <v>1276</v>
      </c>
      <c r="T259" s="4">
        <f>Table1[[#This Row],[Delivery_Date]]-Table1[[#This Row],[Order_Date]]</f>
        <v>6</v>
      </c>
      <c r="U259" s="4">
        <f>Table1[[#This Row],[Price]]*Table1[[#This Row],[Quantity]]</f>
        <v>332.85</v>
      </c>
      <c r="V259" s="11">
        <f t="shared" si="4"/>
        <v>0</v>
      </c>
      <c r="W259" s="4">
        <f>Table1[[#This Row],[Amount]]-(Table1[[#This Row],[Amount]]*Table1[[#This Row],[Discount_Percent]])</f>
        <v>332.85</v>
      </c>
      <c r="X259" s="4">
        <f>IF(O259="DEL0", Table1[[#This Row],[Discounted_Amount]],Table1[[#This Row],[Discounted_Amount]]+Table1[[#This Row],[Delivery_Charge]])</f>
        <v>332.85</v>
      </c>
      <c r="Y259" s="4" t="str">
        <f>Table1[[#This Row],[First_Name]]&amp;" "&amp;Table1[[#This Row],[Last_Name]]</f>
        <v>Valerie Carr</v>
      </c>
      <c r="Z259" s="4" t="str">
        <f>IF(T:T&gt;Table1[[#This Row],[Estimated_Days_to_Deliver]],"Late",IF(T:T=Table1[[#This Row],[Estimated_Days_to_Deliver]],"Intime","BeforeTime"))</f>
        <v>Late</v>
      </c>
      <c r="AA259" s="4">
        <f>MONTH(Table1[[#This Row],[Order_Date]])</f>
        <v>4</v>
      </c>
      <c r="AB259" s="13">
        <f>Table1[[#This Row],[Amount]]*Table1[[#This Row],[Discount_Percent]]</f>
        <v>0</v>
      </c>
    </row>
    <row r="260" spans="1:28" ht="14.25" customHeight="1">
      <c r="A260" s="1" t="s">
        <v>510</v>
      </c>
      <c r="B260" s="1" t="s">
        <v>511</v>
      </c>
      <c r="C260" s="1" t="s">
        <v>512</v>
      </c>
      <c r="D260" s="1">
        <v>64</v>
      </c>
      <c r="E260" s="1" t="s">
        <v>31</v>
      </c>
      <c r="F260" s="1" t="s">
        <v>32</v>
      </c>
      <c r="G260" s="1" t="s">
        <v>513</v>
      </c>
      <c r="H260" s="1" t="s">
        <v>514</v>
      </c>
      <c r="I260" s="1" t="s">
        <v>1277</v>
      </c>
      <c r="J260" s="24">
        <v>45188</v>
      </c>
      <c r="K260" s="1" t="s">
        <v>1278</v>
      </c>
      <c r="L260" s="1" t="s">
        <v>249</v>
      </c>
      <c r="M260" s="1">
        <v>282.63</v>
      </c>
      <c r="N260" s="1">
        <v>4</v>
      </c>
      <c r="O260" s="1" t="s">
        <v>98</v>
      </c>
      <c r="P260" s="1">
        <v>5</v>
      </c>
      <c r="Q260" s="1">
        <v>52</v>
      </c>
      <c r="R260" s="24">
        <v>45191</v>
      </c>
      <c r="S260" s="1" t="s">
        <v>1279</v>
      </c>
      <c r="T260" s="4">
        <f>Table1[[#This Row],[Delivery_Date]]-Table1[[#This Row],[Order_Date]]</f>
        <v>3</v>
      </c>
      <c r="U260" s="4">
        <f>Table1[[#This Row],[Price]]*Table1[[#This Row],[Quantity]]</f>
        <v>1130.52</v>
      </c>
      <c r="V260" s="11">
        <f t="shared" si="4"/>
        <v>0.1</v>
      </c>
      <c r="W260" s="4">
        <f>Table1[[#This Row],[Amount]]-(Table1[[#This Row],[Amount]]*Table1[[#This Row],[Discount_Percent]])</f>
        <v>1017.468</v>
      </c>
      <c r="X260" s="4">
        <f>IF(O260="DEL0", Table1[[#This Row],[Discounted_Amount]],Table1[[#This Row],[Discounted_Amount]]+Table1[[#This Row],[Delivery_Charge]])</f>
        <v>1069.4679999999998</v>
      </c>
      <c r="Y260" s="4" t="str">
        <f>Table1[[#This Row],[First_Name]]&amp;" "&amp;Table1[[#This Row],[Last_Name]]</f>
        <v>Sarah Butler</v>
      </c>
      <c r="Z260" s="4" t="str">
        <f>IF(T:T&gt;Table1[[#This Row],[Estimated_Days_to_Deliver]],"Late",IF(T:T=Table1[[#This Row],[Estimated_Days_to_Deliver]],"Intime","BeforeTime"))</f>
        <v>BeforeTime</v>
      </c>
      <c r="AA260" s="4">
        <f>MONTH(Table1[[#This Row],[Order_Date]])</f>
        <v>9</v>
      </c>
      <c r="AB260" s="13">
        <f>Table1[[#This Row],[Amount]]*Table1[[#This Row],[Discount_Percent]]</f>
        <v>113.05200000000001</v>
      </c>
    </row>
    <row r="261" spans="1:28" ht="14.25" customHeight="1">
      <c r="A261" s="1" t="s">
        <v>850</v>
      </c>
      <c r="B261" s="1" t="s">
        <v>851</v>
      </c>
      <c r="C261" s="1" t="s">
        <v>390</v>
      </c>
      <c r="D261" s="1">
        <v>37</v>
      </c>
      <c r="E261" s="1" t="s">
        <v>54</v>
      </c>
      <c r="F261" s="1" t="s">
        <v>223</v>
      </c>
      <c r="G261" s="1" t="s">
        <v>852</v>
      </c>
      <c r="H261" s="1" t="s">
        <v>853</v>
      </c>
      <c r="I261" s="1" t="s">
        <v>1280</v>
      </c>
      <c r="J261" s="24">
        <v>45335</v>
      </c>
      <c r="K261" s="1" t="s">
        <v>1281</v>
      </c>
      <c r="L261" s="1" t="s">
        <v>294</v>
      </c>
      <c r="M261" s="1">
        <v>158.53</v>
      </c>
      <c r="N261" s="1">
        <v>3</v>
      </c>
      <c r="O261" s="1" t="s">
        <v>98</v>
      </c>
      <c r="P261" s="1">
        <v>5</v>
      </c>
      <c r="Q261" s="1">
        <v>63</v>
      </c>
      <c r="R261" s="24">
        <v>45336</v>
      </c>
      <c r="S261" s="1" t="s">
        <v>1282</v>
      </c>
      <c r="T261" s="4">
        <f>Table1[[#This Row],[Delivery_Date]]-Table1[[#This Row],[Order_Date]]</f>
        <v>1</v>
      </c>
      <c r="U261" s="4">
        <f>Table1[[#This Row],[Price]]*Table1[[#This Row],[Quantity]]</f>
        <v>475.59000000000003</v>
      </c>
      <c r="V261" s="11">
        <f t="shared" si="4"/>
        <v>0.1</v>
      </c>
      <c r="W261" s="4">
        <f>Table1[[#This Row],[Amount]]-(Table1[[#This Row],[Amount]]*Table1[[#This Row],[Discount_Percent]])</f>
        <v>428.03100000000001</v>
      </c>
      <c r="X261" s="4">
        <f>IF(O261="DEL0", Table1[[#This Row],[Discounted_Amount]],Table1[[#This Row],[Discounted_Amount]]+Table1[[#This Row],[Delivery_Charge]])</f>
        <v>491.03100000000001</v>
      </c>
      <c r="Y261" s="4" t="str">
        <f>Table1[[#This Row],[First_Name]]&amp;" "&amp;Table1[[#This Row],[Last_Name]]</f>
        <v>Susan Thompson</v>
      </c>
      <c r="Z261" s="4" t="str">
        <f>IF(T:T&gt;Table1[[#This Row],[Estimated_Days_to_Deliver]],"Late",IF(T:T=Table1[[#This Row],[Estimated_Days_to_Deliver]],"Intime","BeforeTime"))</f>
        <v>BeforeTime</v>
      </c>
      <c r="AA261" s="4">
        <f>MONTH(Table1[[#This Row],[Order_Date]])</f>
        <v>2</v>
      </c>
      <c r="AB261" s="13">
        <f>Table1[[#This Row],[Amount]]*Table1[[#This Row],[Discount_Percent]]</f>
        <v>47.559000000000005</v>
      </c>
    </row>
    <row r="262" spans="1:28" ht="14.25" customHeight="1">
      <c r="A262" s="1" t="s">
        <v>1082</v>
      </c>
      <c r="B262" s="1" t="s">
        <v>221</v>
      </c>
      <c r="C262" s="1" t="s">
        <v>1083</v>
      </c>
      <c r="D262" s="1">
        <v>55</v>
      </c>
      <c r="E262" s="1" t="s">
        <v>43</v>
      </c>
      <c r="F262" s="1" t="s">
        <v>161</v>
      </c>
      <c r="G262" s="1" t="s">
        <v>1084</v>
      </c>
      <c r="H262" s="1" t="s">
        <v>1085</v>
      </c>
      <c r="I262" s="1" t="s">
        <v>1283</v>
      </c>
      <c r="J262" s="24">
        <v>45026</v>
      </c>
      <c r="K262" s="1" t="s">
        <v>1284</v>
      </c>
      <c r="L262" s="1" t="s">
        <v>273</v>
      </c>
      <c r="M262" s="1">
        <v>62.42</v>
      </c>
      <c r="N262" s="1">
        <v>3</v>
      </c>
      <c r="O262" s="1" t="s">
        <v>38</v>
      </c>
      <c r="P262" s="1">
        <v>5</v>
      </c>
      <c r="Q262" s="1">
        <v>37</v>
      </c>
      <c r="R262" s="24">
        <v>45031</v>
      </c>
      <c r="S262" s="1" t="s">
        <v>1285</v>
      </c>
      <c r="T262" s="4">
        <f>Table1[[#This Row],[Delivery_Date]]-Table1[[#This Row],[Order_Date]]</f>
        <v>5</v>
      </c>
      <c r="U262" s="4">
        <f>Table1[[#This Row],[Price]]*Table1[[#This Row],[Quantity]]</f>
        <v>187.26</v>
      </c>
      <c r="V262" s="11">
        <f t="shared" si="4"/>
        <v>0.08</v>
      </c>
      <c r="W262" s="4">
        <f>Table1[[#This Row],[Amount]]-(Table1[[#This Row],[Amount]]*Table1[[#This Row],[Discount_Percent]])</f>
        <v>172.2792</v>
      </c>
      <c r="X262" s="4">
        <f>IF(O262="DEL0", Table1[[#This Row],[Discounted_Amount]],Table1[[#This Row],[Discounted_Amount]]+Table1[[#This Row],[Delivery_Charge]])</f>
        <v>209.2792</v>
      </c>
      <c r="Y262" s="4" t="str">
        <f>Table1[[#This Row],[First_Name]]&amp;" "&amp;Table1[[#This Row],[Last_Name]]</f>
        <v>Mark Summers</v>
      </c>
      <c r="Z262" s="4" t="str">
        <f>IF(T:T&gt;Table1[[#This Row],[Estimated_Days_to_Deliver]],"Late",IF(T:T=Table1[[#This Row],[Estimated_Days_to_Deliver]],"Intime","BeforeTime"))</f>
        <v>Intime</v>
      </c>
      <c r="AA262" s="4">
        <f>MONTH(Table1[[#This Row],[Order_Date]])</f>
        <v>4</v>
      </c>
      <c r="AB262" s="13">
        <f>Table1[[#This Row],[Amount]]*Table1[[#This Row],[Discount_Percent]]</f>
        <v>14.9808</v>
      </c>
    </row>
    <row r="263" spans="1:28" ht="14.25" customHeight="1">
      <c r="A263" s="1" t="s">
        <v>304</v>
      </c>
      <c r="B263" s="1" t="s">
        <v>305</v>
      </c>
      <c r="C263" s="1" t="s">
        <v>306</v>
      </c>
      <c r="D263" s="1">
        <v>26</v>
      </c>
      <c r="E263" s="1" t="s">
        <v>54</v>
      </c>
      <c r="F263" s="1" t="s">
        <v>170</v>
      </c>
      <c r="G263" s="1" t="s">
        <v>307</v>
      </c>
      <c r="H263" s="1" t="s">
        <v>308</v>
      </c>
      <c r="I263" s="1" t="s">
        <v>1286</v>
      </c>
      <c r="J263" s="24">
        <v>45454</v>
      </c>
      <c r="K263" s="1" t="s">
        <v>1287</v>
      </c>
      <c r="L263" s="1" t="s">
        <v>660</v>
      </c>
      <c r="M263" s="1">
        <v>235.63</v>
      </c>
      <c r="N263" s="1">
        <v>2</v>
      </c>
      <c r="O263" s="1" t="s">
        <v>60</v>
      </c>
      <c r="P263" s="1">
        <v>5</v>
      </c>
      <c r="Q263" s="1">
        <v>44</v>
      </c>
      <c r="R263" s="24">
        <v>45458</v>
      </c>
      <c r="S263" s="1" t="s">
        <v>1288</v>
      </c>
      <c r="T263" s="4">
        <f>Table1[[#This Row],[Delivery_Date]]-Table1[[#This Row],[Order_Date]]</f>
        <v>4</v>
      </c>
      <c r="U263" s="4">
        <f>Table1[[#This Row],[Price]]*Table1[[#This Row],[Quantity]]</f>
        <v>471.26</v>
      </c>
      <c r="V263" s="11">
        <f t="shared" si="4"/>
        <v>0.15</v>
      </c>
      <c r="W263" s="4">
        <f>Table1[[#This Row],[Amount]]-(Table1[[#This Row],[Amount]]*Table1[[#This Row],[Discount_Percent]])</f>
        <v>400.57100000000003</v>
      </c>
      <c r="X263" s="4">
        <f>IF(O263="DEL0", Table1[[#This Row],[Discounted_Amount]],Table1[[#This Row],[Discounted_Amount]]+Table1[[#This Row],[Delivery_Charge]])</f>
        <v>444.57100000000003</v>
      </c>
      <c r="Y263" s="4" t="str">
        <f>Table1[[#This Row],[First_Name]]&amp;" "&amp;Table1[[#This Row],[Last_Name]]</f>
        <v>Valerie Carr</v>
      </c>
      <c r="Z263" s="4" t="str">
        <f>IF(T:T&gt;Table1[[#This Row],[Estimated_Days_to_Deliver]],"Late",IF(T:T=Table1[[#This Row],[Estimated_Days_to_Deliver]],"Intime","BeforeTime"))</f>
        <v>BeforeTime</v>
      </c>
      <c r="AA263" s="4">
        <f>MONTH(Table1[[#This Row],[Order_Date]])</f>
        <v>6</v>
      </c>
      <c r="AB263" s="13">
        <f>Table1[[#This Row],[Amount]]*Table1[[#This Row],[Discount_Percent]]</f>
        <v>70.688999999999993</v>
      </c>
    </row>
    <row r="264" spans="1:28" ht="14.25" customHeight="1">
      <c r="A264" s="1" t="s">
        <v>275</v>
      </c>
      <c r="B264" s="1" t="s">
        <v>276</v>
      </c>
      <c r="C264" s="1" t="s">
        <v>277</v>
      </c>
      <c r="D264" s="1">
        <v>44</v>
      </c>
      <c r="E264" s="1" t="s">
        <v>31</v>
      </c>
      <c r="F264" s="1" t="s">
        <v>223</v>
      </c>
      <c r="G264" s="1" t="s">
        <v>278</v>
      </c>
      <c r="H264" s="1" t="s">
        <v>279</v>
      </c>
      <c r="I264" s="1" t="s">
        <v>1289</v>
      </c>
      <c r="J264" s="24">
        <v>45547</v>
      </c>
      <c r="K264" s="1" t="s">
        <v>1290</v>
      </c>
      <c r="L264" s="1" t="s">
        <v>290</v>
      </c>
      <c r="M264" s="1">
        <v>157.63999999999999</v>
      </c>
      <c r="N264" s="1">
        <v>2</v>
      </c>
      <c r="O264" s="1" t="s">
        <v>38</v>
      </c>
      <c r="P264" s="1">
        <v>5</v>
      </c>
      <c r="Q264" s="1">
        <v>56</v>
      </c>
      <c r="R264" s="24">
        <v>45552</v>
      </c>
      <c r="S264" s="1" t="s">
        <v>1291</v>
      </c>
      <c r="T264" s="4">
        <f>Table1[[#This Row],[Delivery_Date]]-Table1[[#This Row],[Order_Date]]</f>
        <v>5</v>
      </c>
      <c r="U264" s="4">
        <f>Table1[[#This Row],[Price]]*Table1[[#This Row],[Quantity]]</f>
        <v>315.27999999999997</v>
      </c>
      <c r="V264" s="11">
        <f t="shared" si="4"/>
        <v>0.08</v>
      </c>
      <c r="W264" s="4">
        <f>Table1[[#This Row],[Amount]]-(Table1[[#This Row],[Amount]]*Table1[[#This Row],[Discount_Percent]])</f>
        <v>290.05759999999998</v>
      </c>
      <c r="X264" s="4">
        <f>IF(O264="DEL0", Table1[[#This Row],[Discounted_Amount]],Table1[[#This Row],[Discounted_Amount]]+Table1[[#This Row],[Delivery_Charge]])</f>
        <v>346.05759999999998</v>
      </c>
      <c r="Y264" s="4" t="str">
        <f>Table1[[#This Row],[First_Name]]&amp;" "&amp;Table1[[#This Row],[Last_Name]]</f>
        <v>Lauren Long</v>
      </c>
      <c r="Z264" s="4" t="str">
        <f>IF(T:T&gt;Table1[[#This Row],[Estimated_Days_to_Deliver]],"Late",IF(T:T=Table1[[#This Row],[Estimated_Days_to_Deliver]],"Intime","BeforeTime"))</f>
        <v>Intime</v>
      </c>
      <c r="AA264" s="4">
        <f>MONTH(Table1[[#This Row],[Order_Date]])</f>
        <v>9</v>
      </c>
      <c r="AB264" s="13">
        <f>Table1[[#This Row],[Amount]]*Table1[[#This Row],[Discount_Percent]]</f>
        <v>25.222399999999997</v>
      </c>
    </row>
    <row r="265" spans="1:28" ht="14.25" customHeight="1">
      <c r="A265" s="1" t="s">
        <v>258</v>
      </c>
      <c r="B265" s="1" t="s">
        <v>259</v>
      </c>
      <c r="C265" s="1" t="s">
        <v>260</v>
      </c>
      <c r="D265" s="1">
        <v>60</v>
      </c>
      <c r="E265" s="1" t="s">
        <v>54</v>
      </c>
      <c r="F265" s="1" t="s">
        <v>32</v>
      </c>
      <c r="G265" s="1" t="s">
        <v>261</v>
      </c>
      <c r="H265" s="1" t="s">
        <v>262</v>
      </c>
      <c r="I265" s="1" t="s">
        <v>1292</v>
      </c>
      <c r="J265" s="24">
        <v>44996</v>
      </c>
      <c r="K265" s="1" t="s">
        <v>1293</v>
      </c>
      <c r="L265" s="1" t="s">
        <v>347</v>
      </c>
      <c r="M265" s="1">
        <v>372.62</v>
      </c>
      <c r="N265" s="1">
        <v>4</v>
      </c>
      <c r="O265" s="1" t="s">
        <v>60</v>
      </c>
      <c r="P265" s="1">
        <v>5</v>
      </c>
      <c r="Q265" s="1">
        <v>42</v>
      </c>
      <c r="R265" s="24">
        <v>45001</v>
      </c>
      <c r="S265" s="1" t="s">
        <v>1294</v>
      </c>
      <c r="T265" s="4">
        <f>Table1[[#This Row],[Delivery_Date]]-Table1[[#This Row],[Order_Date]]</f>
        <v>5</v>
      </c>
      <c r="U265" s="4">
        <f>Table1[[#This Row],[Price]]*Table1[[#This Row],[Quantity]]</f>
        <v>1490.48</v>
      </c>
      <c r="V265" s="11">
        <f t="shared" si="4"/>
        <v>0.15</v>
      </c>
      <c r="W265" s="4">
        <f>Table1[[#This Row],[Amount]]-(Table1[[#This Row],[Amount]]*Table1[[#This Row],[Discount_Percent]])</f>
        <v>1266.9079999999999</v>
      </c>
      <c r="X265" s="4">
        <f>IF(O265="DEL0", Table1[[#This Row],[Discounted_Amount]],Table1[[#This Row],[Discounted_Amount]]+Table1[[#This Row],[Delivery_Charge]])</f>
        <v>1308.9079999999999</v>
      </c>
      <c r="Y265" s="4" t="str">
        <f>Table1[[#This Row],[First_Name]]&amp;" "&amp;Table1[[#This Row],[Last_Name]]</f>
        <v>Ashley Rose</v>
      </c>
      <c r="Z265" s="4" t="str">
        <f>IF(T:T&gt;Table1[[#This Row],[Estimated_Days_to_Deliver]],"Late",IF(T:T=Table1[[#This Row],[Estimated_Days_to_Deliver]],"Intime","BeforeTime"))</f>
        <v>Intime</v>
      </c>
      <c r="AA265" s="4">
        <f>MONTH(Table1[[#This Row],[Order_Date]])</f>
        <v>3</v>
      </c>
      <c r="AB265" s="13">
        <f>Table1[[#This Row],[Amount]]*Table1[[#This Row],[Discount_Percent]]</f>
        <v>223.572</v>
      </c>
    </row>
    <row r="266" spans="1:28" ht="14.25" customHeight="1">
      <c r="A266" s="1" t="s">
        <v>1213</v>
      </c>
      <c r="B266" s="1" t="s">
        <v>1214</v>
      </c>
      <c r="C266" s="1" t="s">
        <v>1215</v>
      </c>
      <c r="D266" s="1">
        <v>50</v>
      </c>
      <c r="E266" s="1" t="s">
        <v>54</v>
      </c>
      <c r="F266" s="1" t="s">
        <v>170</v>
      </c>
      <c r="G266" s="1" t="s">
        <v>1216</v>
      </c>
      <c r="H266" s="1" t="s">
        <v>1217</v>
      </c>
      <c r="I266" s="1" t="s">
        <v>1295</v>
      </c>
      <c r="J266" s="24">
        <v>45672</v>
      </c>
      <c r="K266" s="1" t="s">
        <v>1296</v>
      </c>
      <c r="L266" s="1" t="s">
        <v>593</v>
      </c>
      <c r="M266" s="1">
        <v>403.03</v>
      </c>
      <c r="N266" s="1">
        <v>2</v>
      </c>
      <c r="O266" s="1" t="s">
        <v>87</v>
      </c>
      <c r="P266" s="1">
        <v>5</v>
      </c>
      <c r="Q266" s="1">
        <v>61</v>
      </c>
      <c r="R266" s="24">
        <v>45677</v>
      </c>
      <c r="S266" s="1" t="s">
        <v>1297</v>
      </c>
      <c r="T266" s="4">
        <f>Table1[[#This Row],[Delivery_Date]]-Table1[[#This Row],[Order_Date]]</f>
        <v>5</v>
      </c>
      <c r="U266" s="4">
        <f>Table1[[#This Row],[Price]]*Table1[[#This Row],[Quantity]]</f>
        <v>806.06</v>
      </c>
      <c r="V266" s="11">
        <f t="shared" si="4"/>
        <v>0.2</v>
      </c>
      <c r="W266" s="4">
        <f>Table1[[#This Row],[Amount]]-(Table1[[#This Row],[Amount]]*Table1[[#This Row],[Discount_Percent]])</f>
        <v>644.84799999999996</v>
      </c>
      <c r="X266" s="4">
        <f>IF(O266="DEL0", Table1[[#This Row],[Discounted_Amount]],Table1[[#This Row],[Discounted_Amount]]+Table1[[#This Row],[Delivery_Charge]])</f>
        <v>705.84799999999996</v>
      </c>
      <c r="Y266" s="4" t="str">
        <f>Table1[[#This Row],[First_Name]]&amp;" "&amp;Table1[[#This Row],[Last_Name]]</f>
        <v>Brendan Kelly</v>
      </c>
      <c r="Z266" s="4" t="str">
        <f>IF(T:T&gt;Table1[[#This Row],[Estimated_Days_to_Deliver]],"Late",IF(T:T=Table1[[#This Row],[Estimated_Days_to_Deliver]],"Intime","BeforeTime"))</f>
        <v>Intime</v>
      </c>
      <c r="AA266" s="4">
        <f>MONTH(Table1[[#This Row],[Order_Date]])</f>
        <v>1</v>
      </c>
      <c r="AB266" s="13">
        <f>Table1[[#This Row],[Amount]]*Table1[[#This Row],[Discount_Percent]]</f>
        <v>161.21199999999999</v>
      </c>
    </row>
    <row r="267" spans="1:28" ht="14.25" customHeight="1">
      <c r="A267" s="1" t="s">
        <v>212</v>
      </c>
      <c r="B267" s="1" t="s">
        <v>213</v>
      </c>
      <c r="C267" s="1" t="s">
        <v>214</v>
      </c>
      <c r="D267" s="1">
        <v>39</v>
      </c>
      <c r="E267" s="1" t="s">
        <v>43</v>
      </c>
      <c r="F267" s="1" t="s">
        <v>161</v>
      </c>
      <c r="G267" s="1" t="s">
        <v>215</v>
      </c>
      <c r="H267" s="1" t="s">
        <v>216</v>
      </c>
      <c r="I267" s="1" t="s">
        <v>1298</v>
      </c>
      <c r="J267" s="24">
        <v>45366</v>
      </c>
      <c r="K267" s="1" t="s">
        <v>1299</v>
      </c>
      <c r="L267" s="1" t="s">
        <v>202</v>
      </c>
      <c r="M267" s="1">
        <v>20.7</v>
      </c>
      <c r="N267" s="1">
        <v>3</v>
      </c>
      <c r="O267" s="1" t="s">
        <v>65</v>
      </c>
      <c r="P267" s="1">
        <v>5</v>
      </c>
      <c r="Q267" s="1">
        <v>67</v>
      </c>
      <c r="R267" s="24">
        <v>45372</v>
      </c>
      <c r="S267" s="1" t="s">
        <v>1300</v>
      </c>
      <c r="T267" s="4">
        <f>Table1[[#This Row],[Delivery_Date]]-Table1[[#This Row],[Order_Date]]</f>
        <v>6</v>
      </c>
      <c r="U267" s="4">
        <f>Table1[[#This Row],[Price]]*Table1[[#This Row],[Quantity]]</f>
        <v>62.099999999999994</v>
      </c>
      <c r="V267" s="11">
        <f t="shared" si="4"/>
        <v>0</v>
      </c>
      <c r="W267" s="4">
        <f>Table1[[#This Row],[Amount]]-(Table1[[#This Row],[Amount]]*Table1[[#This Row],[Discount_Percent]])</f>
        <v>62.099999999999994</v>
      </c>
      <c r="X267" s="4">
        <f>IF(O267="DEL0", Table1[[#This Row],[Discounted_Amount]],Table1[[#This Row],[Discounted_Amount]]+Table1[[#This Row],[Delivery_Charge]])</f>
        <v>62.099999999999994</v>
      </c>
      <c r="Y267" s="4" t="str">
        <f>Table1[[#This Row],[First_Name]]&amp;" "&amp;Table1[[#This Row],[Last_Name]]</f>
        <v>Christian Clayton</v>
      </c>
      <c r="Z267" s="4" t="str">
        <f>IF(T:T&gt;Table1[[#This Row],[Estimated_Days_to_Deliver]],"Late",IF(T:T=Table1[[#This Row],[Estimated_Days_to_Deliver]],"Intime","BeforeTime"))</f>
        <v>Late</v>
      </c>
      <c r="AA267" s="4">
        <f>MONTH(Table1[[#This Row],[Order_Date]])</f>
        <v>3</v>
      </c>
      <c r="AB267" s="13">
        <f>Table1[[#This Row],[Amount]]*Table1[[#This Row],[Discount_Percent]]</f>
        <v>0</v>
      </c>
    </row>
    <row r="268" spans="1:28" ht="14.25" customHeight="1">
      <c r="A268" s="1" t="s">
        <v>187</v>
      </c>
      <c r="B268" s="1" t="s">
        <v>188</v>
      </c>
      <c r="C268" s="1" t="s">
        <v>189</v>
      </c>
      <c r="D268" s="1">
        <v>42</v>
      </c>
      <c r="E268" s="1" t="s">
        <v>43</v>
      </c>
      <c r="F268" s="1" t="s">
        <v>170</v>
      </c>
      <c r="G268" s="1" t="s">
        <v>190</v>
      </c>
      <c r="H268" s="1" t="s">
        <v>191</v>
      </c>
      <c r="I268" s="1" t="s">
        <v>1301</v>
      </c>
      <c r="J268" s="24">
        <v>45541</v>
      </c>
      <c r="K268" s="1" t="s">
        <v>1302</v>
      </c>
      <c r="L268" s="1" t="s">
        <v>517</v>
      </c>
      <c r="M268" s="1">
        <v>136.30000000000001</v>
      </c>
      <c r="N268" s="1">
        <v>2</v>
      </c>
      <c r="O268" s="1" t="s">
        <v>87</v>
      </c>
      <c r="P268" s="1">
        <v>5</v>
      </c>
      <c r="Q268" s="1">
        <v>45</v>
      </c>
      <c r="R268" s="24">
        <v>45546</v>
      </c>
      <c r="S268" s="1" t="s">
        <v>1303</v>
      </c>
      <c r="T268" s="4">
        <f>Table1[[#This Row],[Delivery_Date]]-Table1[[#This Row],[Order_Date]]</f>
        <v>5</v>
      </c>
      <c r="U268" s="4">
        <f>Table1[[#This Row],[Price]]*Table1[[#This Row],[Quantity]]</f>
        <v>272.60000000000002</v>
      </c>
      <c r="V268" s="11">
        <f t="shared" si="4"/>
        <v>0.2</v>
      </c>
      <c r="W268" s="4">
        <f>Table1[[#This Row],[Amount]]-(Table1[[#This Row],[Amount]]*Table1[[#This Row],[Discount_Percent]])</f>
        <v>218.08</v>
      </c>
      <c r="X268" s="4">
        <f>IF(O268="DEL0", Table1[[#This Row],[Discounted_Amount]],Table1[[#This Row],[Discounted_Amount]]+Table1[[#This Row],[Delivery_Charge]])</f>
        <v>263.08000000000004</v>
      </c>
      <c r="Y268" s="4" t="str">
        <f>Table1[[#This Row],[First_Name]]&amp;" "&amp;Table1[[#This Row],[Last_Name]]</f>
        <v>Mallory Mitchell</v>
      </c>
      <c r="Z268" s="4" t="str">
        <f>IF(T:T&gt;Table1[[#This Row],[Estimated_Days_to_Deliver]],"Late",IF(T:T=Table1[[#This Row],[Estimated_Days_to_Deliver]],"Intime","BeforeTime"))</f>
        <v>Intime</v>
      </c>
      <c r="AA268" s="4">
        <f>MONTH(Table1[[#This Row],[Order_Date]])</f>
        <v>9</v>
      </c>
      <c r="AB268" s="13">
        <f>Table1[[#This Row],[Amount]]*Table1[[#This Row],[Discount_Percent]]</f>
        <v>54.52000000000001</v>
      </c>
    </row>
    <row r="269" spans="1:28" ht="14.25" customHeight="1">
      <c r="A269" s="1" t="s">
        <v>708</v>
      </c>
      <c r="B269" s="1" t="s">
        <v>709</v>
      </c>
      <c r="C269" s="1" t="s">
        <v>710</v>
      </c>
      <c r="D269" s="1">
        <v>26</v>
      </c>
      <c r="E269" s="1" t="s">
        <v>54</v>
      </c>
      <c r="F269" s="1" t="s">
        <v>78</v>
      </c>
      <c r="G269" s="1" t="s">
        <v>711</v>
      </c>
      <c r="H269" s="1" t="s">
        <v>712</v>
      </c>
      <c r="I269" s="1" t="s">
        <v>1304</v>
      </c>
      <c r="J269" s="24">
        <v>45389</v>
      </c>
      <c r="K269" s="1" t="s">
        <v>1305</v>
      </c>
      <c r="L269" s="1" t="s">
        <v>741</v>
      </c>
      <c r="M269" s="1">
        <v>110.95</v>
      </c>
      <c r="N269" s="1">
        <v>2</v>
      </c>
      <c r="O269" s="1" t="s">
        <v>87</v>
      </c>
      <c r="P269" s="1">
        <v>5</v>
      </c>
      <c r="Q269" s="1">
        <v>36</v>
      </c>
      <c r="R269" s="24">
        <v>45394</v>
      </c>
      <c r="S269" s="1" t="s">
        <v>1306</v>
      </c>
      <c r="T269" s="4">
        <f>Table1[[#This Row],[Delivery_Date]]-Table1[[#This Row],[Order_Date]]</f>
        <v>5</v>
      </c>
      <c r="U269" s="4">
        <f>Table1[[#This Row],[Price]]*Table1[[#This Row],[Quantity]]</f>
        <v>221.9</v>
      </c>
      <c r="V269" s="11">
        <f t="shared" si="4"/>
        <v>0.2</v>
      </c>
      <c r="W269" s="4">
        <f>Table1[[#This Row],[Amount]]-(Table1[[#This Row],[Amount]]*Table1[[#This Row],[Discount_Percent]])</f>
        <v>177.52</v>
      </c>
      <c r="X269" s="4">
        <f>IF(O269="DEL0", Table1[[#This Row],[Discounted_Amount]],Table1[[#This Row],[Discounted_Amount]]+Table1[[#This Row],[Delivery_Charge]])</f>
        <v>213.52</v>
      </c>
      <c r="Y269" s="4" t="str">
        <f>Table1[[#This Row],[First_Name]]&amp;" "&amp;Table1[[#This Row],[Last_Name]]</f>
        <v>Gregory Lee</v>
      </c>
      <c r="Z269" s="4" t="str">
        <f>IF(T:T&gt;Table1[[#This Row],[Estimated_Days_to_Deliver]],"Late",IF(T:T=Table1[[#This Row],[Estimated_Days_to_Deliver]],"Intime","BeforeTime"))</f>
        <v>Intime</v>
      </c>
      <c r="AA269" s="4">
        <f>MONTH(Table1[[#This Row],[Order_Date]])</f>
        <v>4</v>
      </c>
      <c r="AB269" s="13">
        <f>Table1[[#This Row],[Amount]]*Table1[[#This Row],[Discount_Percent]]</f>
        <v>44.38</v>
      </c>
    </row>
    <row r="270" spans="1:28" ht="14.25" customHeight="1">
      <c r="A270" s="1" t="s">
        <v>230</v>
      </c>
      <c r="B270" s="1" t="s">
        <v>231</v>
      </c>
      <c r="C270" s="1" t="s">
        <v>232</v>
      </c>
      <c r="D270" s="1">
        <v>64</v>
      </c>
      <c r="E270" s="1" t="s">
        <v>43</v>
      </c>
      <c r="F270" s="1" t="s">
        <v>44</v>
      </c>
      <c r="G270" s="1" t="s">
        <v>233</v>
      </c>
      <c r="H270" s="1" t="s">
        <v>234</v>
      </c>
      <c r="I270" s="1" t="s">
        <v>1307</v>
      </c>
      <c r="J270" s="24">
        <v>45351</v>
      </c>
      <c r="K270" s="1" t="s">
        <v>1308</v>
      </c>
      <c r="L270" s="1" t="s">
        <v>347</v>
      </c>
      <c r="M270" s="1">
        <v>372.62</v>
      </c>
      <c r="N270" s="1">
        <v>3</v>
      </c>
      <c r="O270" s="1" t="s">
        <v>65</v>
      </c>
      <c r="P270" s="1">
        <v>5</v>
      </c>
      <c r="Q270" s="1">
        <v>54</v>
      </c>
      <c r="R270" s="24">
        <v>45352</v>
      </c>
      <c r="S270" s="1" t="s">
        <v>1309</v>
      </c>
      <c r="T270" s="4">
        <f>Table1[[#This Row],[Delivery_Date]]-Table1[[#This Row],[Order_Date]]</f>
        <v>1</v>
      </c>
      <c r="U270" s="4">
        <f>Table1[[#This Row],[Price]]*Table1[[#This Row],[Quantity]]</f>
        <v>1117.8600000000001</v>
      </c>
      <c r="V270" s="11">
        <f t="shared" si="4"/>
        <v>0</v>
      </c>
      <c r="W270" s="4">
        <f>Table1[[#This Row],[Amount]]-(Table1[[#This Row],[Amount]]*Table1[[#This Row],[Discount_Percent]])</f>
        <v>1117.8600000000001</v>
      </c>
      <c r="X270" s="4">
        <f>IF(O270="DEL0", Table1[[#This Row],[Discounted_Amount]],Table1[[#This Row],[Discounted_Amount]]+Table1[[#This Row],[Delivery_Charge]])</f>
        <v>1117.8600000000001</v>
      </c>
      <c r="Y270" s="4" t="str">
        <f>Table1[[#This Row],[First_Name]]&amp;" "&amp;Table1[[#This Row],[Last_Name]]</f>
        <v>John Herrera</v>
      </c>
      <c r="Z270" s="4" t="str">
        <f>IF(T:T&gt;Table1[[#This Row],[Estimated_Days_to_Deliver]],"Late",IF(T:T=Table1[[#This Row],[Estimated_Days_to_Deliver]],"Intime","BeforeTime"))</f>
        <v>BeforeTime</v>
      </c>
      <c r="AA270" s="4">
        <f>MONTH(Table1[[#This Row],[Order_Date]])</f>
        <v>2</v>
      </c>
      <c r="AB270" s="13">
        <f>Table1[[#This Row],[Amount]]*Table1[[#This Row],[Discount_Percent]]</f>
        <v>0</v>
      </c>
    </row>
    <row r="271" spans="1:28" ht="14.25" customHeight="1">
      <c r="A271" s="1" t="s">
        <v>1310</v>
      </c>
      <c r="B271" s="1" t="s">
        <v>1311</v>
      </c>
      <c r="C271" s="1" t="s">
        <v>1312</v>
      </c>
      <c r="D271" s="1">
        <v>63</v>
      </c>
      <c r="E271" s="1" t="s">
        <v>31</v>
      </c>
      <c r="F271" s="1" t="s">
        <v>170</v>
      </c>
      <c r="G271" s="1" t="s">
        <v>1313</v>
      </c>
      <c r="H271" s="1" t="s">
        <v>1314</v>
      </c>
      <c r="I271" s="1" t="s">
        <v>1315</v>
      </c>
      <c r="J271" s="24">
        <v>45083</v>
      </c>
      <c r="K271" s="1" t="s">
        <v>1316</v>
      </c>
      <c r="L271" s="1" t="s">
        <v>290</v>
      </c>
      <c r="M271" s="1">
        <v>157.63999999999999</v>
      </c>
      <c r="N271" s="1">
        <v>2</v>
      </c>
      <c r="O271" s="1" t="s">
        <v>38</v>
      </c>
      <c r="P271" s="1">
        <v>5</v>
      </c>
      <c r="Q271" s="1">
        <v>61</v>
      </c>
      <c r="R271" s="24">
        <v>45090</v>
      </c>
      <c r="S271" s="1" t="s">
        <v>1317</v>
      </c>
      <c r="T271" s="4">
        <f>Table1[[#This Row],[Delivery_Date]]-Table1[[#This Row],[Order_Date]]</f>
        <v>7</v>
      </c>
      <c r="U271" s="4">
        <f>Table1[[#This Row],[Price]]*Table1[[#This Row],[Quantity]]</f>
        <v>315.27999999999997</v>
      </c>
      <c r="V271" s="11">
        <f t="shared" si="4"/>
        <v>0.08</v>
      </c>
      <c r="W271" s="4">
        <f>Table1[[#This Row],[Amount]]-(Table1[[#This Row],[Amount]]*Table1[[#This Row],[Discount_Percent]])</f>
        <v>290.05759999999998</v>
      </c>
      <c r="X271" s="4">
        <f>IF(O271="DEL0", Table1[[#This Row],[Discounted_Amount]],Table1[[#This Row],[Discounted_Amount]]+Table1[[#This Row],[Delivery_Charge]])</f>
        <v>351.05759999999998</v>
      </c>
      <c r="Y271" s="4" t="str">
        <f>Table1[[#This Row],[First_Name]]&amp;" "&amp;Table1[[#This Row],[Last_Name]]</f>
        <v>Megan Hunt</v>
      </c>
      <c r="Z271" s="4" t="str">
        <f>IF(T:T&gt;Table1[[#This Row],[Estimated_Days_to_Deliver]],"Late",IF(T:T=Table1[[#This Row],[Estimated_Days_to_Deliver]],"Intime","BeforeTime"))</f>
        <v>Late</v>
      </c>
      <c r="AA271" s="4">
        <f>MONTH(Table1[[#This Row],[Order_Date]])</f>
        <v>6</v>
      </c>
      <c r="AB271" s="13">
        <f>Table1[[#This Row],[Amount]]*Table1[[#This Row],[Discount_Percent]]</f>
        <v>25.222399999999997</v>
      </c>
    </row>
    <row r="272" spans="1:28" ht="14.25" customHeight="1">
      <c r="A272" s="1" t="s">
        <v>1224</v>
      </c>
      <c r="B272" s="1" t="s">
        <v>1225</v>
      </c>
      <c r="C272" s="1" t="s">
        <v>1226</v>
      </c>
      <c r="D272" s="1">
        <v>19</v>
      </c>
      <c r="E272" s="1" t="s">
        <v>43</v>
      </c>
      <c r="F272" s="1" t="s">
        <v>78</v>
      </c>
      <c r="G272" s="1" t="s">
        <v>1227</v>
      </c>
      <c r="H272" s="1" t="s">
        <v>1228</v>
      </c>
      <c r="I272" s="1" t="s">
        <v>1318</v>
      </c>
      <c r="J272" s="24">
        <v>44997</v>
      </c>
      <c r="K272" s="1" t="s">
        <v>1319</v>
      </c>
      <c r="L272" s="1" t="s">
        <v>147</v>
      </c>
      <c r="M272" s="1">
        <v>190.1</v>
      </c>
      <c r="N272" s="1">
        <v>3</v>
      </c>
      <c r="O272" s="1" t="s">
        <v>38</v>
      </c>
      <c r="P272" s="1">
        <v>5</v>
      </c>
      <c r="Q272" s="1">
        <v>63</v>
      </c>
      <c r="R272" s="24">
        <v>45002</v>
      </c>
      <c r="S272" s="1" t="s">
        <v>1320</v>
      </c>
      <c r="T272" s="4">
        <f>Table1[[#This Row],[Delivery_Date]]-Table1[[#This Row],[Order_Date]]</f>
        <v>5</v>
      </c>
      <c r="U272" s="4">
        <f>Table1[[#This Row],[Price]]*Table1[[#This Row],[Quantity]]</f>
        <v>570.29999999999995</v>
      </c>
      <c r="V272" s="11">
        <f t="shared" si="4"/>
        <v>0.08</v>
      </c>
      <c r="W272" s="4">
        <f>Table1[[#This Row],[Amount]]-(Table1[[#This Row],[Amount]]*Table1[[#This Row],[Discount_Percent]])</f>
        <v>524.67599999999993</v>
      </c>
      <c r="X272" s="4">
        <f>IF(O272="DEL0", Table1[[#This Row],[Discounted_Amount]],Table1[[#This Row],[Discounted_Amount]]+Table1[[#This Row],[Delivery_Charge]])</f>
        <v>587.67599999999993</v>
      </c>
      <c r="Y272" s="4" t="str">
        <f>Table1[[#This Row],[First_Name]]&amp;" "&amp;Table1[[#This Row],[Last_Name]]</f>
        <v>Jessica Ruiz</v>
      </c>
      <c r="Z272" s="4" t="str">
        <f>IF(T:T&gt;Table1[[#This Row],[Estimated_Days_to_Deliver]],"Late",IF(T:T=Table1[[#This Row],[Estimated_Days_to_Deliver]],"Intime","BeforeTime"))</f>
        <v>Intime</v>
      </c>
      <c r="AA272" s="4">
        <f>MONTH(Table1[[#This Row],[Order_Date]])</f>
        <v>3</v>
      </c>
      <c r="AB272" s="13">
        <f>Table1[[#This Row],[Amount]]*Table1[[#This Row],[Discount_Percent]]</f>
        <v>45.623999999999995</v>
      </c>
    </row>
    <row r="273" spans="1:28" ht="14.25" customHeight="1">
      <c r="A273" s="1" t="s">
        <v>1321</v>
      </c>
      <c r="B273" s="1" t="s">
        <v>1322</v>
      </c>
      <c r="C273" s="1" t="s">
        <v>1323</v>
      </c>
      <c r="D273" s="1">
        <v>43</v>
      </c>
      <c r="E273" s="1" t="s">
        <v>31</v>
      </c>
      <c r="F273" s="1" t="s">
        <v>142</v>
      </c>
      <c r="G273" s="1" t="s">
        <v>1324</v>
      </c>
      <c r="H273" s="1" t="s">
        <v>1325</v>
      </c>
      <c r="I273" s="1" t="s">
        <v>1326</v>
      </c>
      <c r="J273" s="24">
        <v>45428</v>
      </c>
      <c r="K273" s="1" t="s">
        <v>1327</v>
      </c>
      <c r="L273" s="1" t="s">
        <v>944</v>
      </c>
      <c r="M273" s="1">
        <v>107.47</v>
      </c>
      <c r="N273" s="1">
        <v>1</v>
      </c>
      <c r="O273" s="1" t="s">
        <v>38</v>
      </c>
      <c r="P273" s="1">
        <v>5</v>
      </c>
      <c r="Q273" s="1">
        <v>36</v>
      </c>
      <c r="R273" s="24">
        <v>45430</v>
      </c>
      <c r="S273" s="1" t="s">
        <v>1328</v>
      </c>
      <c r="T273" s="4">
        <f>Table1[[#This Row],[Delivery_Date]]-Table1[[#This Row],[Order_Date]]</f>
        <v>2</v>
      </c>
      <c r="U273" s="4">
        <f>Table1[[#This Row],[Price]]*Table1[[#This Row],[Quantity]]</f>
        <v>107.47</v>
      </c>
      <c r="V273" s="11">
        <f t="shared" si="4"/>
        <v>0.08</v>
      </c>
      <c r="W273" s="4">
        <f>Table1[[#This Row],[Amount]]-(Table1[[#This Row],[Amount]]*Table1[[#This Row],[Discount_Percent]])</f>
        <v>98.872399999999999</v>
      </c>
      <c r="X273" s="4">
        <f>IF(O273="DEL0", Table1[[#This Row],[Discounted_Amount]],Table1[[#This Row],[Discounted_Amount]]+Table1[[#This Row],[Delivery_Charge]])</f>
        <v>134.8724</v>
      </c>
      <c r="Y273" s="4" t="str">
        <f>Table1[[#This Row],[First_Name]]&amp;" "&amp;Table1[[#This Row],[Last_Name]]</f>
        <v>Jared Horn</v>
      </c>
      <c r="Z273" s="4" t="str">
        <f>IF(T:T&gt;Table1[[#This Row],[Estimated_Days_to_Deliver]],"Late",IF(T:T=Table1[[#This Row],[Estimated_Days_to_Deliver]],"Intime","BeforeTime"))</f>
        <v>BeforeTime</v>
      </c>
      <c r="AA273" s="4">
        <f>MONTH(Table1[[#This Row],[Order_Date]])</f>
        <v>5</v>
      </c>
      <c r="AB273" s="13">
        <f>Table1[[#This Row],[Amount]]*Table1[[#This Row],[Discount_Percent]]</f>
        <v>8.5975999999999999</v>
      </c>
    </row>
    <row r="274" spans="1:28" ht="14.25" customHeight="1">
      <c r="A274" s="1" t="s">
        <v>388</v>
      </c>
      <c r="B274" s="1" t="s">
        <v>389</v>
      </c>
      <c r="C274" s="1" t="s">
        <v>390</v>
      </c>
      <c r="D274" s="1">
        <v>47</v>
      </c>
      <c r="E274" s="1" t="s">
        <v>43</v>
      </c>
      <c r="F274" s="1" t="s">
        <v>92</v>
      </c>
      <c r="G274" s="1" t="s">
        <v>391</v>
      </c>
      <c r="H274" s="1" t="s">
        <v>392</v>
      </c>
      <c r="I274" s="1" t="s">
        <v>1329</v>
      </c>
      <c r="J274" s="24">
        <v>45012</v>
      </c>
      <c r="K274" s="1" t="s">
        <v>1330</v>
      </c>
      <c r="L274" s="1" t="s">
        <v>137</v>
      </c>
      <c r="M274" s="1">
        <v>175.93</v>
      </c>
      <c r="N274" s="1">
        <v>3</v>
      </c>
      <c r="O274" s="1" t="s">
        <v>65</v>
      </c>
      <c r="P274" s="1">
        <v>5</v>
      </c>
      <c r="Q274" s="1">
        <v>58</v>
      </c>
      <c r="R274" s="24">
        <v>45017</v>
      </c>
      <c r="S274" s="1" t="s">
        <v>1331</v>
      </c>
      <c r="T274" s="4">
        <f>Table1[[#This Row],[Delivery_Date]]-Table1[[#This Row],[Order_Date]]</f>
        <v>5</v>
      </c>
      <c r="U274" s="4">
        <f>Table1[[#This Row],[Price]]*Table1[[#This Row],[Quantity]]</f>
        <v>527.79</v>
      </c>
      <c r="V274" s="11">
        <f t="shared" si="4"/>
        <v>0</v>
      </c>
      <c r="W274" s="4">
        <f>Table1[[#This Row],[Amount]]-(Table1[[#This Row],[Amount]]*Table1[[#This Row],[Discount_Percent]])</f>
        <v>527.79</v>
      </c>
      <c r="X274" s="4">
        <f>IF(O274="DEL0", Table1[[#This Row],[Discounted_Amount]],Table1[[#This Row],[Discounted_Amount]]+Table1[[#This Row],[Delivery_Charge]])</f>
        <v>527.79</v>
      </c>
      <c r="Y274" s="4" t="str">
        <f>Table1[[#This Row],[First_Name]]&amp;" "&amp;Table1[[#This Row],[Last_Name]]</f>
        <v>Aaron Thompson</v>
      </c>
      <c r="Z274" s="4" t="str">
        <f>IF(T:T&gt;Table1[[#This Row],[Estimated_Days_to_Deliver]],"Late",IF(T:T=Table1[[#This Row],[Estimated_Days_to_Deliver]],"Intime","BeforeTime"))</f>
        <v>Intime</v>
      </c>
      <c r="AA274" s="4">
        <f>MONTH(Table1[[#This Row],[Order_Date]])</f>
        <v>3</v>
      </c>
      <c r="AB274" s="13">
        <f>Table1[[#This Row],[Amount]]*Table1[[#This Row],[Discount_Percent]]</f>
        <v>0</v>
      </c>
    </row>
    <row r="275" spans="1:28" ht="14.25" customHeight="1">
      <c r="A275" s="1" t="s">
        <v>1213</v>
      </c>
      <c r="B275" s="1" t="s">
        <v>1214</v>
      </c>
      <c r="C275" s="1" t="s">
        <v>1215</v>
      </c>
      <c r="D275" s="1">
        <v>50</v>
      </c>
      <c r="E275" s="1" t="s">
        <v>54</v>
      </c>
      <c r="F275" s="1" t="s">
        <v>170</v>
      </c>
      <c r="G275" s="1" t="s">
        <v>1216</v>
      </c>
      <c r="H275" s="1" t="s">
        <v>1217</v>
      </c>
      <c r="I275" s="1" t="s">
        <v>1332</v>
      </c>
      <c r="J275" s="24">
        <v>45481</v>
      </c>
      <c r="K275" s="1" t="s">
        <v>1333</v>
      </c>
      <c r="L275" s="1" t="s">
        <v>689</v>
      </c>
      <c r="M275" s="1">
        <v>424.82</v>
      </c>
      <c r="N275" s="1">
        <v>3</v>
      </c>
      <c r="O275" s="1" t="s">
        <v>65</v>
      </c>
      <c r="P275" s="1">
        <v>5</v>
      </c>
      <c r="Q275" s="1">
        <v>42</v>
      </c>
      <c r="R275" s="24">
        <v>45482</v>
      </c>
      <c r="S275" s="1" t="s">
        <v>1334</v>
      </c>
      <c r="T275" s="4">
        <f>Table1[[#This Row],[Delivery_Date]]-Table1[[#This Row],[Order_Date]]</f>
        <v>1</v>
      </c>
      <c r="U275" s="4">
        <f>Table1[[#This Row],[Price]]*Table1[[#This Row],[Quantity]]</f>
        <v>1274.46</v>
      </c>
      <c r="V275" s="11">
        <f t="shared" si="4"/>
        <v>0</v>
      </c>
      <c r="W275" s="4">
        <f>Table1[[#This Row],[Amount]]-(Table1[[#This Row],[Amount]]*Table1[[#This Row],[Discount_Percent]])</f>
        <v>1274.46</v>
      </c>
      <c r="X275" s="4">
        <f>IF(O275="DEL0", Table1[[#This Row],[Discounted_Amount]],Table1[[#This Row],[Discounted_Amount]]+Table1[[#This Row],[Delivery_Charge]])</f>
        <v>1274.46</v>
      </c>
      <c r="Y275" s="4" t="str">
        <f>Table1[[#This Row],[First_Name]]&amp;" "&amp;Table1[[#This Row],[Last_Name]]</f>
        <v>Brendan Kelly</v>
      </c>
      <c r="Z275" s="4" t="str">
        <f>IF(T:T&gt;Table1[[#This Row],[Estimated_Days_to_Deliver]],"Late",IF(T:T=Table1[[#This Row],[Estimated_Days_to_Deliver]],"Intime","BeforeTime"))</f>
        <v>BeforeTime</v>
      </c>
      <c r="AA275" s="4">
        <f>MONTH(Table1[[#This Row],[Order_Date]])</f>
        <v>7</v>
      </c>
      <c r="AB275" s="13">
        <f>Table1[[#This Row],[Amount]]*Table1[[#This Row],[Discount_Percent]]</f>
        <v>0</v>
      </c>
    </row>
    <row r="276" spans="1:28" ht="14.25" customHeight="1">
      <c r="A276" s="1" t="s">
        <v>1335</v>
      </c>
      <c r="B276" s="1" t="s">
        <v>1336</v>
      </c>
      <c r="C276" s="1" t="s">
        <v>398</v>
      </c>
      <c r="D276" s="1">
        <v>18</v>
      </c>
      <c r="E276" s="1" t="s">
        <v>43</v>
      </c>
      <c r="F276" s="1" t="s">
        <v>223</v>
      </c>
      <c r="G276" s="1" t="s">
        <v>1337</v>
      </c>
      <c r="H276" s="1" t="s">
        <v>1338</v>
      </c>
      <c r="I276" s="1" t="s">
        <v>1339</v>
      </c>
      <c r="J276" s="24">
        <v>45332</v>
      </c>
      <c r="K276" s="1" t="s">
        <v>1340</v>
      </c>
      <c r="L276" s="1" t="s">
        <v>326</v>
      </c>
      <c r="M276" s="1">
        <v>481.48</v>
      </c>
      <c r="N276" s="1">
        <v>4</v>
      </c>
      <c r="O276" s="1" t="s">
        <v>65</v>
      </c>
      <c r="P276" s="1">
        <v>5</v>
      </c>
      <c r="Q276" s="1">
        <v>61</v>
      </c>
      <c r="R276" s="24">
        <v>45338</v>
      </c>
      <c r="S276" s="1" t="s">
        <v>1341</v>
      </c>
      <c r="T276" s="4">
        <f>Table1[[#This Row],[Delivery_Date]]-Table1[[#This Row],[Order_Date]]</f>
        <v>6</v>
      </c>
      <c r="U276" s="4">
        <f>Table1[[#This Row],[Price]]*Table1[[#This Row],[Quantity]]</f>
        <v>1925.92</v>
      </c>
      <c r="V276" s="11">
        <f t="shared" si="4"/>
        <v>0</v>
      </c>
      <c r="W276" s="4">
        <f>Table1[[#This Row],[Amount]]-(Table1[[#This Row],[Amount]]*Table1[[#This Row],[Discount_Percent]])</f>
        <v>1925.92</v>
      </c>
      <c r="X276" s="4">
        <f>IF(O276="DEL0", Table1[[#This Row],[Discounted_Amount]],Table1[[#This Row],[Discounted_Amount]]+Table1[[#This Row],[Delivery_Charge]])</f>
        <v>1925.92</v>
      </c>
      <c r="Y276" s="4" t="str">
        <f>Table1[[#This Row],[First_Name]]&amp;" "&amp;Table1[[#This Row],[Last_Name]]</f>
        <v>Veronica Lopez</v>
      </c>
      <c r="Z276" s="4" t="str">
        <f>IF(T:T&gt;Table1[[#This Row],[Estimated_Days_to_Deliver]],"Late",IF(T:T=Table1[[#This Row],[Estimated_Days_to_Deliver]],"Intime","BeforeTime"))</f>
        <v>Late</v>
      </c>
      <c r="AA276" s="4">
        <f>MONTH(Table1[[#This Row],[Order_Date]])</f>
        <v>2</v>
      </c>
      <c r="AB276" s="13">
        <f>Table1[[#This Row],[Amount]]*Table1[[#This Row],[Discount_Percent]]</f>
        <v>0</v>
      </c>
    </row>
    <row r="277" spans="1:28" ht="14.25" customHeight="1">
      <c r="A277" s="1" t="s">
        <v>1213</v>
      </c>
      <c r="B277" s="1" t="s">
        <v>1214</v>
      </c>
      <c r="C277" s="1" t="s">
        <v>1215</v>
      </c>
      <c r="D277" s="1">
        <v>50</v>
      </c>
      <c r="E277" s="1" t="s">
        <v>54</v>
      </c>
      <c r="F277" s="1" t="s">
        <v>170</v>
      </c>
      <c r="G277" s="1" t="s">
        <v>1216</v>
      </c>
      <c r="H277" s="1" t="s">
        <v>1217</v>
      </c>
      <c r="I277" s="1" t="s">
        <v>1342</v>
      </c>
      <c r="J277" s="24">
        <v>45599</v>
      </c>
      <c r="K277" s="1" t="s">
        <v>1343</v>
      </c>
      <c r="L277" s="1" t="s">
        <v>185</v>
      </c>
      <c r="M277" s="1">
        <v>104.18</v>
      </c>
      <c r="N277" s="1">
        <v>1</v>
      </c>
      <c r="O277" s="1" t="s">
        <v>38</v>
      </c>
      <c r="P277" s="1">
        <v>5</v>
      </c>
      <c r="Q277" s="1">
        <v>48</v>
      </c>
      <c r="R277" s="24">
        <v>45603</v>
      </c>
      <c r="S277" s="1" t="s">
        <v>1344</v>
      </c>
      <c r="T277" s="4">
        <f>Table1[[#This Row],[Delivery_Date]]-Table1[[#This Row],[Order_Date]]</f>
        <v>4</v>
      </c>
      <c r="U277" s="4">
        <f>Table1[[#This Row],[Price]]*Table1[[#This Row],[Quantity]]</f>
        <v>104.18</v>
      </c>
      <c r="V277" s="11">
        <f t="shared" si="4"/>
        <v>0.08</v>
      </c>
      <c r="W277" s="4">
        <f>Table1[[#This Row],[Amount]]-(Table1[[#This Row],[Amount]]*Table1[[#This Row],[Discount_Percent]])</f>
        <v>95.845600000000005</v>
      </c>
      <c r="X277" s="4">
        <f>IF(O277="DEL0", Table1[[#This Row],[Discounted_Amount]],Table1[[#This Row],[Discounted_Amount]]+Table1[[#This Row],[Delivery_Charge]])</f>
        <v>143.84559999999999</v>
      </c>
      <c r="Y277" s="4" t="str">
        <f>Table1[[#This Row],[First_Name]]&amp;" "&amp;Table1[[#This Row],[Last_Name]]</f>
        <v>Brendan Kelly</v>
      </c>
      <c r="Z277" s="4" t="str">
        <f>IF(T:T&gt;Table1[[#This Row],[Estimated_Days_to_Deliver]],"Late",IF(T:T=Table1[[#This Row],[Estimated_Days_to_Deliver]],"Intime","BeforeTime"))</f>
        <v>BeforeTime</v>
      </c>
      <c r="AA277" s="4">
        <f>MONTH(Table1[[#This Row],[Order_Date]])</f>
        <v>11</v>
      </c>
      <c r="AB277" s="13">
        <f>Table1[[#This Row],[Amount]]*Table1[[#This Row],[Discount_Percent]]</f>
        <v>8.3344000000000005</v>
      </c>
    </row>
    <row r="278" spans="1:28" ht="14.25" customHeight="1">
      <c r="A278" s="1" t="s">
        <v>1345</v>
      </c>
      <c r="B278" s="1" t="s">
        <v>511</v>
      </c>
      <c r="C278" s="1" t="s">
        <v>1346</v>
      </c>
      <c r="D278" s="1">
        <v>40</v>
      </c>
      <c r="E278" s="1" t="s">
        <v>54</v>
      </c>
      <c r="F278" s="1" t="s">
        <v>223</v>
      </c>
      <c r="G278" s="1" t="s">
        <v>1347</v>
      </c>
      <c r="H278" s="1" t="s">
        <v>1348</v>
      </c>
      <c r="I278" s="1" t="s">
        <v>1349</v>
      </c>
      <c r="J278" s="24">
        <v>45422</v>
      </c>
      <c r="K278" s="1" t="s">
        <v>1350</v>
      </c>
      <c r="L278" s="1" t="s">
        <v>556</v>
      </c>
      <c r="M278" s="1">
        <v>425.59</v>
      </c>
      <c r="N278" s="1">
        <v>2</v>
      </c>
      <c r="O278" s="1" t="s">
        <v>38</v>
      </c>
      <c r="P278" s="1">
        <v>5</v>
      </c>
      <c r="Q278" s="1">
        <v>47</v>
      </c>
      <c r="R278" s="24">
        <v>45423</v>
      </c>
      <c r="S278" s="1" t="s">
        <v>1351</v>
      </c>
      <c r="T278" s="4">
        <f>Table1[[#This Row],[Delivery_Date]]-Table1[[#This Row],[Order_Date]]</f>
        <v>1</v>
      </c>
      <c r="U278" s="4">
        <f>Table1[[#This Row],[Price]]*Table1[[#This Row],[Quantity]]</f>
        <v>851.18</v>
      </c>
      <c r="V278" s="11">
        <f t="shared" si="4"/>
        <v>0.08</v>
      </c>
      <c r="W278" s="4">
        <f>Table1[[#This Row],[Amount]]-(Table1[[#This Row],[Amount]]*Table1[[#This Row],[Discount_Percent]])</f>
        <v>783.0856</v>
      </c>
      <c r="X278" s="4">
        <f>IF(O278="DEL0", Table1[[#This Row],[Discounted_Amount]],Table1[[#This Row],[Discounted_Amount]]+Table1[[#This Row],[Delivery_Charge]])</f>
        <v>830.0856</v>
      </c>
      <c r="Y278" s="4" t="str">
        <f>Table1[[#This Row],[First_Name]]&amp;" "&amp;Table1[[#This Row],[Last_Name]]</f>
        <v>Sarah Benson</v>
      </c>
      <c r="Z278" s="4" t="str">
        <f>IF(T:T&gt;Table1[[#This Row],[Estimated_Days_to_Deliver]],"Late",IF(T:T=Table1[[#This Row],[Estimated_Days_to_Deliver]],"Intime","BeforeTime"))</f>
        <v>BeforeTime</v>
      </c>
      <c r="AA278" s="4">
        <f>MONTH(Table1[[#This Row],[Order_Date]])</f>
        <v>5</v>
      </c>
      <c r="AB278" s="13">
        <f>Table1[[#This Row],[Amount]]*Table1[[#This Row],[Discount_Percent]]</f>
        <v>68.094399999999993</v>
      </c>
    </row>
    <row r="279" spans="1:28" ht="14.25" customHeight="1">
      <c r="A279" s="1" t="s">
        <v>1224</v>
      </c>
      <c r="B279" s="1" t="s">
        <v>1225</v>
      </c>
      <c r="C279" s="1" t="s">
        <v>1226</v>
      </c>
      <c r="D279" s="1">
        <v>19</v>
      </c>
      <c r="E279" s="1" t="s">
        <v>43</v>
      </c>
      <c r="F279" s="1" t="s">
        <v>78</v>
      </c>
      <c r="G279" s="1" t="s">
        <v>1227</v>
      </c>
      <c r="H279" s="1" t="s">
        <v>1228</v>
      </c>
      <c r="I279" s="1" t="s">
        <v>1352</v>
      </c>
      <c r="J279" s="24">
        <v>45017</v>
      </c>
      <c r="K279" s="1" t="s">
        <v>1353</v>
      </c>
      <c r="L279" s="1" t="s">
        <v>228</v>
      </c>
      <c r="M279" s="1">
        <v>461.07</v>
      </c>
      <c r="N279" s="1">
        <v>4</v>
      </c>
      <c r="O279" s="1" t="s">
        <v>65</v>
      </c>
      <c r="P279" s="1">
        <v>5</v>
      </c>
      <c r="Q279" s="1">
        <v>46</v>
      </c>
      <c r="R279" s="24">
        <v>45022</v>
      </c>
      <c r="S279" s="1" t="s">
        <v>1354</v>
      </c>
      <c r="T279" s="4">
        <f>Table1[[#This Row],[Delivery_Date]]-Table1[[#This Row],[Order_Date]]</f>
        <v>5</v>
      </c>
      <c r="U279" s="4">
        <f>Table1[[#This Row],[Price]]*Table1[[#This Row],[Quantity]]</f>
        <v>1844.28</v>
      </c>
      <c r="V279" s="11">
        <f t="shared" si="4"/>
        <v>0</v>
      </c>
      <c r="W279" s="4">
        <f>Table1[[#This Row],[Amount]]-(Table1[[#This Row],[Amount]]*Table1[[#This Row],[Discount_Percent]])</f>
        <v>1844.28</v>
      </c>
      <c r="X279" s="4">
        <f>IF(O279="DEL0", Table1[[#This Row],[Discounted_Amount]],Table1[[#This Row],[Discounted_Amount]]+Table1[[#This Row],[Delivery_Charge]])</f>
        <v>1844.28</v>
      </c>
      <c r="Y279" s="4" t="str">
        <f>Table1[[#This Row],[First_Name]]&amp;" "&amp;Table1[[#This Row],[Last_Name]]</f>
        <v>Jessica Ruiz</v>
      </c>
      <c r="Z279" s="4" t="str">
        <f>IF(T:T&gt;Table1[[#This Row],[Estimated_Days_to_Deliver]],"Late",IF(T:T=Table1[[#This Row],[Estimated_Days_to_Deliver]],"Intime","BeforeTime"))</f>
        <v>Intime</v>
      </c>
      <c r="AA279" s="4">
        <f>MONTH(Table1[[#This Row],[Order_Date]])</f>
        <v>4</v>
      </c>
      <c r="AB279" s="13">
        <f>Table1[[#This Row],[Amount]]*Table1[[#This Row],[Discount_Percent]]</f>
        <v>0</v>
      </c>
    </row>
    <row r="280" spans="1:28" ht="14.25" customHeight="1">
      <c r="A280" s="1" t="s">
        <v>149</v>
      </c>
      <c r="B280" s="1" t="s">
        <v>150</v>
      </c>
      <c r="C280" s="1" t="s">
        <v>151</v>
      </c>
      <c r="D280" s="1">
        <v>44</v>
      </c>
      <c r="E280" s="1" t="s">
        <v>43</v>
      </c>
      <c r="F280" s="1" t="s">
        <v>92</v>
      </c>
      <c r="G280" s="1" t="s">
        <v>152</v>
      </c>
      <c r="H280" s="1" t="s">
        <v>153</v>
      </c>
      <c r="I280" s="1" t="s">
        <v>1355</v>
      </c>
      <c r="J280" s="24">
        <v>45422</v>
      </c>
      <c r="K280" s="1" t="s">
        <v>1356</v>
      </c>
      <c r="L280" s="1" t="s">
        <v>273</v>
      </c>
      <c r="M280" s="1">
        <v>62.42</v>
      </c>
      <c r="N280" s="1">
        <v>4</v>
      </c>
      <c r="O280" s="1" t="s">
        <v>60</v>
      </c>
      <c r="P280" s="1">
        <v>5</v>
      </c>
      <c r="Q280" s="1">
        <v>67</v>
      </c>
      <c r="R280" s="24">
        <v>45426</v>
      </c>
      <c r="S280" s="1" t="s">
        <v>1357</v>
      </c>
      <c r="T280" s="4">
        <f>Table1[[#This Row],[Delivery_Date]]-Table1[[#This Row],[Order_Date]]</f>
        <v>4</v>
      </c>
      <c r="U280" s="4">
        <f>Table1[[#This Row],[Price]]*Table1[[#This Row],[Quantity]]</f>
        <v>249.68</v>
      </c>
      <c r="V280" s="11">
        <f t="shared" si="4"/>
        <v>0.15</v>
      </c>
      <c r="W280" s="4">
        <f>Table1[[#This Row],[Amount]]-(Table1[[#This Row],[Amount]]*Table1[[#This Row],[Discount_Percent]])</f>
        <v>212.22800000000001</v>
      </c>
      <c r="X280" s="4">
        <f>IF(O280="DEL0", Table1[[#This Row],[Discounted_Amount]],Table1[[#This Row],[Discounted_Amount]]+Table1[[#This Row],[Delivery_Charge]])</f>
        <v>279.22800000000001</v>
      </c>
      <c r="Y280" s="4" t="str">
        <f>Table1[[#This Row],[First_Name]]&amp;" "&amp;Table1[[#This Row],[Last_Name]]</f>
        <v>Amy Reid</v>
      </c>
      <c r="Z280" s="4" t="str">
        <f>IF(T:T&gt;Table1[[#This Row],[Estimated_Days_to_Deliver]],"Late",IF(T:T=Table1[[#This Row],[Estimated_Days_to_Deliver]],"Intime","BeforeTime"))</f>
        <v>BeforeTime</v>
      </c>
      <c r="AA280" s="4">
        <f>MONTH(Table1[[#This Row],[Order_Date]])</f>
        <v>5</v>
      </c>
      <c r="AB280" s="13">
        <f>Table1[[#This Row],[Amount]]*Table1[[#This Row],[Discount_Percent]]</f>
        <v>37.451999999999998</v>
      </c>
    </row>
    <row r="281" spans="1:28" ht="14.25" customHeight="1">
      <c r="A281" s="1" t="s">
        <v>40</v>
      </c>
      <c r="B281" s="1" t="s">
        <v>41</v>
      </c>
      <c r="C281" s="1" t="s">
        <v>42</v>
      </c>
      <c r="D281" s="1">
        <v>53</v>
      </c>
      <c r="E281" s="1" t="s">
        <v>43</v>
      </c>
      <c r="F281" s="1" t="s">
        <v>44</v>
      </c>
      <c r="G281" s="1" t="s">
        <v>45</v>
      </c>
      <c r="H281" s="1" t="s">
        <v>46</v>
      </c>
      <c r="I281" s="1" t="s">
        <v>1358</v>
      </c>
      <c r="J281" s="24">
        <v>45186</v>
      </c>
      <c r="K281" s="1" t="s">
        <v>1359</v>
      </c>
      <c r="L281" s="1" t="s">
        <v>128</v>
      </c>
      <c r="M281" s="1">
        <v>257.06</v>
      </c>
      <c r="N281" s="1">
        <v>1</v>
      </c>
      <c r="O281" s="1" t="s">
        <v>87</v>
      </c>
      <c r="P281" s="1">
        <v>5</v>
      </c>
      <c r="Q281" s="1">
        <v>64</v>
      </c>
      <c r="R281" s="24">
        <v>45188</v>
      </c>
      <c r="S281" s="1" t="s">
        <v>1360</v>
      </c>
      <c r="T281" s="4">
        <f>Table1[[#This Row],[Delivery_Date]]-Table1[[#This Row],[Order_Date]]</f>
        <v>2</v>
      </c>
      <c r="U281" s="4">
        <f>Table1[[#This Row],[Price]]*Table1[[#This Row],[Quantity]]</f>
        <v>257.06</v>
      </c>
      <c r="V281" s="11">
        <f t="shared" si="4"/>
        <v>0.2</v>
      </c>
      <c r="W281" s="4">
        <f>Table1[[#This Row],[Amount]]-(Table1[[#This Row],[Amount]]*Table1[[#This Row],[Discount_Percent]])</f>
        <v>205.648</v>
      </c>
      <c r="X281" s="4">
        <f>IF(O281="DEL0", Table1[[#This Row],[Discounted_Amount]],Table1[[#This Row],[Discounted_Amount]]+Table1[[#This Row],[Delivery_Charge]])</f>
        <v>269.64800000000002</v>
      </c>
      <c r="Y281" s="4" t="str">
        <f>Table1[[#This Row],[First_Name]]&amp;" "&amp;Table1[[#This Row],[Last_Name]]</f>
        <v>Anthony Thomas</v>
      </c>
      <c r="Z281" s="4" t="str">
        <f>IF(T:T&gt;Table1[[#This Row],[Estimated_Days_to_Deliver]],"Late",IF(T:T=Table1[[#This Row],[Estimated_Days_to_Deliver]],"Intime","BeforeTime"))</f>
        <v>BeforeTime</v>
      </c>
      <c r="AA281" s="4">
        <f>MONTH(Table1[[#This Row],[Order_Date]])</f>
        <v>9</v>
      </c>
      <c r="AB281" s="13">
        <f>Table1[[#This Row],[Amount]]*Table1[[#This Row],[Discount_Percent]]</f>
        <v>51.412000000000006</v>
      </c>
    </row>
    <row r="282" spans="1:28" ht="14.25" customHeight="1">
      <c r="A282" s="1" t="s">
        <v>549</v>
      </c>
      <c r="B282" s="1" t="s">
        <v>550</v>
      </c>
      <c r="C282" s="1" t="s">
        <v>551</v>
      </c>
      <c r="D282" s="1">
        <v>33</v>
      </c>
      <c r="E282" s="1" t="s">
        <v>54</v>
      </c>
      <c r="F282" s="1" t="s">
        <v>170</v>
      </c>
      <c r="G282" s="1" t="s">
        <v>552</v>
      </c>
      <c r="H282" s="1" t="s">
        <v>553</v>
      </c>
      <c r="I282" s="1" t="s">
        <v>1361</v>
      </c>
      <c r="J282" s="24">
        <v>45677</v>
      </c>
      <c r="K282" s="1" t="s">
        <v>1362</v>
      </c>
      <c r="L282" s="1" t="s">
        <v>175</v>
      </c>
      <c r="M282" s="1">
        <v>272.51</v>
      </c>
      <c r="N282" s="1">
        <v>4</v>
      </c>
      <c r="O282" s="1" t="s">
        <v>87</v>
      </c>
      <c r="P282" s="1">
        <v>5</v>
      </c>
      <c r="Q282" s="1">
        <v>39</v>
      </c>
      <c r="R282" s="24">
        <v>45679</v>
      </c>
      <c r="S282" s="1" t="s">
        <v>1363</v>
      </c>
      <c r="T282" s="4">
        <f>Table1[[#This Row],[Delivery_Date]]-Table1[[#This Row],[Order_Date]]</f>
        <v>2</v>
      </c>
      <c r="U282" s="4">
        <f>Table1[[#This Row],[Price]]*Table1[[#This Row],[Quantity]]</f>
        <v>1090.04</v>
      </c>
      <c r="V282" s="11">
        <f t="shared" si="4"/>
        <v>0.2</v>
      </c>
      <c r="W282" s="4">
        <f>Table1[[#This Row],[Amount]]-(Table1[[#This Row],[Amount]]*Table1[[#This Row],[Discount_Percent]])</f>
        <v>872.03199999999993</v>
      </c>
      <c r="X282" s="4">
        <f>IF(O282="DEL0", Table1[[#This Row],[Discounted_Amount]],Table1[[#This Row],[Discounted_Amount]]+Table1[[#This Row],[Delivery_Charge]])</f>
        <v>911.03199999999993</v>
      </c>
      <c r="Y282" s="4" t="str">
        <f>Table1[[#This Row],[First_Name]]&amp;" "&amp;Table1[[#This Row],[Last_Name]]</f>
        <v>Jodi Whitney</v>
      </c>
      <c r="Z282" s="4" t="str">
        <f>IF(T:T&gt;Table1[[#This Row],[Estimated_Days_to_Deliver]],"Late",IF(T:T=Table1[[#This Row],[Estimated_Days_to_Deliver]],"Intime","BeforeTime"))</f>
        <v>BeforeTime</v>
      </c>
      <c r="AA282" s="4">
        <f>MONTH(Table1[[#This Row],[Order_Date]])</f>
        <v>1</v>
      </c>
      <c r="AB282" s="13">
        <f>Table1[[#This Row],[Amount]]*Table1[[#This Row],[Discount_Percent]]</f>
        <v>218.00800000000001</v>
      </c>
    </row>
    <row r="283" spans="1:28" ht="14.25" customHeight="1">
      <c r="A283" s="1" t="s">
        <v>239</v>
      </c>
      <c r="B283" s="1" t="s">
        <v>68</v>
      </c>
      <c r="C283" s="1" t="s">
        <v>240</v>
      </c>
      <c r="D283" s="1">
        <v>52</v>
      </c>
      <c r="E283" s="1" t="s">
        <v>54</v>
      </c>
      <c r="F283" s="1" t="s">
        <v>44</v>
      </c>
      <c r="G283" s="1" t="s">
        <v>241</v>
      </c>
      <c r="H283" s="1" t="s">
        <v>242</v>
      </c>
      <c r="I283" s="1" t="s">
        <v>1364</v>
      </c>
      <c r="J283" s="24">
        <v>45242</v>
      </c>
      <c r="K283" s="1" t="s">
        <v>1365</v>
      </c>
      <c r="L283" s="1" t="s">
        <v>593</v>
      </c>
      <c r="M283" s="1">
        <v>403.03</v>
      </c>
      <c r="N283" s="1">
        <v>2</v>
      </c>
      <c r="O283" s="1" t="s">
        <v>38</v>
      </c>
      <c r="P283" s="1">
        <v>5</v>
      </c>
      <c r="Q283" s="1">
        <v>70</v>
      </c>
      <c r="R283" s="24">
        <v>45246</v>
      </c>
      <c r="S283" s="1" t="s">
        <v>1366</v>
      </c>
      <c r="T283" s="4">
        <f>Table1[[#This Row],[Delivery_Date]]-Table1[[#This Row],[Order_Date]]</f>
        <v>4</v>
      </c>
      <c r="U283" s="4">
        <f>Table1[[#This Row],[Price]]*Table1[[#This Row],[Quantity]]</f>
        <v>806.06</v>
      </c>
      <c r="V283" s="11">
        <f t="shared" si="4"/>
        <v>0.08</v>
      </c>
      <c r="W283" s="4">
        <f>Table1[[#This Row],[Amount]]-(Table1[[#This Row],[Amount]]*Table1[[#This Row],[Discount_Percent]])</f>
        <v>741.5752</v>
      </c>
      <c r="X283" s="4">
        <f>IF(O283="DEL0", Table1[[#This Row],[Discounted_Amount]],Table1[[#This Row],[Discounted_Amount]]+Table1[[#This Row],[Delivery_Charge]])</f>
        <v>811.5752</v>
      </c>
      <c r="Y283" s="4" t="str">
        <f>Table1[[#This Row],[First_Name]]&amp;" "&amp;Table1[[#This Row],[Last_Name]]</f>
        <v>Angela Evans</v>
      </c>
      <c r="Z283" s="4" t="str">
        <f>IF(T:T&gt;Table1[[#This Row],[Estimated_Days_to_Deliver]],"Late",IF(T:T=Table1[[#This Row],[Estimated_Days_to_Deliver]],"Intime","BeforeTime"))</f>
        <v>BeforeTime</v>
      </c>
      <c r="AA283" s="4">
        <f>MONTH(Table1[[#This Row],[Order_Date]])</f>
        <v>11</v>
      </c>
      <c r="AB283" s="13">
        <f>Table1[[#This Row],[Amount]]*Table1[[#This Row],[Discount_Percent]]</f>
        <v>64.484799999999993</v>
      </c>
    </row>
    <row r="284" spans="1:28" ht="14.25" customHeight="1">
      <c r="A284" s="1" t="s">
        <v>1224</v>
      </c>
      <c r="B284" s="1" t="s">
        <v>1225</v>
      </c>
      <c r="C284" s="1" t="s">
        <v>1226</v>
      </c>
      <c r="D284" s="1">
        <v>19</v>
      </c>
      <c r="E284" s="1" t="s">
        <v>43</v>
      </c>
      <c r="F284" s="1" t="s">
        <v>78</v>
      </c>
      <c r="G284" s="1" t="s">
        <v>1227</v>
      </c>
      <c r="H284" s="1" t="s">
        <v>1228</v>
      </c>
      <c r="I284" s="1" t="s">
        <v>1367</v>
      </c>
      <c r="J284" s="24">
        <v>45201</v>
      </c>
      <c r="K284" s="1" t="s">
        <v>1368</v>
      </c>
      <c r="L284" s="1" t="s">
        <v>228</v>
      </c>
      <c r="M284" s="1">
        <v>461.07</v>
      </c>
      <c r="N284" s="1">
        <v>3</v>
      </c>
      <c r="O284" s="1" t="s">
        <v>98</v>
      </c>
      <c r="P284" s="1">
        <v>5</v>
      </c>
      <c r="Q284" s="1">
        <v>61</v>
      </c>
      <c r="R284" s="24">
        <v>45202</v>
      </c>
      <c r="S284" s="1" t="s">
        <v>1369</v>
      </c>
      <c r="T284" s="4">
        <f>Table1[[#This Row],[Delivery_Date]]-Table1[[#This Row],[Order_Date]]</f>
        <v>1</v>
      </c>
      <c r="U284" s="4">
        <f>Table1[[#This Row],[Price]]*Table1[[#This Row],[Quantity]]</f>
        <v>1383.21</v>
      </c>
      <c r="V284" s="11">
        <f t="shared" si="4"/>
        <v>0.1</v>
      </c>
      <c r="W284" s="4">
        <f>Table1[[#This Row],[Amount]]-(Table1[[#This Row],[Amount]]*Table1[[#This Row],[Discount_Percent]])</f>
        <v>1244.8890000000001</v>
      </c>
      <c r="X284" s="4">
        <f>IF(O284="DEL0", Table1[[#This Row],[Discounted_Amount]],Table1[[#This Row],[Discounted_Amount]]+Table1[[#This Row],[Delivery_Charge]])</f>
        <v>1305.8890000000001</v>
      </c>
      <c r="Y284" s="4" t="str">
        <f>Table1[[#This Row],[First_Name]]&amp;" "&amp;Table1[[#This Row],[Last_Name]]</f>
        <v>Jessica Ruiz</v>
      </c>
      <c r="Z284" s="4" t="str">
        <f>IF(T:T&gt;Table1[[#This Row],[Estimated_Days_to_Deliver]],"Late",IF(T:T=Table1[[#This Row],[Estimated_Days_to_Deliver]],"Intime","BeforeTime"))</f>
        <v>BeforeTime</v>
      </c>
      <c r="AA284" s="4">
        <f>MONTH(Table1[[#This Row],[Order_Date]])</f>
        <v>10</v>
      </c>
      <c r="AB284" s="13">
        <f>Table1[[#This Row],[Amount]]*Table1[[#This Row],[Discount_Percent]]</f>
        <v>138.321</v>
      </c>
    </row>
    <row r="285" spans="1:28" ht="14.25" customHeight="1">
      <c r="A285" s="1" t="s">
        <v>1213</v>
      </c>
      <c r="B285" s="1" t="s">
        <v>1214</v>
      </c>
      <c r="C285" s="1" t="s">
        <v>1215</v>
      </c>
      <c r="D285" s="1">
        <v>50</v>
      </c>
      <c r="E285" s="1" t="s">
        <v>54</v>
      </c>
      <c r="F285" s="1" t="s">
        <v>170</v>
      </c>
      <c r="G285" s="1" t="s">
        <v>1216</v>
      </c>
      <c r="H285" s="1" t="s">
        <v>1217</v>
      </c>
      <c r="I285" s="1" t="s">
        <v>1370</v>
      </c>
      <c r="J285" s="24">
        <v>45522</v>
      </c>
      <c r="K285" s="1" t="s">
        <v>1371</v>
      </c>
      <c r="L285" s="1" t="s">
        <v>521</v>
      </c>
      <c r="M285" s="1">
        <v>441.03</v>
      </c>
      <c r="N285" s="1">
        <v>3</v>
      </c>
      <c r="O285" s="1" t="s">
        <v>87</v>
      </c>
      <c r="P285" s="1">
        <v>5</v>
      </c>
      <c r="Q285" s="1">
        <v>40</v>
      </c>
      <c r="R285" s="24">
        <v>45528</v>
      </c>
      <c r="S285" s="1" t="s">
        <v>1372</v>
      </c>
      <c r="T285" s="4">
        <f>Table1[[#This Row],[Delivery_Date]]-Table1[[#This Row],[Order_Date]]</f>
        <v>6</v>
      </c>
      <c r="U285" s="4">
        <f>Table1[[#This Row],[Price]]*Table1[[#This Row],[Quantity]]</f>
        <v>1323.09</v>
      </c>
      <c r="V285" s="11">
        <f t="shared" si="4"/>
        <v>0.2</v>
      </c>
      <c r="W285" s="4">
        <f>Table1[[#This Row],[Amount]]-(Table1[[#This Row],[Amount]]*Table1[[#This Row],[Discount_Percent]])</f>
        <v>1058.472</v>
      </c>
      <c r="X285" s="4">
        <f>IF(O285="DEL0", Table1[[#This Row],[Discounted_Amount]],Table1[[#This Row],[Discounted_Amount]]+Table1[[#This Row],[Delivery_Charge]])</f>
        <v>1098.472</v>
      </c>
      <c r="Y285" s="4" t="str">
        <f>Table1[[#This Row],[First_Name]]&amp;" "&amp;Table1[[#This Row],[Last_Name]]</f>
        <v>Brendan Kelly</v>
      </c>
      <c r="Z285" s="4" t="str">
        <f>IF(T:T&gt;Table1[[#This Row],[Estimated_Days_to_Deliver]],"Late",IF(T:T=Table1[[#This Row],[Estimated_Days_to_Deliver]],"Intime","BeforeTime"))</f>
        <v>Late</v>
      </c>
      <c r="AA285" s="4">
        <f>MONTH(Table1[[#This Row],[Order_Date]])</f>
        <v>8</v>
      </c>
      <c r="AB285" s="13">
        <f>Table1[[#This Row],[Amount]]*Table1[[#This Row],[Discount_Percent]]</f>
        <v>264.61799999999999</v>
      </c>
    </row>
    <row r="286" spans="1:28" ht="14.25" customHeight="1">
      <c r="A286" s="1" t="s">
        <v>139</v>
      </c>
      <c r="B286" s="1" t="s">
        <v>140</v>
      </c>
      <c r="C286" s="1" t="s">
        <v>141</v>
      </c>
      <c r="D286" s="1">
        <v>25</v>
      </c>
      <c r="E286" s="1" t="s">
        <v>54</v>
      </c>
      <c r="F286" s="1" t="s">
        <v>142</v>
      </c>
      <c r="G286" s="1" t="s">
        <v>143</v>
      </c>
      <c r="H286" s="1" t="s">
        <v>144</v>
      </c>
      <c r="I286" s="1" t="s">
        <v>1373</v>
      </c>
      <c r="J286" s="24">
        <v>45090</v>
      </c>
      <c r="K286" s="1" t="s">
        <v>1374</v>
      </c>
      <c r="L286" s="1" t="s">
        <v>137</v>
      </c>
      <c r="M286" s="1">
        <v>175.93</v>
      </c>
      <c r="N286" s="1">
        <v>4</v>
      </c>
      <c r="O286" s="1" t="s">
        <v>87</v>
      </c>
      <c r="P286" s="1">
        <v>5</v>
      </c>
      <c r="Q286" s="1">
        <v>45</v>
      </c>
      <c r="R286" s="24">
        <v>45097</v>
      </c>
      <c r="S286" s="1" t="s">
        <v>1375</v>
      </c>
      <c r="T286" s="4">
        <f>Table1[[#This Row],[Delivery_Date]]-Table1[[#This Row],[Order_Date]]</f>
        <v>7</v>
      </c>
      <c r="U286" s="4">
        <f>Table1[[#This Row],[Price]]*Table1[[#This Row],[Quantity]]</f>
        <v>703.72</v>
      </c>
      <c r="V286" s="11">
        <f t="shared" si="4"/>
        <v>0.2</v>
      </c>
      <c r="W286" s="4">
        <f>Table1[[#This Row],[Amount]]-(Table1[[#This Row],[Amount]]*Table1[[#This Row],[Discount_Percent]])</f>
        <v>562.976</v>
      </c>
      <c r="X286" s="4">
        <f>IF(O286="DEL0", Table1[[#This Row],[Discounted_Amount]],Table1[[#This Row],[Discounted_Amount]]+Table1[[#This Row],[Delivery_Charge]])</f>
        <v>607.976</v>
      </c>
      <c r="Y286" s="4" t="str">
        <f>Table1[[#This Row],[First_Name]]&amp;" "&amp;Table1[[#This Row],[Last_Name]]</f>
        <v>Kara Brennan</v>
      </c>
      <c r="Z286" s="4" t="str">
        <f>IF(T:T&gt;Table1[[#This Row],[Estimated_Days_to_Deliver]],"Late",IF(T:T=Table1[[#This Row],[Estimated_Days_to_Deliver]],"Intime","BeforeTime"))</f>
        <v>Late</v>
      </c>
      <c r="AA286" s="4">
        <f>MONTH(Table1[[#This Row],[Order_Date]])</f>
        <v>6</v>
      </c>
      <c r="AB286" s="13">
        <f>Table1[[#This Row],[Amount]]*Table1[[#This Row],[Discount_Percent]]</f>
        <v>140.744</v>
      </c>
    </row>
    <row r="287" spans="1:28" ht="14.25" customHeight="1">
      <c r="A287" s="1" t="s">
        <v>1224</v>
      </c>
      <c r="B287" s="1" t="s">
        <v>1225</v>
      </c>
      <c r="C287" s="1" t="s">
        <v>1226</v>
      </c>
      <c r="D287" s="1">
        <v>19</v>
      </c>
      <c r="E287" s="1" t="s">
        <v>43</v>
      </c>
      <c r="F287" s="1" t="s">
        <v>78</v>
      </c>
      <c r="G287" s="1" t="s">
        <v>1227</v>
      </c>
      <c r="H287" s="1" t="s">
        <v>1228</v>
      </c>
      <c r="I287" s="1" t="s">
        <v>1376</v>
      </c>
      <c r="J287" s="24">
        <v>45049</v>
      </c>
      <c r="K287" s="1" t="s">
        <v>1377</v>
      </c>
      <c r="L287" s="1" t="s">
        <v>433</v>
      </c>
      <c r="M287" s="1">
        <v>369.03</v>
      </c>
      <c r="N287" s="1">
        <v>3</v>
      </c>
      <c r="O287" s="1" t="s">
        <v>38</v>
      </c>
      <c r="P287" s="1">
        <v>5</v>
      </c>
      <c r="Q287" s="1">
        <v>50</v>
      </c>
      <c r="R287" s="24">
        <v>45052</v>
      </c>
      <c r="S287" s="1" t="s">
        <v>1378</v>
      </c>
      <c r="T287" s="4">
        <f>Table1[[#This Row],[Delivery_Date]]-Table1[[#This Row],[Order_Date]]</f>
        <v>3</v>
      </c>
      <c r="U287" s="4">
        <f>Table1[[#This Row],[Price]]*Table1[[#This Row],[Quantity]]</f>
        <v>1107.0899999999999</v>
      </c>
      <c r="V287" s="11">
        <f t="shared" si="4"/>
        <v>0.08</v>
      </c>
      <c r="W287" s="4">
        <f>Table1[[#This Row],[Amount]]-(Table1[[#This Row],[Amount]]*Table1[[#This Row],[Discount_Percent]])</f>
        <v>1018.5228</v>
      </c>
      <c r="X287" s="4">
        <f>IF(O287="DEL0", Table1[[#This Row],[Discounted_Amount]],Table1[[#This Row],[Discounted_Amount]]+Table1[[#This Row],[Delivery_Charge]])</f>
        <v>1068.5228</v>
      </c>
      <c r="Y287" s="4" t="str">
        <f>Table1[[#This Row],[First_Name]]&amp;" "&amp;Table1[[#This Row],[Last_Name]]</f>
        <v>Jessica Ruiz</v>
      </c>
      <c r="Z287" s="4" t="str">
        <f>IF(T:T&gt;Table1[[#This Row],[Estimated_Days_to_Deliver]],"Late",IF(T:T=Table1[[#This Row],[Estimated_Days_to_Deliver]],"Intime","BeforeTime"))</f>
        <v>BeforeTime</v>
      </c>
      <c r="AA287" s="4">
        <f>MONTH(Table1[[#This Row],[Order_Date]])</f>
        <v>5</v>
      </c>
      <c r="AB287" s="13">
        <f>Table1[[#This Row],[Amount]]*Table1[[#This Row],[Discount_Percent]]</f>
        <v>88.5672</v>
      </c>
    </row>
    <row r="288" spans="1:28" ht="14.25" customHeight="1">
      <c r="A288" s="1" t="s">
        <v>719</v>
      </c>
      <c r="B288" s="1" t="s">
        <v>720</v>
      </c>
      <c r="C288" s="1" t="s">
        <v>721</v>
      </c>
      <c r="D288" s="1">
        <v>32</v>
      </c>
      <c r="E288" s="1" t="s">
        <v>43</v>
      </c>
      <c r="F288" s="1" t="s">
        <v>32</v>
      </c>
      <c r="G288" s="1" t="s">
        <v>722</v>
      </c>
      <c r="H288" s="1" t="s">
        <v>723</v>
      </c>
      <c r="I288" s="1" t="s">
        <v>1379</v>
      </c>
      <c r="J288" s="24">
        <v>45676</v>
      </c>
      <c r="K288" s="1" t="s">
        <v>1380</v>
      </c>
      <c r="L288" s="1" t="s">
        <v>326</v>
      </c>
      <c r="M288" s="1">
        <v>481.48</v>
      </c>
      <c r="N288" s="1">
        <v>2</v>
      </c>
      <c r="O288" s="1" t="s">
        <v>87</v>
      </c>
      <c r="P288" s="1">
        <v>5</v>
      </c>
      <c r="Q288" s="1">
        <v>58</v>
      </c>
      <c r="R288" s="24">
        <v>45683</v>
      </c>
      <c r="S288" s="1" t="s">
        <v>1381</v>
      </c>
      <c r="T288" s="4">
        <f>Table1[[#This Row],[Delivery_Date]]-Table1[[#This Row],[Order_Date]]</f>
        <v>7</v>
      </c>
      <c r="U288" s="4">
        <f>Table1[[#This Row],[Price]]*Table1[[#This Row],[Quantity]]</f>
        <v>962.96</v>
      </c>
      <c r="V288" s="11">
        <f t="shared" si="4"/>
        <v>0.2</v>
      </c>
      <c r="W288" s="4">
        <f>Table1[[#This Row],[Amount]]-(Table1[[#This Row],[Amount]]*Table1[[#This Row],[Discount_Percent]])</f>
        <v>770.36800000000005</v>
      </c>
      <c r="X288" s="4">
        <f>IF(O288="DEL0", Table1[[#This Row],[Discounted_Amount]],Table1[[#This Row],[Discounted_Amount]]+Table1[[#This Row],[Delivery_Charge]])</f>
        <v>828.36800000000005</v>
      </c>
      <c r="Y288" s="4" t="str">
        <f>Table1[[#This Row],[First_Name]]&amp;" "&amp;Table1[[#This Row],[Last_Name]]</f>
        <v>Bruce Allen</v>
      </c>
      <c r="Z288" s="4" t="str">
        <f>IF(T:T&gt;Table1[[#This Row],[Estimated_Days_to_Deliver]],"Late",IF(T:T=Table1[[#This Row],[Estimated_Days_to_Deliver]],"Intime","BeforeTime"))</f>
        <v>Late</v>
      </c>
      <c r="AA288" s="4">
        <f>MONTH(Table1[[#This Row],[Order_Date]])</f>
        <v>1</v>
      </c>
      <c r="AB288" s="13">
        <f>Table1[[#This Row],[Amount]]*Table1[[#This Row],[Discount_Percent]]</f>
        <v>192.59200000000001</v>
      </c>
    </row>
    <row r="289" spans="1:28" ht="14.25" customHeight="1">
      <c r="A289" s="1" t="s">
        <v>989</v>
      </c>
      <c r="B289" s="1" t="s">
        <v>990</v>
      </c>
      <c r="C289" s="1" t="s">
        <v>991</v>
      </c>
      <c r="D289" s="1">
        <v>49</v>
      </c>
      <c r="E289" s="1" t="s">
        <v>31</v>
      </c>
      <c r="F289" s="1" t="s">
        <v>44</v>
      </c>
      <c r="G289" s="1" t="s">
        <v>992</v>
      </c>
      <c r="H289" s="1" t="s">
        <v>993</v>
      </c>
      <c r="I289" s="1" t="s">
        <v>1382</v>
      </c>
      <c r="J289" s="24">
        <v>45092</v>
      </c>
      <c r="K289" s="1" t="s">
        <v>1383</v>
      </c>
      <c r="L289" s="1" t="s">
        <v>556</v>
      </c>
      <c r="M289" s="1">
        <v>425.59</v>
      </c>
      <c r="N289" s="1">
        <v>3</v>
      </c>
      <c r="O289" s="1" t="s">
        <v>38</v>
      </c>
      <c r="P289" s="1">
        <v>5</v>
      </c>
      <c r="Q289" s="1">
        <v>55</v>
      </c>
      <c r="R289" s="24">
        <v>45099</v>
      </c>
      <c r="S289" s="1" t="s">
        <v>1384</v>
      </c>
      <c r="T289" s="4">
        <f>Table1[[#This Row],[Delivery_Date]]-Table1[[#This Row],[Order_Date]]</f>
        <v>7</v>
      </c>
      <c r="U289" s="4">
        <f>Table1[[#This Row],[Price]]*Table1[[#This Row],[Quantity]]</f>
        <v>1276.77</v>
      </c>
      <c r="V289" s="11">
        <f t="shared" si="4"/>
        <v>0.08</v>
      </c>
      <c r="W289" s="4">
        <f>Table1[[#This Row],[Amount]]-(Table1[[#This Row],[Amount]]*Table1[[#This Row],[Discount_Percent]])</f>
        <v>1174.6284000000001</v>
      </c>
      <c r="X289" s="4">
        <f>IF(O289="DEL0", Table1[[#This Row],[Discounted_Amount]],Table1[[#This Row],[Discounted_Amount]]+Table1[[#This Row],[Delivery_Charge]])</f>
        <v>1229.6284000000001</v>
      </c>
      <c r="Y289" s="4" t="str">
        <f>Table1[[#This Row],[First_Name]]&amp;" "&amp;Table1[[#This Row],[Last_Name]]</f>
        <v>Natasha Michael</v>
      </c>
      <c r="Z289" s="4" t="str">
        <f>IF(T:T&gt;Table1[[#This Row],[Estimated_Days_to_Deliver]],"Late",IF(T:T=Table1[[#This Row],[Estimated_Days_to_Deliver]],"Intime","BeforeTime"))</f>
        <v>Late</v>
      </c>
      <c r="AA289" s="4">
        <f>MONTH(Table1[[#This Row],[Order_Date]])</f>
        <v>6</v>
      </c>
      <c r="AB289" s="13">
        <f>Table1[[#This Row],[Amount]]*Table1[[#This Row],[Discount_Percent]]</f>
        <v>102.1416</v>
      </c>
    </row>
    <row r="290" spans="1:28" ht="14.25" customHeight="1">
      <c r="A290" s="1" t="s">
        <v>336</v>
      </c>
      <c r="B290" s="1" t="s">
        <v>337</v>
      </c>
      <c r="C290" s="1" t="s">
        <v>338</v>
      </c>
      <c r="D290" s="1">
        <v>23</v>
      </c>
      <c r="E290" s="1" t="s">
        <v>31</v>
      </c>
      <c r="F290" s="1" t="s">
        <v>32</v>
      </c>
      <c r="G290" s="1" t="s">
        <v>339</v>
      </c>
      <c r="H290" s="1" t="s">
        <v>340</v>
      </c>
      <c r="I290" s="1" t="s">
        <v>1385</v>
      </c>
      <c r="J290" s="24">
        <v>45659</v>
      </c>
      <c r="K290" s="1" t="s">
        <v>1386</v>
      </c>
      <c r="L290" s="1" t="s">
        <v>987</v>
      </c>
      <c r="M290" s="1">
        <v>33.49</v>
      </c>
      <c r="N290" s="1">
        <v>2</v>
      </c>
      <c r="O290" s="1" t="s">
        <v>38</v>
      </c>
      <c r="P290" s="1">
        <v>5</v>
      </c>
      <c r="Q290" s="1">
        <v>45</v>
      </c>
      <c r="R290" s="24">
        <v>45660</v>
      </c>
      <c r="S290" s="1" t="s">
        <v>1387</v>
      </c>
      <c r="T290" s="4">
        <f>Table1[[#This Row],[Delivery_Date]]-Table1[[#This Row],[Order_Date]]</f>
        <v>1</v>
      </c>
      <c r="U290" s="4">
        <f>Table1[[#This Row],[Price]]*Table1[[#This Row],[Quantity]]</f>
        <v>66.98</v>
      </c>
      <c r="V290" s="11">
        <f t="shared" si="4"/>
        <v>0.08</v>
      </c>
      <c r="W290" s="4">
        <f>Table1[[#This Row],[Amount]]-(Table1[[#This Row],[Amount]]*Table1[[#This Row],[Discount_Percent]])</f>
        <v>61.621600000000001</v>
      </c>
      <c r="X290" s="4">
        <f>IF(O290="DEL0", Table1[[#This Row],[Discounted_Amount]],Table1[[#This Row],[Discounted_Amount]]+Table1[[#This Row],[Delivery_Charge]])</f>
        <v>106.6216</v>
      </c>
      <c r="Y290" s="4" t="str">
        <f>Table1[[#This Row],[First_Name]]&amp;" "&amp;Table1[[#This Row],[Last_Name]]</f>
        <v>Julie Meyer</v>
      </c>
      <c r="Z290" s="4" t="str">
        <f>IF(T:T&gt;Table1[[#This Row],[Estimated_Days_to_Deliver]],"Late",IF(T:T=Table1[[#This Row],[Estimated_Days_to_Deliver]],"Intime","BeforeTime"))</f>
        <v>BeforeTime</v>
      </c>
      <c r="AA290" s="4">
        <f>MONTH(Table1[[#This Row],[Order_Date]])</f>
        <v>1</v>
      </c>
      <c r="AB290" s="13">
        <f>Table1[[#This Row],[Amount]]*Table1[[#This Row],[Discount_Percent]]</f>
        <v>5.3584000000000005</v>
      </c>
    </row>
    <row r="291" spans="1:28" ht="14.25" customHeight="1">
      <c r="A291" s="1" t="s">
        <v>493</v>
      </c>
      <c r="B291" s="1" t="s">
        <v>189</v>
      </c>
      <c r="C291" s="1" t="s">
        <v>330</v>
      </c>
      <c r="D291" s="1">
        <v>39</v>
      </c>
      <c r="E291" s="1" t="s">
        <v>54</v>
      </c>
      <c r="F291" s="1" t="s">
        <v>44</v>
      </c>
      <c r="G291" s="1" t="s">
        <v>494</v>
      </c>
      <c r="H291" s="1" t="s">
        <v>495</v>
      </c>
      <c r="I291" s="1" t="s">
        <v>1388</v>
      </c>
      <c r="J291" s="24">
        <v>45024</v>
      </c>
      <c r="K291" s="1" t="s">
        <v>1389</v>
      </c>
      <c r="L291" s="1" t="s">
        <v>64</v>
      </c>
      <c r="M291" s="1">
        <v>405</v>
      </c>
      <c r="N291" s="1">
        <v>4</v>
      </c>
      <c r="O291" s="1" t="s">
        <v>98</v>
      </c>
      <c r="P291" s="1">
        <v>5</v>
      </c>
      <c r="Q291" s="1">
        <v>70</v>
      </c>
      <c r="R291" s="24">
        <v>45029</v>
      </c>
      <c r="S291" s="1" t="s">
        <v>1390</v>
      </c>
      <c r="T291" s="4">
        <f>Table1[[#This Row],[Delivery_Date]]-Table1[[#This Row],[Order_Date]]</f>
        <v>5</v>
      </c>
      <c r="U291" s="4">
        <f>Table1[[#This Row],[Price]]*Table1[[#This Row],[Quantity]]</f>
        <v>1620</v>
      </c>
      <c r="V291" s="11">
        <f t="shared" si="4"/>
        <v>0.1</v>
      </c>
      <c r="W291" s="4">
        <f>Table1[[#This Row],[Amount]]-(Table1[[#This Row],[Amount]]*Table1[[#This Row],[Discount_Percent]])</f>
        <v>1458</v>
      </c>
      <c r="X291" s="4">
        <f>IF(O291="DEL0", Table1[[#This Row],[Discounted_Amount]],Table1[[#This Row],[Discounted_Amount]]+Table1[[#This Row],[Delivery_Charge]])</f>
        <v>1528</v>
      </c>
      <c r="Y291" s="4" t="str">
        <f>Table1[[#This Row],[First_Name]]&amp;" "&amp;Table1[[#This Row],[Last_Name]]</f>
        <v>Mitchell Parker</v>
      </c>
      <c r="Z291" s="4" t="str">
        <f>IF(T:T&gt;Table1[[#This Row],[Estimated_Days_to_Deliver]],"Late",IF(T:T=Table1[[#This Row],[Estimated_Days_to_Deliver]],"Intime","BeforeTime"))</f>
        <v>Intime</v>
      </c>
      <c r="AA291" s="4">
        <f>MONTH(Table1[[#This Row],[Order_Date]])</f>
        <v>4</v>
      </c>
      <c r="AB291" s="13">
        <f>Table1[[#This Row],[Amount]]*Table1[[#This Row],[Discount_Percent]]</f>
        <v>162</v>
      </c>
    </row>
    <row r="292" spans="1:28" ht="14.25" customHeight="1">
      <c r="A292" s="1" t="s">
        <v>404</v>
      </c>
      <c r="B292" s="1" t="s">
        <v>405</v>
      </c>
      <c r="C292" s="1" t="s">
        <v>406</v>
      </c>
      <c r="D292" s="1">
        <v>70</v>
      </c>
      <c r="E292" s="1" t="s">
        <v>31</v>
      </c>
      <c r="F292" s="1" t="s">
        <v>32</v>
      </c>
      <c r="G292" s="1" t="s">
        <v>407</v>
      </c>
      <c r="H292" s="1" t="s">
        <v>408</v>
      </c>
      <c r="I292" s="1" t="s">
        <v>1391</v>
      </c>
      <c r="J292" s="24">
        <v>45455</v>
      </c>
      <c r="K292" s="1" t="s">
        <v>1392</v>
      </c>
      <c r="L292" s="1" t="s">
        <v>326</v>
      </c>
      <c r="M292" s="1">
        <v>481.48</v>
      </c>
      <c r="N292" s="1">
        <v>3</v>
      </c>
      <c r="O292" s="1" t="s">
        <v>87</v>
      </c>
      <c r="P292" s="1">
        <v>5</v>
      </c>
      <c r="Q292" s="1">
        <v>49</v>
      </c>
      <c r="R292" s="24">
        <v>45462</v>
      </c>
      <c r="S292" s="1" t="s">
        <v>1393</v>
      </c>
      <c r="T292" s="4">
        <f>Table1[[#This Row],[Delivery_Date]]-Table1[[#This Row],[Order_Date]]</f>
        <v>7</v>
      </c>
      <c r="U292" s="4">
        <f>Table1[[#This Row],[Price]]*Table1[[#This Row],[Quantity]]</f>
        <v>1444.44</v>
      </c>
      <c r="V292" s="11">
        <f t="shared" si="4"/>
        <v>0.2</v>
      </c>
      <c r="W292" s="4">
        <f>Table1[[#This Row],[Amount]]-(Table1[[#This Row],[Amount]]*Table1[[#This Row],[Discount_Percent]])</f>
        <v>1155.5520000000001</v>
      </c>
      <c r="X292" s="4">
        <f>IF(O292="DEL0", Table1[[#This Row],[Discounted_Amount]],Table1[[#This Row],[Discounted_Amount]]+Table1[[#This Row],[Delivery_Charge]])</f>
        <v>1204.5520000000001</v>
      </c>
      <c r="Y292" s="4" t="str">
        <f>Table1[[#This Row],[First_Name]]&amp;" "&amp;Table1[[#This Row],[Last_Name]]</f>
        <v>Alexandra Smith</v>
      </c>
      <c r="Z292" s="4" t="str">
        <f>IF(T:T&gt;Table1[[#This Row],[Estimated_Days_to_Deliver]],"Late",IF(T:T=Table1[[#This Row],[Estimated_Days_to_Deliver]],"Intime","BeforeTime"))</f>
        <v>Late</v>
      </c>
      <c r="AA292" s="4">
        <f>MONTH(Table1[[#This Row],[Order_Date]])</f>
        <v>6</v>
      </c>
      <c r="AB292" s="13">
        <f>Table1[[#This Row],[Amount]]*Table1[[#This Row],[Discount_Percent]]</f>
        <v>288.88800000000003</v>
      </c>
    </row>
    <row r="293" spans="1:28" ht="14.25" customHeight="1">
      <c r="A293" s="1" t="s">
        <v>396</v>
      </c>
      <c r="B293" s="1" t="s">
        <v>397</v>
      </c>
      <c r="C293" s="1" t="s">
        <v>398</v>
      </c>
      <c r="D293" s="1">
        <v>40</v>
      </c>
      <c r="E293" s="1" t="s">
        <v>54</v>
      </c>
      <c r="F293" s="1" t="s">
        <v>170</v>
      </c>
      <c r="G293" s="1" t="s">
        <v>399</v>
      </c>
      <c r="H293" s="1" t="s">
        <v>400</v>
      </c>
      <c r="I293" s="1" t="s">
        <v>1394</v>
      </c>
      <c r="J293" s="24">
        <v>45058</v>
      </c>
      <c r="K293" s="1" t="s">
        <v>1395</v>
      </c>
      <c r="L293" s="1" t="s">
        <v>566</v>
      </c>
      <c r="M293" s="1">
        <v>133.62</v>
      </c>
      <c r="N293" s="1">
        <v>2</v>
      </c>
      <c r="O293" s="1" t="s">
        <v>98</v>
      </c>
      <c r="P293" s="1">
        <v>5</v>
      </c>
      <c r="Q293" s="1">
        <v>36</v>
      </c>
      <c r="R293" s="24">
        <v>45059</v>
      </c>
      <c r="S293" s="1" t="s">
        <v>1396</v>
      </c>
      <c r="T293" s="4">
        <f>Table1[[#This Row],[Delivery_Date]]-Table1[[#This Row],[Order_Date]]</f>
        <v>1</v>
      </c>
      <c r="U293" s="4">
        <f>Table1[[#This Row],[Price]]*Table1[[#This Row],[Quantity]]</f>
        <v>267.24</v>
      </c>
      <c r="V293" s="11">
        <f t="shared" si="4"/>
        <v>0.1</v>
      </c>
      <c r="W293" s="4">
        <f>Table1[[#This Row],[Amount]]-(Table1[[#This Row],[Amount]]*Table1[[#This Row],[Discount_Percent]])</f>
        <v>240.51600000000002</v>
      </c>
      <c r="X293" s="4">
        <f>IF(O293="DEL0", Table1[[#This Row],[Discounted_Amount]],Table1[[#This Row],[Discounted_Amount]]+Table1[[#This Row],[Delivery_Charge]])</f>
        <v>276.51600000000002</v>
      </c>
      <c r="Y293" s="4" t="str">
        <f>Table1[[#This Row],[First_Name]]&amp;" "&amp;Table1[[#This Row],[Last_Name]]</f>
        <v>Jason Lopez</v>
      </c>
      <c r="Z293" s="4" t="str">
        <f>IF(T:T&gt;Table1[[#This Row],[Estimated_Days_to_Deliver]],"Late",IF(T:T=Table1[[#This Row],[Estimated_Days_to_Deliver]],"Intime","BeforeTime"))</f>
        <v>BeforeTime</v>
      </c>
      <c r="AA293" s="4">
        <f>MONTH(Table1[[#This Row],[Order_Date]])</f>
        <v>5</v>
      </c>
      <c r="AB293" s="13">
        <f>Table1[[#This Row],[Amount]]*Table1[[#This Row],[Discount_Percent]]</f>
        <v>26.724000000000004</v>
      </c>
    </row>
    <row r="294" spans="1:28" ht="14.25" customHeight="1">
      <c r="A294" s="1" t="s">
        <v>1082</v>
      </c>
      <c r="B294" s="1" t="s">
        <v>221</v>
      </c>
      <c r="C294" s="1" t="s">
        <v>1083</v>
      </c>
      <c r="D294" s="1">
        <v>55</v>
      </c>
      <c r="E294" s="1" t="s">
        <v>43</v>
      </c>
      <c r="F294" s="1" t="s">
        <v>161</v>
      </c>
      <c r="G294" s="1" t="s">
        <v>1084</v>
      </c>
      <c r="H294" s="1" t="s">
        <v>1085</v>
      </c>
      <c r="I294" s="1" t="s">
        <v>1397</v>
      </c>
      <c r="J294" s="24">
        <v>45414</v>
      </c>
      <c r="K294" s="1" t="s">
        <v>1398</v>
      </c>
      <c r="L294" s="1" t="s">
        <v>273</v>
      </c>
      <c r="M294" s="1">
        <v>62.42</v>
      </c>
      <c r="N294" s="1">
        <v>4</v>
      </c>
      <c r="O294" s="1" t="s">
        <v>98</v>
      </c>
      <c r="P294" s="1">
        <v>5</v>
      </c>
      <c r="Q294" s="1">
        <v>43</v>
      </c>
      <c r="R294" s="24">
        <v>45420</v>
      </c>
      <c r="S294" s="1" t="s">
        <v>1399</v>
      </c>
      <c r="T294" s="4">
        <f>Table1[[#This Row],[Delivery_Date]]-Table1[[#This Row],[Order_Date]]</f>
        <v>6</v>
      </c>
      <c r="U294" s="4">
        <f>Table1[[#This Row],[Price]]*Table1[[#This Row],[Quantity]]</f>
        <v>249.68</v>
      </c>
      <c r="V294" s="11">
        <f t="shared" si="4"/>
        <v>0.1</v>
      </c>
      <c r="W294" s="4">
        <f>Table1[[#This Row],[Amount]]-(Table1[[#This Row],[Amount]]*Table1[[#This Row],[Discount_Percent]])</f>
        <v>224.71199999999999</v>
      </c>
      <c r="X294" s="4">
        <f>IF(O294="DEL0", Table1[[#This Row],[Discounted_Amount]],Table1[[#This Row],[Discounted_Amount]]+Table1[[#This Row],[Delivery_Charge]])</f>
        <v>267.71199999999999</v>
      </c>
      <c r="Y294" s="4" t="str">
        <f>Table1[[#This Row],[First_Name]]&amp;" "&amp;Table1[[#This Row],[Last_Name]]</f>
        <v>Mark Summers</v>
      </c>
      <c r="Z294" s="4" t="str">
        <f>IF(T:T&gt;Table1[[#This Row],[Estimated_Days_to_Deliver]],"Late",IF(T:T=Table1[[#This Row],[Estimated_Days_to_Deliver]],"Intime","BeforeTime"))</f>
        <v>Late</v>
      </c>
      <c r="AA294" s="4">
        <f>MONTH(Table1[[#This Row],[Order_Date]])</f>
        <v>5</v>
      </c>
      <c r="AB294" s="13">
        <f>Table1[[#This Row],[Amount]]*Table1[[#This Row],[Discount_Percent]]</f>
        <v>24.968000000000004</v>
      </c>
    </row>
    <row r="295" spans="1:28" ht="14.25" customHeight="1">
      <c r="A295" s="1" t="s">
        <v>1171</v>
      </c>
      <c r="B295" s="1" t="s">
        <v>1172</v>
      </c>
      <c r="C295" s="1" t="s">
        <v>1173</v>
      </c>
      <c r="D295" s="1">
        <v>59</v>
      </c>
      <c r="E295" s="1" t="s">
        <v>54</v>
      </c>
      <c r="F295" s="1" t="s">
        <v>170</v>
      </c>
      <c r="G295" s="1" t="s">
        <v>1174</v>
      </c>
      <c r="H295" s="1" t="s">
        <v>1175</v>
      </c>
      <c r="I295" s="1" t="s">
        <v>1400</v>
      </c>
      <c r="J295" s="24">
        <v>45527</v>
      </c>
      <c r="K295" s="1" t="s">
        <v>1401</v>
      </c>
      <c r="L295" s="1" t="s">
        <v>359</v>
      </c>
      <c r="M295" s="1">
        <v>496.59</v>
      </c>
      <c r="N295" s="1">
        <v>2</v>
      </c>
      <c r="O295" s="1" t="s">
        <v>38</v>
      </c>
      <c r="P295" s="1">
        <v>5</v>
      </c>
      <c r="Q295" s="1">
        <v>55</v>
      </c>
      <c r="R295" s="24">
        <v>45528</v>
      </c>
      <c r="S295" s="1" t="s">
        <v>1402</v>
      </c>
      <c r="T295" s="4">
        <f>Table1[[#This Row],[Delivery_Date]]-Table1[[#This Row],[Order_Date]]</f>
        <v>1</v>
      </c>
      <c r="U295" s="4">
        <f>Table1[[#This Row],[Price]]*Table1[[#This Row],[Quantity]]</f>
        <v>993.18</v>
      </c>
      <c r="V295" s="11">
        <f t="shared" si="4"/>
        <v>0.08</v>
      </c>
      <c r="W295" s="4">
        <f>Table1[[#This Row],[Amount]]-(Table1[[#This Row],[Amount]]*Table1[[#This Row],[Discount_Percent]])</f>
        <v>913.72559999999999</v>
      </c>
      <c r="X295" s="4">
        <f>IF(O295="DEL0", Table1[[#This Row],[Discounted_Amount]],Table1[[#This Row],[Discounted_Amount]]+Table1[[#This Row],[Delivery_Charge]])</f>
        <v>968.72559999999999</v>
      </c>
      <c r="Y295" s="4" t="str">
        <f>Table1[[#This Row],[First_Name]]&amp;" "&amp;Table1[[#This Row],[Last_Name]]</f>
        <v>Mike Carter</v>
      </c>
      <c r="Z295" s="4" t="str">
        <f>IF(T:T&gt;Table1[[#This Row],[Estimated_Days_to_Deliver]],"Late",IF(T:T=Table1[[#This Row],[Estimated_Days_to_Deliver]],"Intime","BeforeTime"))</f>
        <v>BeforeTime</v>
      </c>
      <c r="AA295" s="4">
        <f>MONTH(Table1[[#This Row],[Order_Date]])</f>
        <v>8</v>
      </c>
      <c r="AB295" s="13">
        <f>Table1[[#This Row],[Amount]]*Table1[[#This Row],[Discount_Percent]]</f>
        <v>79.454399999999993</v>
      </c>
    </row>
    <row r="296" spans="1:28" ht="14.25" customHeight="1">
      <c r="A296" s="1" t="s">
        <v>523</v>
      </c>
      <c r="B296" s="1" t="s">
        <v>524</v>
      </c>
      <c r="C296" s="1" t="s">
        <v>525</v>
      </c>
      <c r="D296" s="1">
        <v>42</v>
      </c>
      <c r="E296" s="1" t="s">
        <v>54</v>
      </c>
      <c r="F296" s="1" t="s">
        <v>78</v>
      </c>
      <c r="G296" s="1" t="s">
        <v>526</v>
      </c>
      <c r="H296" s="1" t="s">
        <v>527</v>
      </c>
      <c r="I296" s="1" t="s">
        <v>1403</v>
      </c>
      <c r="J296" s="24">
        <v>45233</v>
      </c>
      <c r="K296" s="1" t="s">
        <v>1404</v>
      </c>
      <c r="L296" s="1" t="s">
        <v>386</v>
      </c>
      <c r="M296" s="1">
        <v>431.44</v>
      </c>
      <c r="N296" s="1">
        <v>4</v>
      </c>
      <c r="O296" s="1" t="s">
        <v>65</v>
      </c>
      <c r="P296" s="1">
        <v>5</v>
      </c>
      <c r="Q296" s="1">
        <v>65</v>
      </c>
      <c r="R296" s="24">
        <v>45239</v>
      </c>
      <c r="S296" s="1" t="s">
        <v>1405</v>
      </c>
      <c r="T296" s="4">
        <f>Table1[[#This Row],[Delivery_Date]]-Table1[[#This Row],[Order_Date]]</f>
        <v>6</v>
      </c>
      <c r="U296" s="4">
        <f>Table1[[#This Row],[Price]]*Table1[[#This Row],[Quantity]]</f>
        <v>1725.76</v>
      </c>
      <c r="V296" s="11">
        <f t="shared" si="4"/>
        <v>0</v>
      </c>
      <c r="W296" s="4">
        <f>Table1[[#This Row],[Amount]]-(Table1[[#This Row],[Amount]]*Table1[[#This Row],[Discount_Percent]])</f>
        <v>1725.76</v>
      </c>
      <c r="X296" s="4">
        <f>IF(O296="DEL0", Table1[[#This Row],[Discounted_Amount]],Table1[[#This Row],[Discounted_Amount]]+Table1[[#This Row],[Delivery_Charge]])</f>
        <v>1725.76</v>
      </c>
      <c r="Y296" s="4" t="str">
        <f>Table1[[#This Row],[First_Name]]&amp;" "&amp;Table1[[#This Row],[Last_Name]]</f>
        <v>Katherine Weber</v>
      </c>
      <c r="Z296" s="4" t="str">
        <f>IF(T:T&gt;Table1[[#This Row],[Estimated_Days_to_Deliver]],"Late",IF(T:T=Table1[[#This Row],[Estimated_Days_to_Deliver]],"Intime","BeforeTime"))</f>
        <v>Late</v>
      </c>
      <c r="AA296" s="4">
        <f>MONTH(Table1[[#This Row],[Order_Date]])</f>
        <v>11</v>
      </c>
      <c r="AB296" s="13">
        <f>Table1[[#This Row],[Amount]]*Table1[[#This Row],[Discount_Percent]]</f>
        <v>0</v>
      </c>
    </row>
    <row r="297" spans="1:28" ht="14.25" customHeight="1">
      <c r="A297" s="1" t="s">
        <v>388</v>
      </c>
      <c r="B297" s="1" t="s">
        <v>389</v>
      </c>
      <c r="C297" s="1" t="s">
        <v>390</v>
      </c>
      <c r="D297" s="1">
        <v>47</v>
      </c>
      <c r="E297" s="1" t="s">
        <v>43</v>
      </c>
      <c r="F297" s="1" t="s">
        <v>92</v>
      </c>
      <c r="G297" s="1" t="s">
        <v>391</v>
      </c>
      <c r="H297" s="1" t="s">
        <v>392</v>
      </c>
      <c r="I297" s="1" t="s">
        <v>1406</v>
      </c>
      <c r="J297" s="24">
        <v>45513</v>
      </c>
      <c r="K297" s="1" t="s">
        <v>1407</v>
      </c>
      <c r="L297" s="1" t="s">
        <v>689</v>
      </c>
      <c r="M297" s="1">
        <v>424.82</v>
      </c>
      <c r="N297" s="1">
        <v>2</v>
      </c>
      <c r="O297" s="1" t="s">
        <v>65</v>
      </c>
      <c r="P297" s="1">
        <v>5</v>
      </c>
      <c r="Q297" s="1">
        <v>57</v>
      </c>
      <c r="R297" s="24">
        <v>45520</v>
      </c>
      <c r="S297" s="1" t="s">
        <v>1408</v>
      </c>
      <c r="T297" s="4">
        <f>Table1[[#This Row],[Delivery_Date]]-Table1[[#This Row],[Order_Date]]</f>
        <v>7</v>
      </c>
      <c r="U297" s="4">
        <f>Table1[[#This Row],[Price]]*Table1[[#This Row],[Quantity]]</f>
        <v>849.64</v>
      </c>
      <c r="V297" s="11">
        <f t="shared" si="4"/>
        <v>0</v>
      </c>
      <c r="W297" s="4">
        <f>Table1[[#This Row],[Amount]]-(Table1[[#This Row],[Amount]]*Table1[[#This Row],[Discount_Percent]])</f>
        <v>849.64</v>
      </c>
      <c r="X297" s="4">
        <f>IF(O297="DEL0", Table1[[#This Row],[Discounted_Amount]],Table1[[#This Row],[Discounted_Amount]]+Table1[[#This Row],[Delivery_Charge]])</f>
        <v>849.64</v>
      </c>
      <c r="Y297" s="4" t="str">
        <f>Table1[[#This Row],[First_Name]]&amp;" "&amp;Table1[[#This Row],[Last_Name]]</f>
        <v>Aaron Thompson</v>
      </c>
      <c r="Z297" s="4" t="str">
        <f>IF(T:T&gt;Table1[[#This Row],[Estimated_Days_to_Deliver]],"Late",IF(T:T=Table1[[#This Row],[Estimated_Days_to_Deliver]],"Intime","BeforeTime"))</f>
        <v>Late</v>
      </c>
      <c r="AA297" s="4">
        <f>MONTH(Table1[[#This Row],[Order_Date]])</f>
        <v>8</v>
      </c>
      <c r="AB297" s="13">
        <f>Table1[[#This Row],[Amount]]*Table1[[#This Row],[Discount_Percent]]</f>
        <v>0</v>
      </c>
    </row>
    <row r="298" spans="1:28" ht="14.25" customHeight="1">
      <c r="A298" s="1" t="s">
        <v>1082</v>
      </c>
      <c r="B298" s="1" t="s">
        <v>221</v>
      </c>
      <c r="C298" s="1" t="s">
        <v>1083</v>
      </c>
      <c r="D298" s="1">
        <v>55</v>
      </c>
      <c r="E298" s="1" t="s">
        <v>43</v>
      </c>
      <c r="F298" s="1" t="s">
        <v>161</v>
      </c>
      <c r="G298" s="1" t="s">
        <v>1084</v>
      </c>
      <c r="H298" s="1" t="s">
        <v>1085</v>
      </c>
      <c r="I298" s="1" t="s">
        <v>1409</v>
      </c>
      <c r="J298" s="24">
        <v>45567</v>
      </c>
      <c r="K298" s="1" t="s">
        <v>1410</v>
      </c>
      <c r="L298" s="1" t="s">
        <v>498</v>
      </c>
      <c r="M298" s="1">
        <v>421.7</v>
      </c>
      <c r="N298" s="1">
        <v>3</v>
      </c>
      <c r="O298" s="1" t="s">
        <v>38</v>
      </c>
      <c r="P298" s="1">
        <v>5</v>
      </c>
      <c r="Q298" s="1">
        <v>54</v>
      </c>
      <c r="R298" s="24">
        <v>45571</v>
      </c>
      <c r="S298" s="1" t="s">
        <v>1411</v>
      </c>
      <c r="T298" s="4">
        <f>Table1[[#This Row],[Delivery_Date]]-Table1[[#This Row],[Order_Date]]</f>
        <v>4</v>
      </c>
      <c r="U298" s="4">
        <f>Table1[[#This Row],[Price]]*Table1[[#This Row],[Quantity]]</f>
        <v>1265.0999999999999</v>
      </c>
      <c r="V298" s="11">
        <f t="shared" si="4"/>
        <v>0.08</v>
      </c>
      <c r="W298" s="4">
        <f>Table1[[#This Row],[Amount]]-(Table1[[#This Row],[Amount]]*Table1[[#This Row],[Discount_Percent]])</f>
        <v>1163.8919999999998</v>
      </c>
      <c r="X298" s="4">
        <f>IF(O298="DEL0", Table1[[#This Row],[Discounted_Amount]],Table1[[#This Row],[Discounted_Amount]]+Table1[[#This Row],[Delivery_Charge]])</f>
        <v>1217.8919999999998</v>
      </c>
      <c r="Y298" s="4" t="str">
        <f>Table1[[#This Row],[First_Name]]&amp;" "&amp;Table1[[#This Row],[Last_Name]]</f>
        <v>Mark Summers</v>
      </c>
      <c r="Z298" s="4" t="str">
        <f>IF(T:T&gt;Table1[[#This Row],[Estimated_Days_to_Deliver]],"Late",IF(T:T=Table1[[#This Row],[Estimated_Days_to_Deliver]],"Intime","BeforeTime"))</f>
        <v>BeforeTime</v>
      </c>
      <c r="AA298" s="4">
        <f>MONTH(Table1[[#This Row],[Order_Date]])</f>
        <v>10</v>
      </c>
      <c r="AB298" s="13">
        <f>Table1[[#This Row],[Amount]]*Table1[[#This Row],[Discount_Percent]]</f>
        <v>101.208</v>
      </c>
    </row>
    <row r="299" spans="1:28" ht="14.25" customHeight="1">
      <c r="A299" s="1" t="s">
        <v>1241</v>
      </c>
      <c r="B299" s="1" t="s">
        <v>1242</v>
      </c>
      <c r="C299" s="1" t="s">
        <v>1243</v>
      </c>
      <c r="D299" s="1">
        <v>55</v>
      </c>
      <c r="E299" s="1" t="s">
        <v>43</v>
      </c>
      <c r="F299" s="1" t="s">
        <v>161</v>
      </c>
      <c r="G299" s="1" t="s">
        <v>1244</v>
      </c>
      <c r="H299" s="1" t="s">
        <v>1245</v>
      </c>
      <c r="I299" s="1" t="s">
        <v>1412</v>
      </c>
      <c r="J299" s="24">
        <v>45157</v>
      </c>
      <c r="K299" s="1" t="s">
        <v>1413</v>
      </c>
      <c r="L299" s="1" t="s">
        <v>347</v>
      </c>
      <c r="M299" s="1">
        <v>372.62</v>
      </c>
      <c r="N299" s="1">
        <v>1</v>
      </c>
      <c r="O299" s="1" t="s">
        <v>98</v>
      </c>
      <c r="P299" s="1">
        <v>5</v>
      </c>
      <c r="Q299" s="1">
        <v>45</v>
      </c>
      <c r="R299" s="24">
        <v>45164</v>
      </c>
      <c r="S299" s="1" t="s">
        <v>1414</v>
      </c>
      <c r="T299" s="4">
        <f>Table1[[#This Row],[Delivery_Date]]-Table1[[#This Row],[Order_Date]]</f>
        <v>7</v>
      </c>
      <c r="U299" s="4">
        <f>Table1[[#This Row],[Price]]*Table1[[#This Row],[Quantity]]</f>
        <v>372.62</v>
      </c>
      <c r="V299" s="11">
        <f t="shared" si="4"/>
        <v>0.1</v>
      </c>
      <c r="W299" s="4">
        <f>Table1[[#This Row],[Amount]]-(Table1[[#This Row],[Amount]]*Table1[[#This Row],[Discount_Percent]])</f>
        <v>335.358</v>
      </c>
      <c r="X299" s="4">
        <f>IF(O299="DEL0", Table1[[#This Row],[Discounted_Amount]],Table1[[#This Row],[Discounted_Amount]]+Table1[[#This Row],[Delivery_Charge]])</f>
        <v>380.358</v>
      </c>
      <c r="Y299" s="4" t="str">
        <f>Table1[[#This Row],[First_Name]]&amp;" "&amp;Table1[[#This Row],[Last_Name]]</f>
        <v>Hannah Gutierrez</v>
      </c>
      <c r="Z299" s="4" t="str">
        <f>IF(T:T&gt;Table1[[#This Row],[Estimated_Days_to_Deliver]],"Late",IF(T:T=Table1[[#This Row],[Estimated_Days_to_Deliver]],"Intime","BeforeTime"))</f>
        <v>Late</v>
      </c>
      <c r="AA299" s="4">
        <f>MONTH(Table1[[#This Row],[Order_Date]])</f>
        <v>8</v>
      </c>
      <c r="AB299" s="13">
        <f>Table1[[#This Row],[Amount]]*Table1[[#This Row],[Discount_Percent]]</f>
        <v>37.262</v>
      </c>
    </row>
    <row r="300" spans="1:28" ht="14.25" customHeight="1">
      <c r="A300" s="1" t="s">
        <v>1213</v>
      </c>
      <c r="B300" s="1" t="s">
        <v>1214</v>
      </c>
      <c r="C300" s="1" t="s">
        <v>1215</v>
      </c>
      <c r="D300" s="1">
        <v>50</v>
      </c>
      <c r="E300" s="1" t="s">
        <v>54</v>
      </c>
      <c r="F300" s="1" t="s">
        <v>170</v>
      </c>
      <c r="G300" s="1" t="s">
        <v>1216</v>
      </c>
      <c r="H300" s="1" t="s">
        <v>1217</v>
      </c>
      <c r="I300" s="1" t="s">
        <v>1415</v>
      </c>
      <c r="J300" s="24">
        <v>45557</v>
      </c>
      <c r="K300" s="1" t="s">
        <v>1416</v>
      </c>
      <c r="L300" s="1" t="s">
        <v>185</v>
      </c>
      <c r="M300" s="1">
        <v>104.18</v>
      </c>
      <c r="N300" s="1">
        <v>1</v>
      </c>
      <c r="O300" s="1" t="s">
        <v>38</v>
      </c>
      <c r="P300" s="1">
        <v>5</v>
      </c>
      <c r="Q300" s="1">
        <v>60</v>
      </c>
      <c r="R300" s="24">
        <v>45563</v>
      </c>
      <c r="S300" s="1" t="s">
        <v>1417</v>
      </c>
      <c r="T300" s="4">
        <f>Table1[[#This Row],[Delivery_Date]]-Table1[[#This Row],[Order_Date]]</f>
        <v>6</v>
      </c>
      <c r="U300" s="4">
        <f>Table1[[#This Row],[Price]]*Table1[[#This Row],[Quantity]]</f>
        <v>104.18</v>
      </c>
      <c r="V300" s="11">
        <f t="shared" si="4"/>
        <v>0.08</v>
      </c>
      <c r="W300" s="4">
        <f>Table1[[#This Row],[Amount]]-(Table1[[#This Row],[Amount]]*Table1[[#This Row],[Discount_Percent]])</f>
        <v>95.845600000000005</v>
      </c>
      <c r="X300" s="4">
        <f>IF(O300="DEL0", Table1[[#This Row],[Discounted_Amount]],Table1[[#This Row],[Discounted_Amount]]+Table1[[#This Row],[Delivery_Charge]])</f>
        <v>155.84559999999999</v>
      </c>
      <c r="Y300" s="4" t="str">
        <f>Table1[[#This Row],[First_Name]]&amp;" "&amp;Table1[[#This Row],[Last_Name]]</f>
        <v>Brendan Kelly</v>
      </c>
      <c r="Z300" s="4" t="str">
        <f>IF(T:T&gt;Table1[[#This Row],[Estimated_Days_to_Deliver]],"Late",IF(T:T=Table1[[#This Row],[Estimated_Days_to_Deliver]],"Intime","BeforeTime"))</f>
        <v>Late</v>
      </c>
      <c r="AA300" s="4">
        <f>MONTH(Table1[[#This Row],[Order_Date]])</f>
        <v>9</v>
      </c>
      <c r="AB300" s="13">
        <f>Table1[[#This Row],[Amount]]*Table1[[#This Row],[Discount_Percent]]</f>
        <v>8.3344000000000005</v>
      </c>
    </row>
    <row r="301" spans="1:28" ht="14.25" customHeight="1">
      <c r="A301" s="1" t="s">
        <v>842</v>
      </c>
      <c r="B301" s="1" t="s">
        <v>843</v>
      </c>
      <c r="C301" s="1" t="s">
        <v>844</v>
      </c>
      <c r="D301" s="1">
        <v>26</v>
      </c>
      <c r="E301" s="1" t="s">
        <v>43</v>
      </c>
      <c r="F301" s="1" t="s">
        <v>161</v>
      </c>
      <c r="G301" s="1" t="s">
        <v>845</v>
      </c>
      <c r="H301" s="1" t="s">
        <v>846</v>
      </c>
      <c r="I301" s="1" t="s">
        <v>1418</v>
      </c>
      <c r="J301" s="24">
        <v>45104</v>
      </c>
      <c r="K301" s="1" t="s">
        <v>1419</v>
      </c>
      <c r="L301" s="1" t="s">
        <v>137</v>
      </c>
      <c r="M301" s="1">
        <v>175.93</v>
      </c>
      <c r="N301" s="1">
        <v>2</v>
      </c>
      <c r="O301" s="1" t="s">
        <v>38</v>
      </c>
      <c r="P301" s="1">
        <v>5</v>
      </c>
      <c r="Q301" s="1">
        <v>49</v>
      </c>
      <c r="R301" s="24">
        <v>45106</v>
      </c>
      <c r="S301" s="1" t="s">
        <v>1420</v>
      </c>
      <c r="T301" s="4">
        <f>Table1[[#This Row],[Delivery_Date]]-Table1[[#This Row],[Order_Date]]</f>
        <v>2</v>
      </c>
      <c r="U301" s="4">
        <f>Table1[[#This Row],[Price]]*Table1[[#This Row],[Quantity]]</f>
        <v>351.86</v>
      </c>
      <c r="V301" s="11">
        <f t="shared" si="4"/>
        <v>0.08</v>
      </c>
      <c r="W301" s="4">
        <f>Table1[[#This Row],[Amount]]-(Table1[[#This Row],[Amount]]*Table1[[#This Row],[Discount_Percent]])</f>
        <v>323.71120000000002</v>
      </c>
      <c r="X301" s="4">
        <f>IF(O301="DEL0", Table1[[#This Row],[Discounted_Amount]],Table1[[#This Row],[Discounted_Amount]]+Table1[[#This Row],[Delivery_Charge]])</f>
        <v>372.71120000000002</v>
      </c>
      <c r="Y301" s="4" t="str">
        <f>Table1[[#This Row],[First_Name]]&amp;" "&amp;Table1[[#This Row],[Last_Name]]</f>
        <v>Leslie Montgomery</v>
      </c>
      <c r="Z301" s="4" t="str">
        <f>IF(T:T&gt;Table1[[#This Row],[Estimated_Days_to_Deliver]],"Late",IF(T:T=Table1[[#This Row],[Estimated_Days_to_Deliver]],"Intime","BeforeTime"))</f>
        <v>BeforeTime</v>
      </c>
      <c r="AA301" s="4">
        <f>MONTH(Table1[[#This Row],[Order_Date]])</f>
        <v>6</v>
      </c>
      <c r="AB301" s="13">
        <f>Table1[[#This Row],[Amount]]*Table1[[#This Row],[Discount_Percent]]</f>
        <v>28.148800000000001</v>
      </c>
    </row>
    <row r="302" spans="1:28" ht="14.25" customHeight="1">
      <c r="A302" s="1" t="s">
        <v>1106</v>
      </c>
      <c r="B302" s="1" t="s">
        <v>1107</v>
      </c>
      <c r="C302" s="1" t="s">
        <v>1108</v>
      </c>
      <c r="D302" s="1">
        <v>18</v>
      </c>
      <c r="E302" s="1" t="s">
        <v>31</v>
      </c>
      <c r="F302" s="1" t="s">
        <v>78</v>
      </c>
      <c r="G302" s="1" t="s">
        <v>1109</v>
      </c>
      <c r="H302" s="1" t="s">
        <v>1110</v>
      </c>
      <c r="I302" s="1" t="s">
        <v>1421</v>
      </c>
      <c r="J302" s="24">
        <v>45563</v>
      </c>
      <c r="K302" s="1" t="s">
        <v>1422</v>
      </c>
      <c r="L302" s="1" t="s">
        <v>273</v>
      </c>
      <c r="M302" s="1">
        <v>62.42</v>
      </c>
      <c r="N302" s="1">
        <v>1</v>
      </c>
      <c r="O302" s="1" t="s">
        <v>38</v>
      </c>
      <c r="P302" s="1">
        <v>5</v>
      </c>
      <c r="Q302" s="1">
        <v>46</v>
      </c>
      <c r="R302" s="24">
        <v>45565</v>
      </c>
      <c r="S302" s="1" t="s">
        <v>1423</v>
      </c>
      <c r="T302" s="4">
        <f>Table1[[#This Row],[Delivery_Date]]-Table1[[#This Row],[Order_Date]]</f>
        <v>2</v>
      </c>
      <c r="U302" s="4">
        <f>Table1[[#This Row],[Price]]*Table1[[#This Row],[Quantity]]</f>
        <v>62.42</v>
      </c>
      <c r="V302" s="11">
        <f t="shared" si="4"/>
        <v>0.08</v>
      </c>
      <c r="W302" s="4">
        <f>Table1[[#This Row],[Amount]]-(Table1[[#This Row],[Amount]]*Table1[[#This Row],[Discount_Percent]])</f>
        <v>57.426400000000001</v>
      </c>
      <c r="X302" s="4">
        <f>IF(O302="DEL0", Table1[[#This Row],[Discounted_Amount]],Table1[[#This Row],[Discounted_Amount]]+Table1[[#This Row],[Delivery_Charge]])</f>
        <v>103.4264</v>
      </c>
      <c r="Y302" s="4" t="str">
        <f>Table1[[#This Row],[First_Name]]&amp;" "&amp;Table1[[#This Row],[Last_Name]]</f>
        <v>Gary Huff</v>
      </c>
      <c r="Z302" s="4" t="str">
        <f>IF(T:T&gt;Table1[[#This Row],[Estimated_Days_to_Deliver]],"Late",IF(T:T=Table1[[#This Row],[Estimated_Days_to_Deliver]],"Intime","BeforeTime"))</f>
        <v>BeforeTime</v>
      </c>
      <c r="AA302" s="4">
        <f>MONTH(Table1[[#This Row],[Order_Date]])</f>
        <v>9</v>
      </c>
      <c r="AB302" s="13">
        <f>Table1[[#This Row],[Amount]]*Table1[[#This Row],[Discount_Percent]]</f>
        <v>4.9935999999999998</v>
      </c>
    </row>
    <row r="303" spans="1:28" ht="14.25" customHeight="1">
      <c r="A303" s="1" t="s">
        <v>423</v>
      </c>
      <c r="B303" s="1" t="s">
        <v>424</v>
      </c>
      <c r="C303" s="1" t="s">
        <v>425</v>
      </c>
      <c r="D303" s="1">
        <v>52</v>
      </c>
      <c r="E303" s="1" t="s">
        <v>54</v>
      </c>
      <c r="F303" s="1" t="s">
        <v>223</v>
      </c>
      <c r="G303" s="1" t="s">
        <v>426</v>
      </c>
      <c r="H303" s="1" t="s">
        <v>427</v>
      </c>
      <c r="I303" s="1" t="s">
        <v>1424</v>
      </c>
      <c r="J303" s="24">
        <v>45279</v>
      </c>
      <c r="K303" s="1" t="s">
        <v>1425</v>
      </c>
      <c r="L303" s="1" t="s">
        <v>202</v>
      </c>
      <c r="M303" s="1">
        <v>20.7</v>
      </c>
      <c r="N303" s="1">
        <v>2</v>
      </c>
      <c r="O303" s="1" t="s">
        <v>38</v>
      </c>
      <c r="P303" s="1">
        <v>5</v>
      </c>
      <c r="Q303" s="1">
        <v>39</v>
      </c>
      <c r="R303" s="24">
        <v>45286</v>
      </c>
      <c r="S303" s="1" t="s">
        <v>1426</v>
      </c>
      <c r="T303" s="4">
        <f>Table1[[#This Row],[Delivery_Date]]-Table1[[#This Row],[Order_Date]]</f>
        <v>7</v>
      </c>
      <c r="U303" s="4">
        <f>Table1[[#This Row],[Price]]*Table1[[#This Row],[Quantity]]</f>
        <v>41.4</v>
      </c>
      <c r="V303" s="11">
        <f t="shared" si="4"/>
        <v>0.08</v>
      </c>
      <c r="W303" s="4">
        <f>Table1[[#This Row],[Amount]]-(Table1[[#This Row],[Amount]]*Table1[[#This Row],[Discount_Percent]])</f>
        <v>38.088000000000001</v>
      </c>
      <c r="X303" s="4">
        <f>IF(O303="DEL0", Table1[[#This Row],[Discounted_Amount]],Table1[[#This Row],[Discounted_Amount]]+Table1[[#This Row],[Delivery_Charge]])</f>
        <v>77.087999999999994</v>
      </c>
      <c r="Y303" s="4" t="str">
        <f>Table1[[#This Row],[First_Name]]&amp;" "&amp;Table1[[#This Row],[Last_Name]]</f>
        <v>Amanda Howard</v>
      </c>
      <c r="Z303" s="4" t="str">
        <f>IF(T:T&gt;Table1[[#This Row],[Estimated_Days_to_Deliver]],"Late",IF(T:T=Table1[[#This Row],[Estimated_Days_to_Deliver]],"Intime","BeforeTime"))</f>
        <v>Late</v>
      </c>
      <c r="AA303" s="4">
        <f>MONTH(Table1[[#This Row],[Order_Date]])</f>
        <v>12</v>
      </c>
      <c r="AB303" s="13">
        <f>Table1[[#This Row],[Amount]]*Table1[[#This Row],[Discount_Percent]]</f>
        <v>3.3119999999999998</v>
      </c>
    </row>
    <row r="304" spans="1:28" ht="14.25" customHeight="1">
      <c r="A304" s="1" t="s">
        <v>158</v>
      </c>
      <c r="B304" s="1" t="s">
        <v>159</v>
      </c>
      <c r="C304" s="1" t="s">
        <v>160</v>
      </c>
      <c r="D304" s="1">
        <v>24</v>
      </c>
      <c r="E304" s="1" t="s">
        <v>31</v>
      </c>
      <c r="F304" s="1" t="s">
        <v>161</v>
      </c>
      <c r="G304" s="1" t="s">
        <v>162</v>
      </c>
      <c r="H304" s="1" t="s">
        <v>163</v>
      </c>
      <c r="I304" s="1" t="s">
        <v>1427</v>
      </c>
      <c r="J304" s="24">
        <v>45206</v>
      </c>
      <c r="K304" s="1" t="s">
        <v>1428</v>
      </c>
      <c r="L304" s="1" t="s">
        <v>147</v>
      </c>
      <c r="M304" s="1">
        <v>190.1</v>
      </c>
      <c r="N304" s="1">
        <v>1</v>
      </c>
      <c r="O304" s="1" t="s">
        <v>87</v>
      </c>
      <c r="P304" s="1">
        <v>5</v>
      </c>
      <c r="Q304" s="1">
        <v>63</v>
      </c>
      <c r="R304" s="24">
        <v>45207</v>
      </c>
      <c r="S304" s="1" t="s">
        <v>1429</v>
      </c>
      <c r="T304" s="4">
        <f>Table1[[#This Row],[Delivery_Date]]-Table1[[#This Row],[Order_Date]]</f>
        <v>1</v>
      </c>
      <c r="U304" s="4">
        <f>Table1[[#This Row],[Price]]*Table1[[#This Row],[Quantity]]</f>
        <v>190.1</v>
      </c>
      <c r="V304" s="11">
        <f t="shared" si="4"/>
        <v>0.2</v>
      </c>
      <c r="W304" s="4">
        <f>Table1[[#This Row],[Amount]]-(Table1[[#This Row],[Amount]]*Table1[[#This Row],[Discount_Percent]])</f>
        <v>152.07999999999998</v>
      </c>
      <c r="X304" s="4">
        <f>IF(O304="DEL0", Table1[[#This Row],[Discounted_Amount]],Table1[[#This Row],[Discounted_Amount]]+Table1[[#This Row],[Delivery_Charge]])</f>
        <v>215.07999999999998</v>
      </c>
      <c r="Y304" s="4" t="str">
        <f>Table1[[#This Row],[First_Name]]&amp;" "&amp;Table1[[#This Row],[Last_Name]]</f>
        <v>Joshua Campbell</v>
      </c>
      <c r="Z304" s="4" t="str">
        <f>IF(T:T&gt;Table1[[#This Row],[Estimated_Days_to_Deliver]],"Late",IF(T:T=Table1[[#This Row],[Estimated_Days_to_Deliver]],"Intime","BeforeTime"))</f>
        <v>BeforeTime</v>
      </c>
      <c r="AA304" s="4">
        <f>MONTH(Table1[[#This Row],[Order_Date]])</f>
        <v>10</v>
      </c>
      <c r="AB304" s="13">
        <f>Table1[[#This Row],[Amount]]*Table1[[#This Row],[Discount_Percent]]</f>
        <v>38.020000000000003</v>
      </c>
    </row>
    <row r="305" spans="1:28" ht="14.25" customHeight="1">
      <c r="A305" s="1" t="s">
        <v>1194</v>
      </c>
      <c r="B305" s="1" t="s">
        <v>42</v>
      </c>
      <c r="C305" s="1" t="s">
        <v>1195</v>
      </c>
      <c r="D305" s="1">
        <v>34</v>
      </c>
      <c r="E305" s="1" t="s">
        <v>54</v>
      </c>
      <c r="F305" s="1" t="s">
        <v>223</v>
      </c>
      <c r="G305" s="1" t="s">
        <v>1196</v>
      </c>
      <c r="H305" s="1" t="s">
        <v>1197</v>
      </c>
      <c r="I305" s="1" t="s">
        <v>1430</v>
      </c>
      <c r="J305" s="24">
        <v>45324</v>
      </c>
      <c r="K305" s="1" t="s">
        <v>1431</v>
      </c>
      <c r="L305" s="1" t="s">
        <v>294</v>
      </c>
      <c r="M305" s="1">
        <v>158.53</v>
      </c>
      <c r="N305" s="1">
        <v>3</v>
      </c>
      <c r="O305" s="1" t="s">
        <v>87</v>
      </c>
      <c r="P305" s="1">
        <v>5</v>
      </c>
      <c r="Q305" s="1">
        <v>38</v>
      </c>
      <c r="R305" s="24">
        <v>45331</v>
      </c>
      <c r="S305" s="1" t="s">
        <v>1432</v>
      </c>
      <c r="T305" s="4">
        <f>Table1[[#This Row],[Delivery_Date]]-Table1[[#This Row],[Order_Date]]</f>
        <v>7</v>
      </c>
      <c r="U305" s="4">
        <f>Table1[[#This Row],[Price]]*Table1[[#This Row],[Quantity]]</f>
        <v>475.59000000000003</v>
      </c>
      <c r="V305" s="11">
        <f t="shared" si="4"/>
        <v>0.2</v>
      </c>
      <c r="W305" s="4">
        <f>Table1[[#This Row],[Amount]]-(Table1[[#This Row],[Amount]]*Table1[[#This Row],[Discount_Percent]])</f>
        <v>380.47200000000004</v>
      </c>
      <c r="X305" s="4">
        <f>IF(O305="DEL0", Table1[[#This Row],[Discounted_Amount]],Table1[[#This Row],[Discounted_Amount]]+Table1[[#This Row],[Delivery_Charge]])</f>
        <v>418.47200000000004</v>
      </c>
      <c r="Y305" s="4" t="str">
        <f>Table1[[#This Row],[First_Name]]&amp;" "&amp;Table1[[#This Row],[Last_Name]]</f>
        <v>Thomas Owens</v>
      </c>
      <c r="Z305" s="4" t="str">
        <f>IF(T:T&gt;Table1[[#This Row],[Estimated_Days_to_Deliver]],"Late",IF(T:T=Table1[[#This Row],[Estimated_Days_to_Deliver]],"Intime","BeforeTime"))</f>
        <v>Late</v>
      </c>
      <c r="AA305" s="4">
        <f>MONTH(Table1[[#This Row],[Order_Date]])</f>
        <v>2</v>
      </c>
      <c r="AB305" s="13">
        <f>Table1[[#This Row],[Amount]]*Table1[[#This Row],[Discount_Percent]]</f>
        <v>95.118000000000009</v>
      </c>
    </row>
    <row r="306" spans="1:28" ht="14.25" customHeight="1">
      <c r="A306" s="1" t="s">
        <v>1224</v>
      </c>
      <c r="B306" s="1" t="s">
        <v>1225</v>
      </c>
      <c r="C306" s="1" t="s">
        <v>1226</v>
      </c>
      <c r="D306" s="1">
        <v>19</v>
      </c>
      <c r="E306" s="1" t="s">
        <v>43</v>
      </c>
      <c r="F306" s="1" t="s">
        <v>78</v>
      </c>
      <c r="G306" s="1" t="s">
        <v>1227</v>
      </c>
      <c r="H306" s="1" t="s">
        <v>1228</v>
      </c>
      <c r="I306" s="1" t="s">
        <v>1433</v>
      </c>
      <c r="J306" s="24">
        <v>45272</v>
      </c>
      <c r="K306" s="1" t="s">
        <v>1434</v>
      </c>
      <c r="L306" s="1" t="s">
        <v>421</v>
      </c>
      <c r="M306" s="1">
        <v>44.5</v>
      </c>
      <c r="N306" s="1">
        <v>1</v>
      </c>
      <c r="O306" s="1" t="s">
        <v>98</v>
      </c>
      <c r="P306" s="1">
        <v>5</v>
      </c>
      <c r="Q306" s="1">
        <v>49</v>
      </c>
      <c r="R306" s="24">
        <v>45278</v>
      </c>
      <c r="S306" s="1" t="s">
        <v>1435</v>
      </c>
      <c r="T306" s="4">
        <f>Table1[[#This Row],[Delivery_Date]]-Table1[[#This Row],[Order_Date]]</f>
        <v>6</v>
      </c>
      <c r="U306" s="4">
        <f>Table1[[#This Row],[Price]]*Table1[[#This Row],[Quantity]]</f>
        <v>44.5</v>
      </c>
      <c r="V306" s="11">
        <f t="shared" si="4"/>
        <v>0.1</v>
      </c>
      <c r="W306" s="4">
        <f>Table1[[#This Row],[Amount]]-(Table1[[#This Row],[Amount]]*Table1[[#This Row],[Discount_Percent]])</f>
        <v>40.049999999999997</v>
      </c>
      <c r="X306" s="4">
        <f>IF(O306="DEL0", Table1[[#This Row],[Discounted_Amount]],Table1[[#This Row],[Discounted_Amount]]+Table1[[#This Row],[Delivery_Charge]])</f>
        <v>89.05</v>
      </c>
      <c r="Y306" s="4" t="str">
        <f>Table1[[#This Row],[First_Name]]&amp;" "&amp;Table1[[#This Row],[Last_Name]]</f>
        <v>Jessica Ruiz</v>
      </c>
      <c r="Z306" s="4" t="str">
        <f>IF(T:T&gt;Table1[[#This Row],[Estimated_Days_to_Deliver]],"Late",IF(T:T=Table1[[#This Row],[Estimated_Days_to_Deliver]],"Intime","BeforeTime"))</f>
        <v>Late</v>
      </c>
      <c r="AA306" s="4">
        <f>MONTH(Table1[[#This Row],[Order_Date]])</f>
        <v>12</v>
      </c>
      <c r="AB306" s="13">
        <f>Table1[[#This Row],[Amount]]*Table1[[#This Row],[Discount_Percent]]</f>
        <v>4.45</v>
      </c>
    </row>
    <row r="307" spans="1:28" ht="14.25" customHeight="1">
      <c r="A307" s="1" t="s">
        <v>328</v>
      </c>
      <c r="B307" s="1" t="s">
        <v>329</v>
      </c>
      <c r="C307" s="1" t="s">
        <v>330</v>
      </c>
      <c r="D307" s="1">
        <v>29</v>
      </c>
      <c r="E307" s="1" t="s">
        <v>54</v>
      </c>
      <c r="F307" s="1" t="s">
        <v>92</v>
      </c>
      <c r="G307" s="1" t="s">
        <v>331</v>
      </c>
      <c r="H307" s="1" t="s">
        <v>332</v>
      </c>
      <c r="I307" s="1" t="s">
        <v>1436</v>
      </c>
      <c r="J307" s="24">
        <v>45616</v>
      </c>
      <c r="K307" s="1" t="s">
        <v>1437</v>
      </c>
      <c r="L307" s="1" t="s">
        <v>311</v>
      </c>
      <c r="M307" s="1">
        <v>129.75</v>
      </c>
      <c r="N307" s="1">
        <v>2</v>
      </c>
      <c r="O307" s="1" t="s">
        <v>65</v>
      </c>
      <c r="P307" s="1">
        <v>5</v>
      </c>
      <c r="Q307" s="1">
        <v>53</v>
      </c>
      <c r="R307" s="24">
        <v>45620</v>
      </c>
      <c r="S307" s="1" t="s">
        <v>1438</v>
      </c>
      <c r="T307" s="4">
        <f>Table1[[#This Row],[Delivery_Date]]-Table1[[#This Row],[Order_Date]]</f>
        <v>4</v>
      </c>
      <c r="U307" s="4">
        <f>Table1[[#This Row],[Price]]*Table1[[#This Row],[Quantity]]</f>
        <v>259.5</v>
      </c>
      <c r="V307" s="11">
        <f t="shared" si="4"/>
        <v>0</v>
      </c>
      <c r="W307" s="4">
        <f>Table1[[#This Row],[Amount]]-(Table1[[#This Row],[Amount]]*Table1[[#This Row],[Discount_Percent]])</f>
        <v>259.5</v>
      </c>
      <c r="X307" s="4">
        <f>IF(O307="DEL0", Table1[[#This Row],[Discounted_Amount]],Table1[[#This Row],[Discounted_Amount]]+Table1[[#This Row],[Delivery_Charge]])</f>
        <v>259.5</v>
      </c>
      <c r="Y307" s="4" t="str">
        <f>Table1[[#This Row],[First_Name]]&amp;" "&amp;Table1[[#This Row],[Last_Name]]</f>
        <v>Courtney Parker</v>
      </c>
      <c r="Z307" s="4" t="str">
        <f>IF(T:T&gt;Table1[[#This Row],[Estimated_Days_to_Deliver]],"Late",IF(T:T=Table1[[#This Row],[Estimated_Days_to_Deliver]],"Intime","BeforeTime"))</f>
        <v>BeforeTime</v>
      </c>
      <c r="AA307" s="4">
        <f>MONTH(Table1[[#This Row],[Order_Date]])</f>
        <v>11</v>
      </c>
      <c r="AB307" s="13">
        <f>Table1[[#This Row],[Amount]]*Table1[[#This Row],[Discount_Percent]]</f>
        <v>0</v>
      </c>
    </row>
    <row r="308" spans="1:28" ht="14.25" customHeight="1">
      <c r="A308" s="1" t="s">
        <v>1082</v>
      </c>
      <c r="B308" s="1" t="s">
        <v>221</v>
      </c>
      <c r="C308" s="1" t="s">
        <v>1083</v>
      </c>
      <c r="D308" s="1">
        <v>55</v>
      </c>
      <c r="E308" s="1" t="s">
        <v>43</v>
      </c>
      <c r="F308" s="1" t="s">
        <v>161</v>
      </c>
      <c r="G308" s="1" t="s">
        <v>1084</v>
      </c>
      <c r="H308" s="1" t="s">
        <v>1085</v>
      </c>
      <c r="I308" s="1" t="s">
        <v>1439</v>
      </c>
      <c r="J308" s="24">
        <v>45324</v>
      </c>
      <c r="K308" s="1" t="s">
        <v>1440</v>
      </c>
      <c r="L308" s="1" t="s">
        <v>137</v>
      </c>
      <c r="M308" s="1">
        <v>175.93</v>
      </c>
      <c r="N308" s="1">
        <v>2</v>
      </c>
      <c r="O308" s="1" t="s">
        <v>65</v>
      </c>
      <c r="P308" s="1">
        <v>5</v>
      </c>
      <c r="Q308" s="1">
        <v>50</v>
      </c>
      <c r="R308" s="24">
        <v>45325</v>
      </c>
      <c r="S308" s="1" t="s">
        <v>1441</v>
      </c>
      <c r="T308" s="4">
        <f>Table1[[#This Row],[Delivery_Date]]-Table1[[#This Row],[Order_Date]]</f>
        <v>1</v>
      </c>
      <c r="U308" s="4">
        <f>Table1[[#This Row],[Price]]*Table1[[#This Row],[Quantity]]</f>
        <v>351.86</v>
      </c>
      <c r="V308" s="11">
        <f t="shared" si="4"/>
        <v>0</v>
      </c>
      <c r="W308" s="4">
        <f>Table1[[#This Row],[Amount]]-(Table1[[#This Row],[Amount]]*Table1[[#This Row],[Discount_Percent]])</f>
        <v>351.86</v>
      </c>
      <c r="X308" s="4">
        <f>IF(O308="DEL0", Table1[[#This Row],[Discounted_Amount]],Table1[[#This Row],[Discounted_Amount]]+Table1[[#This Row],[Delivery_Charge]])</f>
        <v>351.86</v>
      </c>
      <c r="Y308" s="4" t="str">
        <f>Table1[[#This Row],[First_Name]]&amp;" "&amp;Table1[[#This Row],[Last_Name]]</f>
        <v>Mark Summers</v>
      </c>
      <c r="Z308" s="4" t="str">
        <f>IF(T:T&gt;Table1[[#This Row],[Estimated_Days_to_Deliver]],"Late",IF(T:T=Table1[[#This Row],[Estimated_Days_to_Deliver]],"Intime","BeforeTime"))</f>
        <v>BeforeTime</v>
      </c>
      <c r="AA308" s="4">
        <f>MONTH(Table1[[#This Row],[Order_Date]])</f>
        <v>2</v>
      </c>
      <c r="AB308" s="13">
        <f>Table1[[#This Row],[Amount]]*Table1[[#This Row],[Discount_Percent]]</f>
        <v>0</v>
      </c>
    </row>
    <row r="309" spans="1:28" ht="14.25" customHeight="1">
      <c r="A309" s="1" t="s">
        <v>850</v>
      </c>
      <c r="B309" s="1" t="s">
        <v>851</v>
      </c>
      <c r="C309" s="1" t="s">
        <v>390</v>
      </c>
      <c r="D309" s="1">
        <v>37</v>
      </c>
      <c r="E309" s="1" t="s">
        <v>54</v>
      </c>
      <c r="F309" s="1" t="s">
        <v>223</v>
      </c>
      <c r="G309" s="1" t="s">
        <v>852</v>
      </c>
      <c r="H309" s="1" t="s">
        <v>853</v>
      </c>
      <c r="I309" s="1" t="s">
        <v>1442</v>
      </c>
      <c r="J309" s="24">
        <v>45671</v>
      </c>
      <c r="K309" s="1" t="s">
        <v>1443</v>
      </c>
      <c r="L309" s="1" t="s">
        <v>498</v>
      </c>
      <c r="M309" s="1">
        <v>421.7</v>
      </c>
      <c r="N309" s="1">
        <v>5</v>
      </c>
      <c r="O309" s="1" t="s">
        <v>60</v>
      </c>
      <c r="P309" s="1">
        <v>5</v>
      </c>
      <c r="Q309" s="1">
        <v>56</v>
      </c>
      <c r="R309" s="24">
        <v>45674</v>
      </c>
      <c r="S309" s="1" t="s">
        <v>1444</v>
      </c>
      <c r="T309" s="4">
        <f>Table1[[#This Row],[Delivery_Date]]-Table1[[#This Row],[Order_Date]]</f>
        <v>3</v>
      </c>
      <c r="U309" s="4">
        <f>Table1[[#This Row],[Price]]*Table1[[#This Row],[Quantity]]</f>
        <v>2108.5</v>
      </c>
      <c r="V309" s="11">
        <f t="shared" si="4"/>
        <v>0.15</v>
      </c>
      <c r="W309" s="4">
        <f>Table1[[#This Row],[Amount]]-(Table1[[#This Row],[Amount]]*Table1[[#This Row],[Discount_Percent]])</f>
        <v>1792.2249999999999</v>
      </c>
      <c r="X309" s="4">
        <f>IF(O309="DEL0", Table1[[#This Row],[Discounted_Amount]],Table1[[#This Row],[Discounted_Amount]]+Table1[[#This Row],[Delivery_Charge]])</f>
        <v>1848.2249999999999</v>
      </c>
      <c r="Y309" s="4" t="str">
        <f>Table1[[#This Row],[First_Name]]&amp;" "&amp;Table1[[#This Row],[Last_Name]]</f>
        <v>Susan Thompson</v>
      </c>
      <c r="Z309" s="4" t="str">
        <f>IF(T:T&gt;Table1[[#This Row],[Estimated_Days_to_Deliver]],"Late",IF(T:T=Table1[[#This Row],[Estimated_Days_to_Deliver]],"Intime","BeforeTime"))</f>
        <v>BeforeTime</v>
      </c>
      <c r="AA309" s="4">
        <f>MONTH(Table1[[#This Row],[Order_Date]])</f>
        <v>1</v>
      </c>
      <c r="AB309" s="13">
        <f>Table1[[#This Row],[Amount]]*Table1[[#This Row],[Discount_Percent]]</f>
        <v>316.27499999999998</v>
      </c>
    </row>
    <row r="310" spans="1:28" ht="14.25" customHeight="1">
      <c r="A310" s="1" t="s">
        <v>595</v>
      </c>
      <c r="B310" s="1" t="s">
        <v>596</v>
      </c>
      <c r="C310" s="1" t="s">
        <v>597</v>
      </c>
      <c r="D310" s="1">
        <v>21</v>
      </c>
      <c r="E310" s="1" t="s">
        <v>31</v>
      </c>
      <c r="F310" s="1" t="s">
        <v>44</v>
      </c>
      <c r="G310" s="1" t="s">
        <v>598</v>
      </c>
      <c r="H310" s="1" t="s">
        <v>599</v>
      </c>
      <c r="I310" s="1" t="s">
        <v>1445</v>
      </c>
      <c r="J310" s="24">
        <v>45064</v>
      </c>
      <c r="K310" s="1" t="s">
        <v>1446</v>
      </c>
      <c r="L310" s="1" t="s">
        <v>640</v>
      </c>
      <c r="M310" s="1">
        <v>445.81</v>
      </c>
      <c r="N310" s="1">
        <v>1</v>
      </c>
      <c r="O310" s="1" t="s">
        <v>87</v>
      </c>
      <c r="P310" s="1">
        <v>5</v>
      </c>
      <c r="Q310" s="1">
        <v>41</v>
      </c>
      <c r="R310" s="24">
        <v>45071</v>
      </c>
      <c r="S310" s="1" t="s">
        <v>1447</v>
      </c>
      <c r="T310" s="4">
        <f>Table1[[#This Row],[Delivery_Date]]-Table1[[#This Row],[Order_Date]]</f>
        <v>7</v>
      </c>
      <c r="U310" s="4">
        <f>Table1[[#This Row],[Price]]*Table1[[#This Row],[Quantity]]</f>
        <v>445.81</v>
      </c>
      <c r="V310" s="11">
        <f t="shared" si="4"/>
        <v>0.2</v>
      </c>
      <c r="W310" s="4">
        <f>Table1[[#This Row],[Amount]]-(Table1[[#This Row],[Amount]]*Table1[[#This Row],[Discount_Percent]])</f>
        <v>356.64800000000002</v>
      </c>
      <c r="X310" s="4">
        <f>IF(O310="DEL0", Table1[[#This Row],[Discounted_Amount]],Table1[[#This Row],[Discounted_Amount]]+Table1[[#This Row],[Delivery_Charge]])</f>
        <v>397.64800000000002</v>
      </c>
      <c r="Y310" s="4" t="str">
        <f>Table1[[#This Row],[First_Name]]&amp;" "&amp;Table1[[#This Row],[Last_Name]]</f>
        <v>William Mann</v>
      </c>
      <c r="Z310" s="4" t="str">
        <f>IF(T:T&gt;Table1[[#This Row],[Estimated_Days_to_Deliver]],"Late",IF(T:T=Table1[[#This Row],[Estimated_Days_to_Deliver]],"Intime","BeforeTime"))</f>
        <v>Late</v>
      </c>
      <c r="AA310" s="4">
        <f>MONTH(Table1[[#This Row],[Order_Date]])</f>
        <v>5</v>
      </c>
      <c r="AB310" s="13">
        <f>Table1[[#This Row],[Amount]]*Table1[[#This Row],[Discount_Percent]]</f>
        <v>89.162000000000006</v>
      </c>
    </row>
    <row r="311" spans="1:28" ht="14.25" customHeight="1">
      <c r="A311" s="1" t="s">
        <v>682</v>
      </c>
      <c r="B311" s="1" t="s">
        <v>683</v>
      </c>
      <c r="C311" s="1" t="s">
        <v>684</v>
      </c>
      <c r="D311" s="1">
        <v>68</v>
      </c>
      <c r="E311" s="1" t="s">
        <v>31</v>
      </c>
      <c r="F311" s="1" t="s">
        <v>223</v>
      </c>
      <c r="G311" s="1" t="s">
        <v>685</v>
      </c>
      <c r="H311" s="1" t="s">
        <v>686</v>
      </c>
      <c r="I311" s="1" t="s">
        <v>1448</v>
      </c>
      <c r="J311" s="24">
        <v>44973</v>
      </c>
      <c r="K311" s="1" t="s">
        <v>1449</v>
      </c>
      <c r="L311" s="1" t="s">
        <v>556</v>
      </c>
      <c r="M311" s="1">
        <v>425.59</v>
      </c>
      <c r="N311" s="1">
        <v>2</v>
      </c>
      <c r="O311" s="1" t="s">
        <v>65</v>
      </c>
      <c r="P311" s="1">
        <v>5</v>
      </c>
      <c r="Q311" s="1">
        <v>67</v>
      </c>
      <c r="R311" s="24">
        <v>44977</v>
      </c>
      <c r="S311" s="1" t="s">
        <v>1450</v>
      </c>
      <c r="T311" s="4">
        <f>Table1[[#This Row],[Delivery_Date]]-Table1[[#This Row],[Order_Date]]</f>
        <v>4</v>
      </c>
      <c r="U311" s="4">
        <f>Table1[[#This Row],[Price]]*Table1[[#This Row],[Quantity]]</f>
        <v>851.18</v>
      </c>
      <c r="V311" s="11">
        <f t="shared" si="4"/>
        <v>0</v>
      </c>
      <c r="W311" s="4">
        <f>Table1[[#This Row],[Amount]]-(Table1[[#This Row],[Amount]]*Table1[[#This Row],[Discount_Percent]])</f>
        <v>851.18</v>
      </c>
      <c r="X311" s="4">
        <f>IF(O311="DEL0", Table1[[#This Row],[Discounted_Amount]],Table1[[#This Row],[Discounted_Amount]]+Table1[[#This Row],[Delivery_Charge]])</f>
        <v>851.18</v>
      </c>
      <c r="Y311" s="4" t="str">
        <f>Table1[[#This Row],[First_Name]]&amp;" "&amp;Table1[[#This Row],[Last_Name]]</f>
        <v>Troy Gomez</v>
      </c>
      <c r="Z311" s="4" t="str">
        <f>IF(T:T&gt;Table1[[#This Row],[Estimated_Days_to_Deliver]],"Late",IF(T:T=Table1[[#This Row],[Estimated_Days_to_Deliver]],"Intime","BeforeTime"))</f>
        <v>BeforeTime</v>
      </c>
      <c r="AA311" s="4">
        <f>MONTH(Table1[[#This Row],[Order_Date]])</f>
        <v>2</v>
      </c>
      <c r="AB311" s="13">
        <f>Table1[[#This Row],[Amount]]*Table1[[#This Row],[Discount_Percent]]</f>
        <v>0</v>
      </c>
    </row>
    <row r="312" spans="1:28" ht="14.25" customHeight="1">
      <c r="A312" s="1" t="s">
        <v>361</v>
      </c>
      <c r="B312" s="1" t="s">
        <v>362</v>
      </c>
      <c r="C312" s="1" t="s">
        <v>363</v>
      </c>
      <c r="D312" s="1">
        <v>32</v>
      </c>
      <c r="E312" s="1" t="s">
        <v>43</v>
      </c>
      <c r="F312" s="1" t="s">
        <v>170</v>
      </c>
      <c r="G312" s="1" t="s">
        <v>364</v>
      </c>
      <c r="H312" s="1" t="s">
        <v>365</v>
      </c>
      <c r="I312" s="1" t="s">
        <v>1451</v>
      </c>
      <c r="J312" s="24">
        <v>45515</v>
      </c>
      <c r="K312" s="1" t="s">
        <v>1452</v>
      </c>
      <c r="L312" s="1" t="s">
        <v>556</v>
      </c>
      <c r="M312" s="1">
        <v>425.59</v>
      </c>
      <c r="N312" s="1">
        <v>1</v>
      </c>
      <c r="O312" s="1" t="s">
        <v>38</v>
      </c>
      <c r="P312" s="1">
        <v>5</v>
      </c>
      <c r="Q312" s="1">
        <v>62</v>
      </c>
      <c r="R312" s="24">
        <v>45518</v>
      </c>
      <c r="S312" s="1" t="s">
        <v>1453</v>
      </c>
      <c r="T312" s="4">
        <f>Table1[[#This Row],[Delivery_Date]]-Table1[[#This Row],[Order_Date]]</f>
        <v>3</v>
      </c>
      <c r="U312" s="4">
        <f>Table1[[#This Row],[Price]]*Table1[[#This Row],[Quantity]]</f>
        <v>425.59</v>
      </c>
      <c r="V312" s="11">
        <f t="shared" si="4"/>
        <v>0.08</v>
      </c>
      <c r="W312" s="4">
        <f>Table1[[#This Row],[Amount]]-(Table1[[#This Row],[Amount]]*Table1[[#This Row],[Discount_Percent]])</f>
        <v>391.5428</v>
      </c>
      <c r="X312" s="4">
        <f>IF(O312="DEL0", Table1[[#This Row],[Discounted_Amount]],Table1[[#This Row],[Discounted_Amount]]+Table1[[#This Row],[Delivery_Charge]])</f>
        <v>453.5428</v>
      </c>
      <c r="Y312" s="4" t="str">
        <f>Table1[[#This Row],[First_Name]]&amp;" "&amp;Table1[[#This Row],[Last_Name]]</f>
        <v>Robert Castillo</v>
      </c>
      <c r="Z312" s="4" t="str">
        <f>IF(T:T&gt;Table1[[#This Row],[Estimated_Days_to_Deliver]],"Late",IF(T:T=Table1[[#This Row],[Estimated_Days_to_Deliver]],"Intime","BeforeTime"))</f>
        <v>BeforeTime</v>
      </c>
      <c r="AA312" s="4">
        <f>MONTH(Table1[[#This Row],[Order_Date]])</f>
        <v>8</v>
      </c>
      <c r="AB312" s="13">
        <f>Table1[[#This Row],[Amount]]*Table1[[#This Row],[Discount_Percent]]</f>
        <v>34.047199999999997</v>
      </c>
    </row>
    <row r="313" spans="1:28" ht="14.25" customHeight="1">
      <c r="A313" s="1" t="s">
        <v>1082</v>
      </c>
      <c r="B313" s="1" t="s">
        <v>221</v>
      </c>
      <c r="C313" s="1" t="s">
        <v>1083</v>
      </c>
      <c r="D313" s="1">
        <v>55</v>
      </c>
      <c r="E313" s="1" t="s">
        <v>43</v>
      </c>
      <c r="F313" s="1" t="s">
        <v>161</v>
      </c>
      <c r="G313" s="1" t="s">
        <v>1084</v>
      </c>
      <c r="H313" s="1" t="s">
        <v>1085</v>
      </c>
      <c r="I313" s="1" t="s">
        <v>1454</v>
      </c>
      <c r="J313" s="24">
        <v>44976</v>
      </c>
      <c r="K313" s="1" t="s">
        <v>1455</v>
      </c>
      <c r="L313" s="1" t="s">
        <v>253</v>
      </c>
      <c r="M313" s="1">
        <v>128.13999999999999</v>
      </c>
      <c r="N313" s="1">
        <v>1</v>
      </c>
      <c r="O313" s="1" t="s">
        <v>98</v>
      </c>
      <c r="P313" s="1">
        <v>5</v>
      </c>
      <c r="Q313" s="1">
        <v>39</v>
      </c>
      <c r="R313" s="24">
        <v>44982</v>
      </c>
      <c r="S313" s="1" t="s">
        <v>1456</v>
      </c>
      <c r="T313" s="4">
        <f>Table1[[#This Row],[Delivery_Date]]-Table1[[#This Row],[Order_Date]]</f>
        <v>6</v>
      </c>
      <c r="U313" s="4">
        <f>Table1[[#This Row],[Price]]*Table1[[#This Row],[Quantity]]</f>
        <v>128.13999999999999</v>
      </c>
      <c r="V313" s="11">
        <f t="shared" si="4"/>
        <v>0.1</v>
      </c>
      <c r="W313" s="4">
        <f>Table1[[#This Row],[Amount]]-(Table1[[#This Row],[Amount]]*Table1[[#This Row],[Discount_Percent]])</f>
        <v>115.32599999999999</v>
      </c>
      <c r="X313" s="4">
        <f>IF(O313="DEL0", Table1[[#This Row],[Discounted_Amount]],Table1[[#This Row],[Discounted_Amount]]+Table1[[#This Row],[Delivery_Charge]])</f>
        <v>154.32599999999999</v>
      </c>
      <c r="Y313" s="4" t="str">
        <f>Table1[[#This Row],[First_Name]]&amp;" "&amp;Table1[[#This Row],[Last_Name]]</f>
        <v>Mark Summers</v>
      </c>
      <c r="Z313" s="4" t="str">
        <f>IF(T:T&gt;Table1[[#This Row],[Estimated_Days_to_Deliver]],"Late",IF(T:T=Table1[[#This Row],[Estimated_Days_to_Deliver]],"Intime","BeforeTime"))</f>
        <v>Late</v>
      </c>
      <c r="AA313" s="4">
        <f>MONTH(Table1[[#This Row],[Order_Date]])</f>
        <v>2</v>
      </c>
      <c r="AB313" s="13">
        <f>Table1[[#This Row],[Amount]]*Table1[[#This Row],[Discount_Percent]]</f>
        <v>12.814</v>
      </c>
    </row>
    <row r="314" spans="1:28" ht="14.25" customHeight="1">
      <c r="A314" s="1" t="s">
        <v>1213</v>
      </c>
      <c r="B314" s="1" t="s">
        <v>1214</v>
      </c>
      <c r="C314" s="1" t="s">
        <v>1215</v>
      </c>
      <c r="D314" s="1">
        <v>50</v>
      </c>
      <c r="E314" s="1" t="s">
        <v>54</v>
      </c>
      <c r="F314" s="1" t="s">
        <v>170</v>
      </c>
      <c r="G314" s="1" t="s">
        <v>1216</v>
      </c>
      <c r="H314" s="1" t="s">
        <v>1217</v>
      </c>
      <c r="I314" s="1" t="s">
        <v>1457</v>
      </c>
      <c r="J314" s="24">
        <v>45684</v>
      </c>
      <c r="K314" s="1" t="s">
        <v>1458</v>
      </c>
      <c r="L314" s="1" t="s">
        <v>660</v>
      </c>
      <c r="M314" s="1">
        <v>235.63</v>
      </c>
      <c r="N314" s="1">
        <v>1</v>
      </c>
      <c r="O314" s="1" t="s">
        <v>87</v>
      </c>
      <c r="P314" s="1">
        <v>5</v>
      </c>
      <c r="Q314" s="1">
        <v>46</v>
      </c>
      <c r="R314" s="24">
        <v>45689</v>
      </c>
      <c r="S314" s="1" t="s">
        <v>1459</v>
      </c>
      <c r="T314" s="4">
        <f>Table1[[#This Row],[Delivery_Date]]-Table1[[#This Row],[Order_Date]]</f>
        <v>5</v>
      </c>
      <c r="U314" s="4">
        <f>Table1[[#This Row],[Price]]*Table1[[#This Row],[Quantity]]</f>
        <v>235.63</v>
      </c>
      <c r="V314" s="11">
        <f t="shared" si="4"/>
        <v>0.2</v>
      </c>
      <c r="W314" s="4">
        <f>Table1[[#This Row],[Amount]]-(Table1[[#This Row],[Amount]]*Table1[[#This Row],[Discount_Percent]])</f>
        <v>188.50399999999999</v>
      </c>
      <c r="X314" s="4">
        <f>IF(O314="DEL0", Table1[[#This Row],[Discounted_Amount]],Table1[[#This Row],[Discounted_Amount]]+Table1[[#This Row],[Delivery_Charge]])</f>
        <v>234.50399999999999</v>
      </c>
      <c r="Y314" s="4" t="str">
        <f>Table1[[#This Row],[First_Name]]&amp;" "&amp;Table1[[#This Row],[Last_Name]]</f>
        <v>Brendan Kelly</v>
      </c>
      <c r="Z314" s="4" t="str">
        <f>IF(T:T&gt;Table1[[#This Row],[Estimated_Days_to_Deliver]],"Late",IF(T:T=Table1[[#This Row],[Estimated_Days_to_Deliver]],"Intime","BeforeTime"))</f>
        <v>Intime</v>
      </c>
      <c r="AA314" s="4">
        <f>MONTH(Table1[[#This Row],[Order_Date]])</f>
        <v>1</v>
      </c>
      <c r="AB314" s="13">
        <f>Table1[[#This Row],[Amount]]*Table1[[#This Row],[Discount_Percent]]</f>
        <v>47.126000000000005</v>
      </c>
    </row>
    <row r="315" spans="1:28" ht="14.25" customHeight="1">
      <c r="A315" s="1" t="s">
        <v>1460</v>
      </c>
      <c r="B315" s="1" t="s">
        <v>276</v>
      </c>
      <c r="C315" s="1" t="s">
        <v>1461</v>
      </c>
      <c r="D315" s="1">
        <v>30</v>
      </c>
      <c r="E315" s="1" t="s">
        <v>31</v>
      </c>
      <c r="F315" s="1" t="s">
        <v>223</v>
      </c>
      <c r="G315" s="1" t="s">
        <v>1462</v>
      </c>
      <c r="H315" s="1" t="s">
        <v>1463</v>
      </c>
      <c r="I315" s="1" t="s">
        <v>1464</v>
      </c>
      <c r="J315" s="24">
        <v>45400</v>
      </c>
      <c r="K315" s="1" t="s">
        <v>1465</v>
      </c>
      <c r="L315" s="1" t="s">
        <v>290</v>
      </c>
      <c r="M315" s="1">
        <v>157.63999999999999</v>
      </c>
      <c r="N315" s="1">
        <v>2</v>
      </c>
      <c r="O315" s="1" t="s">
        <v>87</v>
      </c>
      <c r="P315" s="1">
        <v>5</v>
      </c>
      <c r="Q315" s="1">
        <v>57</v>
      </c>
      <c r="R315" s="24">
        <v>45401</v>
      </c>
      <c r="S315" s="1" t="s">
        <v>1466</v>
      </c>
      <c r="T315" s="4">
        <f>Table1[[#This Row],[Delivery_Date]]-Table1[[#This Row],[Order_Date]]</f>
        <v>1</v>
      </c>
      <c r="U315" s="4">
        <f>Table1[[#This Row],[Price]]*Table1[[#This Row],[Quantity]]</f>
        <v>315.27999999999997</v>
      </c>
      <c r="V315" s="11">
        <f t="shared" si="4"/>
        <v>0.2</v>
      </c>
      <c r="W315" s="4">
        <f>Table1[[#This Row],[Amount]]-(Table1[[#This Row],[Amount]]*Table1[[#This Row],[Discount_Percent]])</f>
        <v>252.22399999999999</v>
      </c>
      <c r="X315" s="4">
        <f>IF(O315="DEL0", Table1[[#This Row],[Discounted_Amount]],Table1[[#This Row],[Discounted_Amount]]+Table1[[#This Row],[Delivery_Charge]])</f>
        <v>309.22399999999999</v>
      </c>
      <c r="Y315" s="4" t="str">
        <f>Table1[[#This Row],[First_Name]]&amp;" "&amp;Table1[[#This Row],[Last_Name]]</f>
        <v>Lauren Lane</v>
      </c>
      <c r="Z315" s="4" t="str">
        <f>IF(T:T&gt;Table1[[#This Row],[Estimated_Days_to_Deliver]],"Late",IF(T:T=Table1[[#This Row],[Estimated_Days_to_Deliver]],"Intime","BeforeTime"))</f>
        <v>BeforeTime</v>
      </c>
      <c r="AA315" s="4">
        <f>MONTH(Table1[[#This Row],[Order_Date]])</f>
        <v>4</v>
      </c>
      <c r="AB315" s="13">
        <f>Table1[[#This Row],[Amount]]*Table1[[#This Row],[Discount_Percent]]</f>
        <v>63.055999999999997</v>
      </c>
    </row>
    <row r="316" spans="1:28" ht="14.25" customHeight="1">
      <c r="A316" s="1" t="s">
        <v>897</v>
      </c>
      <c r="B316" s="1" t="s">
        <v>150</v>
      </c>
      <c r="C316" s="1" t="s">
        <v>898</v>
      </c>
      <c r="D316" s="1">
        <v>29</v>
      </c>
      <c r="E316" s="1" t="s">
        <v>31</v>
      </c>
      <c r="F316" s="1" t="s">
        <v>44</v>
      </c>
      <c r="G316" s="1" t="s">
        <v>899</v>
      </c>
      <c r="H316" s="1" t="s">
        <v>900</v>
      </c>
      <c r="I316" s="1" t="s">
        <v>1467</v>
      </c>
      <c r="J316" s="24">
        <v>45108</v>
      </c>
      <c r="K316" s="1" t="s">
        <v>1468</v>
      </c>
      <c r="L316" s="1" t="s">
        <v>237</v>
      </c>
      <c r="M316" s="1">
        <v>132.97</v>
      </c>
      <c r="N316" s="1">
        <v>3</v>
      </c>
      <c r="O316" s="1" t="s">
        <v>60</v>
      </c>
      <c r="P316" s="1">
        <v>5</v>
      </c>
      <c r="Q316" s="1">
        <v>36</v>
      </c>
      <c r="R316" s="24">
        <v>45110</v>
      </c>
      <c r="S316" s="1" t="s">
        <v>1469</v>
      </c>
      <c r="T316" s="4">
        <f>Table1[[#This Row],[Delivery_Date]]-Table1[[#This Row],[Order_Date]]</f>
        <v>2</v>
      </c>
      <c r="U316" s="4">
        <f>Table1[[#This Row],[Price]]*Table1[[#This Row],[Quantity]]</f>
        <v>398.90999999999997</v>
      </c>
      <c r="V316" s="11">
        <f t="shared" si="4"/>
        <v>0.15</v>
      </c>
      <c r="W316" s="4">
        <f>Table1[[#This Row],[Amount]]-(Table1[[#This Row],[Amount]]*Table1[[#This Row],[Discount_Percent]])</f>
        <v>339.07349999999997</v>
      </c>
      <c r="X316" s="4">
        <f>IF(O316="DEL0", Table1[[#This Row],[Discounted_Amount]],Table1[[#This Row],[Discounted_Amount]]+Table1[[#This Row],[Delivery_Charge]])</f>
        <v>375.07349999999997</v>
      </c>
      <c r="Y316" s="4" t="str">
        <f>Table1[[#This Row],[First_Name]]&amp;" "&amp;Table1[[#This Row],[Last_Name]]</f>
        <v>Amy Griffin</v>
      </c>
      <c r="Z316" s="4" t="str">
        <f>IF(T:T&gt;Table1[[#This Row],[Estimated_Days_to_Deliver]],"Late",IF(T:T=Table1[[#This Row],[Estimated_Days_to_Deliver]],"Intime","BeforeTime"))</f>
        <v>BeforeTime</v>
      </c>
      <c r="AA316" s="4">
        <f>MONTH(Table1[[#This Row],[Order_Date]])</f>
        <v>7</v>
      </c>
      <c r="AB316" s="13">
        <f>Table1[[#This Row],[Amount]]*Table1[[#This Row],[Discount_Percent]]</f>
        <v>59.836499999999994</v>
      </c>
    </row>
    <row r="317" spans="1:28" ht="14.25" customHeight="1">
      <c r="A317" s="1" t="s">
        <v>361</v>
      </c>
      <c r="B317" s="1" t="s">
        <v>362</v>
      </c>
      <c r="C317" s="1" t="s">
        <v>363</v>
      </c>
      <c r="D317" s="1">
        <v>32</v>
      </c>
      <c r="E317" s="1" t="s">
        <v>43</v>
      </c>
      <c r="F317" s="1" t="s">
        <v>170</v>
      </c>
      <c r="G317" s="1" t="s">
        <v>364</v>
      </c>
      <c r="H317" s="1" t="s">
        <v>365</v>
      </c>
      <c r="I317" s="1" t="s">
        <v>1470</v>
      </c>
      <c r="J317" s="24">
        <v>45143</v>
      </c>
      <c r="K317" s="1" t="s">
        <v>1471</v>
      </c>
      <c r="L317" s="1" t="s">
        <v>326</v>
      </c>
      <c r="M317" s="1">
        <v>481.48</v>
      </c>
      <c r="N317" s="1">
        <v>1</v>
      </c>
      <c r="O317" s="1" t="s">
        <v>60</v>
      </c>
      <c r="P317" s="1">
        <v>5</v>
      </c>
      <c r="Q317" s="1">
        <v>67</v>
      </c>
      <c r="R317" s="24">
        <v>45150</v>
      </c>
      <c r="S317" s="1" t="s">
        <v>1472</v>
      </c>
      <c r="T317" s="4">
        <f>Table1[[#This Row],[Delivery_Date]]-Table1[[#This Row],[Order_Date]]</f>
        <v>7</v>
      </c>
      <c r="U317" s="4">
        <f>Table1[[#This Row],[Price]]*Table1[[#This Row],[Quantity]]</f>
        <v>481.48</v>
      </c>
      <c r="V317" s="11">
        <f t="shared" si="4"/>
        <v>0.15</v>
      </c>
      <c r="W317" s="4">
        <f>Table1[[#This Row],[Amount]]-(Table1[[#This Row],[Amount]]*Table1[[#This Row],[Discount_Percent]])</f>
        <v>409.25800000000004</v>
      </c>
      <c r="X317" s="4">
        <f>IF(O317="DEL0", Table1[[#This Row],[Discounted_Amount]],Table1[[#This Row],[Discounted_Amount]]+Table1[[#This Row],[Delivery_Charge]])</f>
        <v>476.25800000000004</v>
      </c>
      <c r="Y317" s="4" t="str">
        <f>Table1[[#This Row],[First_Name]]&amp;" "&amp;Table1[[#This Row],[Last_Name]]</f>
        <v>Robert Castillo</v>
      </c>
      <c r="Z317" s="4" t="str">
        <f>IF(T:T&gt;Table1[[#This Row],[Estimated_Days_to_Deliver]],"Late",IF(T:T=Table1[[#This Row],[Estimated_Days_to_Deliver]],"Intime","BeforeTime"))</f>
        <v>Late</v>
      </c>
      <c r="AA317" s="4">
        <f>MONTH(Table1[[#This Row],[Order_Date]])</f>
        <v>8</v>
      </c>
      <c r="AB317" s="13">
        <f>Table1[[#This Row],[Amount]]*Table1[[#This Row],[Discount_Percent]]</f>
        <v>72.221999999999994</v>
      </c>
    </row>
    <row r="318" spans="1:28" ht="14.25" customHeight="1">
      <c r="A318" s="1" t="s">
        <v>139</v>
      </c>
      <c r="B318" s="1" t="s">
        <v>140</v>
      </c>
      <c r="C318" s="1" t="s">
        <v>141</v>
      </c>
      <c r="D318" s="1">
        <v>25</v>
      </c>
      <c r="E318" s="1" t="s">
        <v>54</v>
      </c>
      <c r="F318" s="1" t="s">
        <v>142</v>
      </c>
      <c r="G318" s="1" t="s">
        <v>143</v>
      </c>
      <c r="H318" s="1" t="s">
        <v>144</v>
      </c>
      <c r="I318" s="1" t="s">
        <v>1473</v>
      </c>
      <c r="J318" s="24">
        <v>45211</v>
      </c>
      <c r="K318" s="1" t="s">
        <v>1474</v>
      </c>
      <c r="L318" s="1" t="s">
        <v>326</v>
      </c>
      <c r="M318" s="1">
        <v>481.48</v>
      </c>
      <c r="N318" s="1">
        <v>2</v>
      </c>
      <c r="O318" s="1" t="s">
        <v>98</v>
      </c>
      <c r="P318" s="1">
        <v>5</v>
      </c>
      <c r="Q318" s="1">
        <v>66</v>
      </c>
      <c r="R318" s="24">
        <v>45218</v>
      </c>
      <c r="S318" s="1" t="s">
        <v>1475</v>
      </c>
      <c r="T318" s="4">
        <f>Table1[[#This Row],[Delivery_Date]]-Table1[[#This Row],[Order_Date]]</f>
        <v>7</v>
      </c>
      <c r="U318" s="4">
        <f>Table1[[#This Row],[Price]]*Table1[[#This Row],[Quantity]]</f>
        <v>962.96</v>
      </c>
      <c r="V318" s="11">
        <f t="shared" si="4"/>
        <v>0.1</v>
      </c>
      <c r="W318" s="4">
        <f>Table1[[#This Row],[Amount]]-(Table1[[#This Row],[Amount]]*Table1[[#This Row],[Discount_Percent]])</f>
        <v>866.66399999999999</v>
      </c>
      <c r="X318" s="4">
        <f>IF(O318="DEL0", Table1[[#This Row],[Discounted_Amount]],Table1[[#This Row],[Discounted_Amount]]+Table1[[#This Row],[Delivery_Charge]])</f>
        <v>932.66399999999999</v>
      </c>
      <c r="Y318" s="4" t="str">
        <f>Table1[[#This Row],[First_Name]]&amp;" "&amp;Table1[[#This Row],[Last_Name]]</f>
        <v>Kara Brennan</v>
      </c>
      <c r="Z318" s="4" t="str">
        <f>IF(T:T&gt;Table1[[#This Row],[Estimated_Days_to_Deliver]],"Late",IF(T:T=Table1[[#This Row],[Estimated_Days_to_Deliver]],"Intime","BeforeTime"))</f>
        <v>Late</v>
      </c>
      <c r="AA318" s="4">
        <f>MONTH(Table1[[#This Row],[Order_Date]])</f>
        <v>10</v>
      </c>
      <c r="AB318" s="13">
        <f>Table1[[#This Row],[Amount]]*Table1[[#This Row],[Discount_Percent]]</f>
        <v>96.296000000000006</v>
      </c>
    </row>
    <row r="319" spans="1:28" ht="14.25" customHeight="1">
      <c r="A319" s="1" t="s">
        <v>1476</v>
      </c>
      <c r="B319" s="1" t="s">
        <v>596</v>
      </c>
      <c r="C319" s="1" t="s">
        <v>1477</v>
      </c>
      <c r="D319" s="1">
        <v>57</v>
      </c>
      <c r="E319" s="1" t="s">
        <v>54</v>
      </c>
      <c r="F319" s="1" t="s">
        <v>142</v>
      </c>
      <c r="G319" s="1" t="s">
        <v>1478</v>
      </c>
      <c r="H319" s="1" t="s">
        <v>1479</v>
      </c>
      <c r="I319" s="1" t="s">
        <v>1480</v>
      </c>
      <c r="J319" s="24">
        <v>45147</v>
      </c>
      <c r="K319" s="1" t="s">
        <v>1481</v>
      </c>
      <c r="L319" s="1" t="s">
        <v>294</v>
      </c>
      <c r="M319" s="1">
        <v>158.53</v>
      </c>
      <c r="N319" s="1">
        <v>5</v>
      </c>
      <c r="O319" s="1" t="s">
        <v>87</v>
      </c>
      <c r="P319" s="1">
        <v>5</v>
      </c>
      <c r="Q319" s="1">
        <v>46</v>
      </c>
      <c r="R319" s="24">
        <v>45151</v>
      </c>
      <c r="S319" s="1" t="s">
        <v>1482</v>
      </c>
      <c r="T319" s="4">
        <f>Table1[[#This Row],[Delivery_Date]]-Table1[[#This Row],[Order_Date]]</f>
        <v>4</v>
      </c>
      <c r="U319" s="4">
        <f>Table1[[#This Row],[Price]]*Table1[[#This Row],[Quantity]]</f>
        <v>792.65</v>
      </c>
      <c r="V319" s="11">
        <f t="shared" si="4"/>
        <v>0.2</v>
      </c>
      <c r="W319" s="4">
        <f>Table1[[#This Row],[Amount]]-(Table1[[#This Row],[Amount]]*Table1[[#This Row],[Discount_Percent]])</f>
        <v>634.12</v>
      </c>
      <c r="X319" s="4">
        <f>IF(O319="DEL0", Table1[[#This Row],[Discounted_Amount]],Table1[[#This Row],[Discounted_Amount]]+Table1[[#This Row],[Delivery_Charge]])</f>
        <v>680.12</v>
      </c>
      <c r="Y319" s="4" t="str">
        <f>Table1[[#This Row],[First_Name]]&amp;" "&amp;Table1[[#This Row],[Last_Name]]</f>
        <v>William Richmond</v>
      </c>
      <c r="Z319" s="4" t="str">
        <f>IF(T:T&gt;Table1[[#This Row],[Estimated_Days_to_Deliver]],"Late",IF(T:T=Table1[[#This Row],[Estimated_Days_to_Deliver]],"Intime","BeforeTime"))</f>
        <v>BeforeTime</v>
      </c>
      <c r="AA319" s="4">
        <f>MONTH(Table1[[#This Row],[Order_Date]])</f>
        <v>8</v>
      </c>
      <c r="AB319" s="13">
        <f>Table1[[#This Row],[Amount]]*Table1[[#This Row],[Discount_Percent]]</f>
        <v>158.53</v>
      </c>
    </row>
    <row r="320" spans="1:28" ht="14.25" customHeight="1">
      <c r="A320" s="1" t="s">
        <v>1321</v>
      </c>
      <c r="B320" s="1" t="s">
        <v>1322</v>
      </c>
      <c r="C320" s="1" t="s">
        <v>1323</v>
      </c>
      <c r="D320" s="1">
        <v>43</v>
      </c>
      <c r="E320" s="1" t="s">
        <v>31</v>
      </c>
      <c r="F320" s="1" t="s">
        <v>142</v>
      </c>
      <c r="G320" s="1" t="s">
        <v>1324</v>
      </c>
      <c r="H320" s="1" t="s">
        <v>1325</v>
      </c>
      <c r="I320" s="1" t="s">
        <v>1483</v>
      </c>
      <c r="J320" s="24">
        <v>45637</v>
      </c>
      <c r="K320" s="1" t="s">
        <v>1484</v>
      </c>
      <c r="L320" s="1" t="s">
        <v>175</v>
      </c>
      <c r="M320" s="1">
        <v>272.51</v>
      </c>
      <c r="N320" s="1">
        <v>2</v>
      </c>
      <c r="O320" s="1" t="s">
        <v>87</v>
      </c>
      <c r="P320" s="1">
        <v>5</v>
      </c>
      <c r="Q320" s="1">
        <v>37</v>
      </c>
      <c r="R320" s="24">
        <v>45640</v>
      </c>
      <c r="S320" s="1" t="s">
        <v>1485</v>
      </c>
      <c r="T320" s="4">
        <f>Table1[[#This Row],[Delivery_Date]]-Table1[[#This Row],[Order_Date]]</f>
        <v>3</v>
      </c>
      <c r="U320" s="4">
        <f>Table1[[#This Row],[Price]]*Table1[[#This Row],[Quantity]]</f>
        <v>545.02</v>
      </c>
      <c r="V320" s="11">
        <f t="shared" si="4"/>
        <v>0.2</v>
      </c>
      <c r="W320" s="4">
        <f>Table1[[#This Row],[Amount]]-(Table1[[#This Row],[Amount]]*Table1[[#This Row],[Discount_Percent]])</f>
        <v>436.01599999999996</v>
      </c>
      <c r="X320" s="4">
        <f>IF(O320="DEL0", Table1[[#This Row],[Discounted_Amount]],Table1[[#This Row],[Discounted_Amount]]+Table1[[#This Row],[Delivery_Charge]])</f>
        <v>473.01599999999996</v>
      </c>
      <c r="Y320" s="4" t="str">
        <f>Table1[[#This Row],[First_Name]]&amp;" "&amp;Table1[[#This Row],[Last_Name]]</f>
        <v>Jared Horn</v>
      </c>
      <c r="Z320" s="4" t="str">
        <f>IF(T:T&gt;Table1[[#This Row],[Estimated_Days_to_Deliver]],"Late",IF(T:T=Table1[[#This Row],[Estimated_Days_to_Deliver]],"Intime","BeforeTime"))</f>
        <v>BeforeTime</v>
      </c>
      <c r="AA320" s="4">
        <f>MONTH(Table1[[#This Row],[Order_Date]])</f>
        <v>12</v>
      </c>
      <c r="AB320" s="13">
        <f>Table1[[#This Row],[Amount]]*Table1[[#This Row],[Discount_Percent]]</f>
        <v>109.004</v>
      </c>
    </row>
    <row r="321" spans="1:28" ht="14.25" customHeight="1">
      <c r="A321" s="1" t="s">
        <v>1213</v>
      </c>
      <c r="B321" s="1" t="s">
        <v>1214</v>
      </c>
      <c r="C321" s="1" t="s">
        <v>1215</v>
      </c>
      <c r="D321" s="1">
        <v>50</v>
      </c>
      <c r="E321" s="1" t="s">
        <v>54</v>
      </c>
      <c r="F321" s="1" t="s">
        <v>170</v>
      </c>
      <c r="G321" s="1" t="s">
        <v>1216</v>
      </c>
      <c r="H321" s="1" t="s">
        <v>1217</v>
      </c>
      <c r="I321" s="1" t="s">
        <v>1486</v>
      </c>
      <c r="J321" s="24">
        <v>45656</v>
      </c>
      <c r="K321" s="1" t="s">
        <v>1487</v>
      </c>
      <c r="L321" s="1" t="s">
        <v>185</v>
      </c>
      <c r="M321" s="1">
        <v>104.18</v>
      </c>
      <c r="N321" s="1">
        <v>2</v>
      </c>
      <c r="O321" s="1" t="s">
        <v>60</v>
      </c>
      <c r="P321" s="1">
        <v>5</v>
      </c>
      <c r="Q321" s="1">
        <v>65</v>
      </c>
      <c r="R321" s="24">
        <v>45657</v>
      </c>
      <c r="S321" s="1" t="s">
        <v>1488</v>
      </c>
      <c r="T321" s="4">
        <f>Table1[[#This Row],[Delivery_Date]]-Table1[[#This Row],[Order_Date]]</f>
        <v>1</v>
      </c>
      <c r="U321" s="4">
        <f>Table1[[#This Row],[Price]]*Table1[[#This Row],[Quantity]]</f>
        <v>208.36</v>
      </c>
      <c r="V321" s="11">
        <f t="shared" si="4"/>
        <v>0.15</v>
      </c>
      <c r="W321" s="4">
        <f>Table1[[#This Row],[Amount]]-(Table1[[#This Row],[Amount]]*Table1[[#This Row],[Discount_Percent]])</f>
        <v>177.10600000000002</v>
      </c>
      <c r="X321" s="4">
        <f>IF(O321="DEL0", Table1[[#This Row],[Discounted_Amount]],Table1[[#This Row],[Discounted_Amount]]+Table1[[#This Row],[Delivery_Charge]])</f>
        <v>242.10600000000002</v>
      </c>
      <c r="Y321" s="4" t="str">
        <f>Table1[[#This Row],[First_Name]]&amp;" "&amp;Table1[[#This Row],[Last_Name]]</f>
        <v>Brendan Kelly</v>
      </c>
      <c r="Z321" s="4" t="str">
        <f>IF(T:T&gt;Table1[[#This Row],[Estimated_Days_to_Deliver]],"Late",IF(T:T=Table1[[#This Row],[Estimated_Days_to_Deliver]],"Intime","BeforeTime"))</f>
        <v>BeforeTime</v>
      </c>
      <c r="AA321" s="4">
        <f>MONTH(Table1[[#This Row],[Order_Date]])</f>
        <v>12</v>
      </c>
      <c r="AB321" s="13">
        <f>Table1[[#This Row],[Amount]]*Table1[[#This Row],[Discount_Percent]]</f>
        <v>31.254000000000001</v>
      </c>
    </row>
    <row r="322" spans="1:28" ht="14.25" customHeight="1">
      <c r="A322" s="1" t="s">
        <v>167</v>
      </c>
      <c r="B322" s="1" t="s">
        <v>168</v>
      </c>
      <c r="C322" s="1" t="s">
        <v>169</v>
      </c>
      <c r="D322" s="1">
        <v>46</v>
      </c>
      <c r="E322" s="1" t="s">
        <v>31</v>
      </c>
      <c r="F322" s="1" t="s">
        <v>170</v>
      </c>
      <c r="G322" s="1" t="s">
        <v>171</v>
      </c>
      <c r="H322" s="1" t="s">
        <v>172</v>
      </c>
      <c r="I322" s="1" t="s">
        <v>1489</v>
      </c>
      <c r="J322" s="24">
        <v>45479</v>
      </c>
      <c r="K322" s="1" t="s">
        <v>1490</v>
      </c>
      <c r="L322" s="1" t="s">
        <v>777</v>
      </c>
      <c r="M322" s="1">
        <v>20</v>
      </c>
      <c r="N322" s="1">
        <v>2</v>
      </c>
      <c r="O322" s="1" t="s">
        <v>98</v>
      </c>
      <c r="P322" s="1">
        <v>5</v>
      </c>
      <c r="Q322" s="1">
        <v>38</v>
      </c>
      <c r="R322" s="24">
        <v>45485</v>
      </c>
      <c r="S322" s="1" t="s">
        <v>1491</v>
      </c>
      <c r="T322" s="4">
        <f>Table1[[#This Row],[Delivery_Date]]-Table1[[#This Row],[Order_Date]]</f>
        <v>6</v>
      </c>
      <c r="U322" s="4">
        <f>Table1[[#This Row],[Price]]*Table1[[#This Row],[Quantity]]</f>
        <v>40</v>
      </c>
      <c r="V322" s="11">
        <f t="shared" ref="V322:V385" si="5">IF(O322="FLAT8",8%,IF(O322="FLAT10",10%,IF(O322="FLAT15",15%,IF(O322="FLAT20",20%,0))))</f>
        <v>0.1</v>
      </c>
      <c r="W322" s="4">
        <f>Table1[[#This Row],[Amount]]-(Table1[[#This Row],[Amount]]*Table1[[#This Row],[Discount_Percent]])</f>
        <v>36</v>
      </c>
      <c r="X322" s="4">
        <f>IF(O322="DEL0", Table1[[#This Row],[Discounted_Amount]],Table1[[#This Row],[Discounted_Amount]]+Table1[[#This Row],[Delivery_Charge]])</f>
        <v>74</v>
      </c>
      <c r="Y322" s="4" t="str">
        <f>Table1[[#This Row],[First_Name]]&amp;" "&amp;Table1[[#This Row],[Last_Name]]</f>
        <v>Erin Miller</v>
      </c>
      <c r="Z322" s="4" t="str">
        <f>IF(T:T&gt;Table1[[#This Row],[Estimated_Days_to_Deliver]],"Late",IF(T:T=Table1[[#This Row],[Estimated_Days_to_Deliver]],"Intime","BeforeTime"))</f>
        <v>Late</v>
      </c>
      <c r="AA322" s="4">
        <f>MONTH(Table1[[#This Row],[Order_Date]])</f>
        <v>7</v>
      </c>
      <c r="AB322" s="13">
        <f>Table1[[#This Row],[Amount]]*Table1[[#This Row],[Discount_Percent]]</f>
        <v>4</v>
      </c>
    </row>
    <row r="323" spans="1:28" ht="14.25" customHeight="1">
      <c r="A323" s="1" t="s">
        <v>438</v>
      </c>
      <c r="B323" s="1" t="s">
        <v>439</v>
      </c>
      <c r="C323" s="1" t="s">
        <v>440</v>
      </c>
      <c r="D323" s="1">
        <v>28</v>
      </c>
      <c r="E323" s="1" t="s">
        <v>54</v>
      </c>
      <c r="F323" s="1" t="s">
        <v>78</v>
      </c>
      <c r="G323" s="1" t="s">
        <v>441</v>
      </c>
      <c r="H323" s="1" t="s">
        <v>442</v>
      </c>
      <c r="I323" s="1" t="s">
        <v>1492</v>
      </c>
      <c r="J323" s="24">
        <v>45501</v>
      </c>
      <c r="K323" s="1" t="s">
        <v>1493</v>
      </c>
      <c r="L323" s="1" t="s">
        <v>689</v>
      </c>
      <c r="M323" s="1">
        <v>424.82</v>
      </c>
      <c r="N323" s="1">
        <v>1</v>
      </c>
      <c r="O323" s="1" t="s">
        <v>38</v>
      </c>
      <c r="P323" s="1">
        <v>5</v>
      </c>
      <c r="Q323" s="1">
        <v>49</v>
      </c>
      <c r="R323" s="24">
        <v>45508</v>
      </c>
      <c r="S323" s="1" t="s">
        <v>1494</v>
      </c>
      <c r="T323" s="4">
        <f>Table1[[#This Row],[Delivery_Date]]-Table1[[#This Row],[Order_Date]]</f>
        <v>7</v>
      </c>
      <c r="U323" s="4">
        <f>Table1[[#This Row],[Price]]*Table1[[#This Row],[Quantity]]</f>
        <v>424.82</v>
      </c>
      <c r="V323" s="11">
        <f t="shared" si="5"/>
        <v>0.08</v>
      </c>
      <c r="W323" s="4">
        <f>Table1[[#This Row],[Amount]]-(Table1[[#This Row],[Amount]]*Table1[[#This Row],[Discount_Percent]])</f>
        <v>390.83440000000002</v>
      </c>
      <c r="X323" s="4">
        <f>IF(O323="DEL0", Table1[[#This Row],[Discounted_Amount]],Table1[[#This Row],[Discounted_Amount]]+Table1[[#This Row],[Delivery_Charge]])</f>
        <v>439.83440000000002</v>
      </c>
      <c r="Y323" s="4" t="str">
        <f>Table1[[#This Row],[First_Name]]&amp;" "&amp;Table1[[#This Row],[Last_Name]]</f>
        <v>Mary Knight</v>
      </c>
      <c r="Z323" s="4" t="str">
        <f>IF(T:T&gt;Table1[[#This Row],[Estimated_Days_to_Deliver]],"Late",IF(T:T=Table1[[#This Row],[Estimated_Days_to_Deliver]],"Intime","BeforeTime"))</f>
        <v>Late</v>
      </c>
      <c r="AA323" s="4">
        <f>MONTH(Table1[[#This Row],[Order_Date]])</f>
        <v>7</v>
      </c>
      <c r="AB323" s="13">
        <f>Table1[[#This Row],[Amount]]*Table1[[#This Row],[Discount_Percent]]</f>
        <v>33.985599999999998</v>
      </c>
    </row>
    <row r="324" spans="1:28" ht="14.25" customHeight="1">
      <c r="A324" s="1" t="s">
        <v>1310</v>
      </c>
      <c r="B324" s="1" t="s">
        <v>1311</v>
      </c>
      <c r="C324" s="1" t="s">
        <v>1312</v>
      </c>
      <c r="D324" s="1">
        <v>63</v>
      </c>
      <c r="E324" s="1" t="s">
        <v>31</v>
      </c>
      <c r="F324" s="1" t="s">
        <v>170</v>
      </c>
      <c r="G324" s="1" t="s">
        <v>1313</v>
      </c>
      <c r="H324" s="1" t="s">
        <v>1314</v>
      </c>
      <c r="I324" s="1" t="s">
        <v>1495</v>
      </c>
      <c r="J324" s="24">
        <v>45107</v>
      </c>
      <c r="K324" s="1" t="s">
        <v>1496</v>
      </c>
      <c r="L324" s="1" t="s">
        <v>156</v>
      </c>
      <c r="M324" s="1">
        <v>220.27</v>
      </c>
      <c r="N324" s="1">
        <v>5</v>
      </c>
      <c r="O324" s="1" t="s">
        <v>87</v>
      </c>
      <c r="P324" s="1">
        <v>5</v>
      </c>
      <c r="Q324" s="1">
        <v>57</v>
      </c>
      <c r="R324" s="24">
        <v>45109</v>
      </c>
      <c r="S324" s="1" t="s">
        <v>1497</v>
      </c>
      <c r="T324" s="4">
        <f>Table1[[#This Row],[Delivery_Date]]-Table1[[#This Row],[Order_Date]]</f>
        <v>2</v>
      </c>
      <c r="U324" s="4">
        <f>Table1[[#This Row],[Price]]*Table1[[#This Row],[Quantity]]</f>
        <v>1101.3500000000001</v>
      </c>
      <c r="V324" s="11">
        <f t="shared" si="5"/>
        <v>0.2</v>
      </c>
      <c r="W324" s="4">
        <f>Table1[[#This Row],[Amount]]-(Table1[[#This Row],[Amount]]*Table1[[#This Row],[Discount_Percent]])</f>
        <v>881.08000000000015</v>
      </c>
      <c r="X324" s="4">
        <f>IF(O324="DEL0", Table1[[#This Row],[Discounted_Amount]],Table1[[#This Row],[Discounted_Amount]]+Table1[[#This Row],[Delivery_Charge]])</f>
        <v>938.08000000000015</v>
      </c>
      <c r="Y324" s="4" t="str">
        <f>Table1[[#This Row],[First_Name]]&amp;" "&amp;Table1[[#This Row],[Last_Name]]</f>
        <v>Megan Hunt</v>
      </c>
      <c r="Z324" s="4" t="str">
        <f>IF(T:T&gt;Table1[[#This Row],[Estimated_Days_to_Deliver]],"Late",IF(T:T=Table1[[#This Row],[Estimated_Days_to_Deliver]],"Intime","BeforeTime"))</f>
        <v>BeforeTime</v>
      </c>
      <c r="AA324" s="4">
        <f>MONTH(Table1[[#This Row],[Order_Date]])</f>
        <v>6</v>
      </c>
      <c r="AB324" s="13">
        <f>Table1[[#This Row],[Amount]]*Table1[[#This Row],[Discount_Percent]]</f>
        <v>220.27000000000004</v>
      </c>
    </row>
    <row r="325" spans="1:28" ht="14.25" customHeight="1">
      <c r="A325" s="1" t="s">
        <v>396</v>
      </c>
      <c r="B325" s="1" t="s">
        <v>397</v>
      </c>
      <c r="C325" s="1" t="s">
        <v>398</v>
      </c>
      <c r="D325" s="1">
        <v>40</v>
      </c>
      <c r="E325" s="1" t="s">
        <v>54</v>
      </c>
      <c r="F325" s="1" t="s">
        <v>170</v>
      </c>
      <c r="G325" s="1" t="s">
        <v>399</v>
      </c>
      <c r="H325" s="1" t="s">
        <v>400</v>
      </c>
      <c r="I325" s="1" t="s">
        <v>1498</v>
      </c>
      <c r="J325" s="24">
        <v>45527</v>
      </c>
      <c r="K325" s="1" t="s">
        <v>1499</v>
      </c>
      <c r="L325" s="1" t="s">
        <v>556</v>
      </c>
      <c r="M325" s="1">
        <v>425.59</v>
      </c>
      <c r="N325" s="1">
        <v>5</v>
      </c>
      <c r="O325" s="1" t="s">
        <v>65</v>
      </c>
      <c r="P325" s="1">
        <v>5</v>
      </c>
      <c r="Q325" s="1">
        <v>43</v>
      </c>
      <c r="R325" s="24">
        <v>45531</v>
      </c>
      <c r="S325" s="1" t="s">
        <v>1500</v>
      </c>
      <c r="T325" s="4">
        <f>Table1[[#This Row],[Delivery_Date]]-Table1[[#This Row],[Order_Date]]</f>
        <v>4</v>
      </c>
      <c r="U325" s="4">
        <f>Table1[[#This Row],[Price]]*Table1[[#This Row],[Quantity]]</f>
        <v>2127.9499999999998</v>
      </c>
      <c r="V325" s="11">
        <f t="shared" si="5"/>
        <v>0</v>
      </c>
      <c r="W325" s="4">
        <f>Table1[[#This Row],[Amount]]-(Table1[[#This Row],[Amount]]*Table1[[#This Row],[Discount_Percent]])</f>
        <v>2127.9499999999998</v>
      </c>
      <c r="X325" s="4">
        <f>IF(O325="DEL0", Table1[[#This Row],[Discounted_Amount]],Table1[[#This Row],[Discounted_Amount]]+Table1[[#This Row],[Delivery_Charge]])</f>
        <v>2127.9499999999998</v>
      </c>
      <c r="Y325" s="4" t="str">
        <f>Table1[[#This Row],[First_Name]]&amp;" "&amp;Table1[[#This Row],[Last_Name]]</f>
        <v>Jason Lopez</v>
      </c>
      <c r="Z325" s="4" t="str">
        <f>IF(T:T&gt;Table1[[#This Row],[Estimated_Days_to_Deliver]],"Late",IF(T:T=Table1[[#This Row],[Estimated_Days_to_Deliver]],"Intime","BeforeTime"))</f>
        <v>BeforeTime</v>
      </c>
      <c r="AA325" s="4">
        <f>MONTH(Table1[[#This Row],[Order_Date]])</f>
        <v>8</v>
      </c>
      <c r="AB325" s="13">
        <f>Table1[[#This Row],[Amount]]*Table1[[#This Row],[Discount_Percent]]</f>
        <v>0</v>
      </c>
    </row>
    <row r="326" spans="1:28" ht="14.25" customHeight="1">
      <c r="A326" s="1" t="s">
        <v>1460</v>
      </c>
      <c r="B326" s="1" t="s">
        <v>276</v>
      </c>
      <c r="C326" s="1" t="s">
        <v>1461</v>
      </c>
      <c r="D326" s="1">
        <v>30</v>
      </c>
      <c r="E326" s="1" t="s">
        <v>31</v>
      </c>
      <c r="F326" s="1" t="s">
        <v>223</v>
      </c>
      <c r="G326" s="1" t="s">
        <v>1462</v>
      </c>
      <c r="H326" s="1" t="s">
        <v>1463</v>
      </c>
      <c r="I326" s="1" t="s">
        <v>1501</v>
      </c>
      <c r="J326" s="24">
        <v>45420</v>
      </c>
      <c r="K326" s="1" t="s">
        <v>1502</v>
      </c>
      <c r="L326" s="1" t="s">
        <v>116</v>
      </c>
      <c r="M326" s="1">
        <v>48.45</v>
      </c>
      <c r="N326" s="1">
        <v>3</v>
      </c>
      <c r="O326" s="1" t="s">
        <v>98</v>
      </c>
      <c r="P326" s="1">
        <v>5</v>
      </c>
      <c r="Q326" s="1">
        <v>63</v>
      </c>
      <c r="R326" s="24">
        <v>45422</v>
      </c>
      <c r="S326" s="1" t="s">
        <v>1503</v>
      </c>
      <c r="T326" s="4">
        <f>Table1[[#This Row],[Delivery_Date]]-Table1[[#This Row],[Order_Date]]</f>
        <v>2</v>
      </c>
      <c r="U326" s="4">
        <f>Table1[[#This Row],[Price]]*Table1[[#This Row],[Quantity]]</f>
        <v>145.35000000000002</v>
      </c>
      <c r="V326" s="11">
        <f t="shared" si="5"/>
        <v>0.1</v>
      </c>
      <c r="W326" s="4">
        <f>Table1[[#This Row],[Amount]]-(Table1[[#This Row],[Amount]]*Table1[[#This Row],[Discount_Percent]])</f>
        <v>130.81500000000003</v>
      </c>
      <c r="X326" s="4">
        <f>IF(O326="DEL0", Table1[[#This Row],[Discounted_Amount]],Table1[[#This Row],[Discounted_Amount]]+Table1[[#This Row],[Delivery_Charge]])</f>
        <v>193.81500000000003</v>
      </c>
      <c r="Y326" s="4" t="str">
        <f>Table1[[#This Row],[First_Name]]&amp;" "&amp;Table1[[#This Row],[Last_Name]]</f>
        <v>Lauren Lane</v>
      </c>
      <c r="Z326" s="4" t="str">
        <f>IF(T:T&gt;Table1[[#This Row],[Estimated_Days_to_Deliver]],"Late",IF(T:T=Table1[[#This Row],[Estimated_Days_to_Deliver]],"Intime","BeforeTime"))</f>
        <v>BeforeTime</v>
      </c>
      <c r="AA326" s="4">
        <f>MONTH(Table1[[#This Row],[Order_Date]])</f>
        <v>5</v>
      </c>
      <c r="AB326" s="13">
        <f>Table1[[#This Row],[Amount]]*Table1[[#This Row],[Discount_Percent]]</f>
        <v>14.535000000000004</v>
      </c>
    </row>
    <row r="327" spans="1:28" ht="14.25" customHeight="1">
      <c r="A327" s="1" t="s">
        <v>1241</v>
      </c>
      <c r="B327" s="1" t="s">
        <v>1242</v>
      </c>
      <c r="C327" s="1" t="s">
        <v>1243</v>
      </c>
      <c r="D327" s="1">
        <v>55</v>
      </c>
      <c r="E327" s="1" t="s">
        <v>43</v>
      </c>
      <c r="F327" s="1" t="s">
        <v>161</v>
      </c>
      <c r="G327" s="1" t="s">
        <v>1244</v>
      </c>
      <c r="H327" s="1" t="s">
        <v>1245</v>
      </c>
      <c r="I327" s="1" t="s">
        <v>1504</v>
      </c>
      <c r="J327" s="24">
        <v>45186</v>
      </c>
      <c r="K327" s="1" t="s">
        <v>1505</v>
      </c>
      <c r="L327" s="1" t="s">
        <v>185</v>
      </c>
      <c r="M327" s="1">
        <v>104.18</v>
      </c>
      <c r="N327" s="1">
        <v>2</v>
      </c>
      <c r="O327" s="1" t="s">
        <v>38</v>
      </c>
      <c r="P327" s="1">
        <v>5</v>
      </c>
      <c r="Q327" s="1">
        <v>43</v>
      </c>
      <c r="R327" s="24">
        <v>45190</v>
      </c>
      <c r="S327" s="1" t="s">
        <v>1506</v>
      </c>
      <c r="T327" s="4">
        <f>Table1[[#This Row],[Delivery_Date]]-Table1[[#This Row],[Order_Date]]</f>
        <v>4</v>
      </c>
      <c r="U327" s="4">
        <f>Table1[[#This Row],[Price]]*Table1[[#This Row],[Quantity]]</f>
        <v>208.36</v>
      </c>
      <c r="V327" s="11">
        <f t="shared" si="5"/>
        <v>0.08</v>
      </c>
      <c r="W327" s="4">
        <f>Table1[[#This Row],[Amount]]-(Table1[[#This Row],[Amount]]*Table1[[#This Row],[Discount_Percent]])</f>
        <v>191.69120000000001</v>
      </c>
      <c r="X327" s="4">
        <f>IF(O327="DEL0", Table1[[#This Row],[Discounted_Amount]],Table1[[#This Row],[Discounted_Amount]]+Table1[[#This Row],[Delivery_Charge]])</f>
        <v>234.69120000000001</v>
      </c>
      <c r="Y327" s="4" t="str">
        <f>Table1[[#This Row],[First_Name]]&amp;" "&amp;Table1[[#This Row],[Last_Name]]</f>
        <v>Hannah Gutierrez</v>
      </c>
      <c r="Z327" s="4" t="str">
        <f>IF(T:T&gt;Table1[[#This Row],[Estimated_Days_to_Deliver]],"Late",IF(T:T=Table1[[#This Row],[Estimated_Days_to_Deliver]],"Intime","BeforeTime"))</f>
        <v>BeforeTime</v>
      </c>
      <c r="AA327" s="4">
        <f>MONTH(Table1[[#This Row],[Order_Date]])</f>
        <v>9</v>
      </c>
      <c r="AB327" s="13">
        <f>Table1[[#This Row],[Amount]]*Table1[[#This Row],[Discount_Percent]]</f>
        <v>16.668800000000001</v>
      </c>
    </row>
    <row r="328" spans="1:28" ht="14.25" customHeight="1">
      <c r="A328" s="1" t="s">
        <v>1249</v>
      </c>
      <c r="B328" s="1" t="s">
        <v>68</v>
      </c>
      <c r="C328" s="1" t="s">
        <v>1250</v>
      </c>
      <c r="D328" s="1">
        <v>40</v>
      </c>
      <c r="E328" s="1" t="s">
        <v>31</v>
      </c>
      <c r="F328" s="1" t="s">
        <v>78</v>
      </c>
      <c r="G328" s="1" t="s">
        <v>1251</v>
      </c>
      <c r="H328" s="1" t="s">
        <v>1252</v>
      </c>
      <c r="I328" s="1" t="s">
        <v>1507</v>
      </c>
      <c r="J328" s="24">
        <v>45195</v>
      </c>
      <c r="K328" s="1" t="s">
        <v>1508</v>
      </c>
      <c r="L328" s="1" t="s">
        <v>640</v>
      </c>
      <c r="M328" s="1">
        <v>445.81</v>
      </c>
      <c r="N328" s="1">
        <v>1</v>
      </c>
      <c r="O328" s="1" t="s">
        <v>65</v>
      </c>
      <c r="P328" s="1">
        <v>5</v>
      </c>
      <c r="Q328" s="1">
        <v>51</v>
      </c>
      <c r="R328" s="24">
        <v>45198</v>
      </c>
      <c r="S328" s="1" t="s">
        <v>1509</v>
      </c>
      <c r="T328" s="4">
        <f>Table1[[#This Row],[Delivery_Date]]-Table1[[#This Row],[Order_Date]]</f>
        <v>3</v>
      </c>
      <c r="U328" s="4">
        <f>Table1[[#This Row],[Price]]*Table1[[#This Row],[Quantity]]</f>
        <v>445.81</v>
      </c>
      <c r="V328" s="11">
        <f t="shared" si="5"/>
        <v>0</v>
      </c>
      <c r="W328" s="4">
        <f>Table1[[#This Row],[Amount]]-(Table1[[#This Row],[Amount]]*Table1[[#This Row],[Discount_Percent]])</f>
        <v>445.81</v>
      </c>
      <c r="X328" s="4">
        <f>IF(O328="DEL0", Table1[[#This Row],[Discounted_Amount]],Table1[[#This Row],[Discounted_Amount]]+Table1[[#This Row],[Delivery_Charge]])</f>
        <v>445.81</v>
      </c>
      <c r="Y328" s="4" t="str">
        <f>Table1[[#This Row],[First_Name]]&amp;" "&amp;Table1[[#This Row],[Last_Name]]</f>
        <v>Angela Casey</v>
      </c>
      <c r="Z328" s="4" t="str">
        <f>IF(T:T&gt;Table1[[#This Row],[Estimated_Days_to_Deliver]],"Late",IF(T:T=Table1[[#This Row],[Estimated_Days_to_Deliver]],"Intime","BeforeTime"))</f>
        <v>BeforeTime</v>
      </c>
      <c r="AA328" s="4">
        <f>MONTH(Table1[[#This Row],[Order_Date]])</f>
        <v>9</v>
      </c>
      <c r="AB328" s="13">
        <f>Table1[[#This Row],[Amount]]*Table1[[#This Row],[Discount_Percent]]</f>
        <v>0</v>
      </c>
    </row>
    <row r="329" spans="1:28" ht="14.25" customHeight="1">
      <c r="A329" s="1" t="s">
        <v>1345</v>
      </c>
      <c r="B329" s="1" t="s">
        <v>511</v>
      </c>
      <c r="C329" s="1" t="s">
        <v>1346</v>
      </c>
      <c r="D329" s="1">
        <v>40</v>
      </c>
      <c r="E329" s="1" t="s">
        <v>54</v>
      </c>
      <c r="F329" s="1" t="s">
        <v>223</v>
      </c>
      <c r="G329" s="1" t="s">
        <v>1347</v>
      </c>
      <c r="H329" s="1" t="s">
        <v>1348</v>
      </c>
      <c r="I329" s="1" t="s">
        <v>1510</v>
      </c>
      <c r="J329" s="24">
        <v>45573</v>
      </c>
      <c r="K329" s="1" t="s">
        <v>1511</v>
      </c>
      <c r="L329" s="1" t="s">
        <v>237</v>
      </c>
      <c r="M329" s="1">
        <v>132.97</v>
      </c>
      <c r="N329" s="1">
        <v>2</v>
      </c>
      <c r="O329" s="1" t="s">
        <v>98</v>
      </c>
      <c r="P329" s="1">
        <v>5</v>
      </c>
      <c r="Q329" s="1">
        <v>69</v>
      </c>
      <c r="R329" s="24">
        <v>45578</v>
      </c>
      <c r="S329" s="1" t="s">
        <v>1512</v>
      </c>
      <c r="T329" s="4">
        <f>Table1[[#This Row],[Delivery_Date]]-Table1[[#This Row],[Order_Date]]</f>
        <v>5</v>
      </c>
      <c r="U329" s="4">
        <f>Table1[[#This Row],[Price]]*Table1[[#This Row],[Quantity]]</f>
        <v>265.94</v>
      </c>
      <c r="V329" s="11">
        <f t="shared" si="5"/>
        <v>0.1</v>
      </c>
      <c r="W329" s="4">
        <f>Table1[[#This Row],[Amount]]-(Table1[[#This Row],[Amount]]*Table1[[#This Row],[Discount_Percent]])</f>
        <v>239.346</v>
      </c>
      <c r="X329" s="4">
        <f>IF(O329="DEL0", Table1[[#This Row],[Discounted_Amount]],Table1[[#This Row],[Discounted_Amount]]+Table1[[#This Row],[Delivery_Charge]])</f>
        <v>308.346</v>
      </c>
      <c r="Y329" s="4" t="str">
        <f>Table1[[#This Row],[First_Name]]&amp;" "&amp;Table1[[#This Row],[Last_Name]]</f>
        <v>Sarah Benson</v>
      </c>
      <c r="Z329" s="4" t="str">
        <f>IF(T:T&gt;Table1[[#This Row],[Estimated_Days_to_Deliver]],"Late",IF(T:T=Table1[[#This Row],[Estimated_Days_to_Deliver]],"Intime","BeforeTime"))</f>
        <v>Intime</v>
      </c>
      <c r="AA329" s="4">
        <f>MONTH(Table1[[#This Row],[Order_Date]])</f>
        <v>10</v>
      </c>
      <c r="AB329" s="13">
        <f>Table1[[#This Row],[Amount]]*Table1[[#This Row],[Discount_Percent]]</f>
        <v>26.594000000000001</v>
      </c>
    </row>
    <row r="330" spans="1:28" ht="14.25" customHeight="1">
      <c r="A330" s="1" t="s">
        <v>1241</v>
      </c>
      <c r="B330" s="1" t="s">
        <v>1242</v>
      </c>
      <c r="C330" s="1" t="s">
        <v>1243</v>
      </c>
      <c r="D330" s="1">
        <v>55</v>
      </c>
      <c r="E330" s="1" t="s">
        <v>43</v>
      </c>
      <c r="F330" s="1" t="s">
        <v>161</v>
      </c>
      <c r="G330" s="1" t="s">
        <v>1244</v>
      </c>
      <c r="H330" s="1" t="s">
        <v>1245</v>
      </c>
      <c r="I330" s="1" t="s">
        <v>1513</v>
      </c>
      <c r="J330" s="24">
        <v>45384</v>
      </c>
      <c r="K330" s="1" t="s">
        <v>1514</v>
      </c>
      <c r="L330" s="1" t="s">
        <v>498</v>
      </c>
      <c r="M330" s="1">
        <v>421.7</v>
      </c>
      <c r="N330" s="1">
        <v>4</v>
      </c>
      <c r="O330" s="1" t="s">
        <v>38</v>
      </c>
      <c r="P330" s="1">
        <v>5</v>
      </c>
      <c r="Q330" s="1">
        <v>55</v>
      </c>
      <c r="R330" s="24">
        <v>45389</v>
      </c>
      <c r="S330" s="1" t="s">
        <v>1515</v>
      </c>
      <c r="T330" s="4">
        <f>Table1[[#This Row],[Delivery_Date]]-Table1[[#This Row],[Order_Date]]</f>
        <v>5</v>
      </c>
      <c r="U330" s="4">
        <f>Table1[[#This Row],[Price]]*Table1[[#This Row],[Quantity]]</f>
        <v>1686.8</v>
      </c>
      <c r="V330" s="11">
        <f t="shared" si="5"/>
        <v>0.08</v>
      </c>
      <c r="W330" s="4">
        <f>Table1[[#This Row],[Amount]]-(Table1[[#This Row],[Amount]]*Table1[[#This Row],[Discount_Percent]])</f>
        <v>1551.856</v>
      </c>
      <c r="X330" s="4">
        <f>IF(O330="DEL0", Table1[[#This Row],[Discounted_Amount]],Table1[[#This Row],[Discounted_Amount]]+Table1[[#This Row],[Delivery_Charge]])</f>
        <v>1606.856</v>
      </c>
      <c r="Y330" s="4" t="str">
        <f>Table1[[#This Row],[First_Name]]&amp;" "&amp;Table1[[#This Row],[Last_Name]]</f>
        <v>Hannah Gutierrez</v>
      </c>
      <c r="Z330" s="4" t="str">
        <f>IF(T:T&gt;Table1[[#This Row],[Estimated_Days_to_Deliver]],"Late",IF(T:T=Table1[[#This Row],[Estimated_Days_to_Deliver]],"Intime","BeforeTime"))</f>
        <v>Intime</v>
      </c>
      <c r="AA330" s="4">
        <f>MONTH(Table1[[#This Row],[Order_Date]])</f>
        <v>4</v>
      </c>
      <c r="AB330" s="13">
        <f>Table1[[#This Row],[Amount]]*Table1[[#This Row],[Discount_Percent]]</f>
        <v>134.94399999999999</v>
      </c>
    </row>
    <row r="331" spans="1:28" ht="14.25" customHeight="1">
      <c r="A331" s="1" t="s">
        <v>1241</v>
      </c>
      <c r="B331" s="1" t="s">
        <v>1242</v>
      </c>
      <c r="C331" s="1" t="s">
        <v>1243</v>
      </c>
      <c r="D331" s="1">
        <v>55</v>
      </c>
      <c r="E331" s="1" t="s">
        <v>43</v>
      </c>
      <c r="F331" s="1" t="s">
        <v>161</v>
      </c>
      <c r="G331" s="1" t="s">
        <v>1244</v>
      </c>
      <c r="H331" s="1" t="s">
        <v>1245</v>
      </c>
      <c r="I331" s="1" t="s">
        <v>1516</v>
      </c>
      <c r="J331" s="24">
        <v>45388</v>
      </c>
      <c r="K331" s="1" t="s">
        <v>1517</v>
      </c>
      <c r="L331" s="1" t="s">
        <v>576</v>
      </c>
      <c r="M331" s="1">
        <v>477.52</v>
      </c>
      <c r="N331" s="1">
        <v>1</v>
      </c>
      <c r="O331" s="1" t="s">
        <v>65</v>
      </c>
      <c r="P331" s="1">
        <v>5</v>
      </c>
      <c r="Q331" s="1">
        <v>48</v>
      </c>
      <c r="R331" s="24">
        <v>45393</v>
      </c>
      <c r="S331" s="1" t="s">
        <v>1518</v>
      </c>
      <c r="T331" s="4">
        <f>Table1[[#This Row],[Delivery_Date]]-Table1[[#This Row],[Order_Date]]</f>
        <v>5</v>
      </c>
      <c r="U331" s="4">
        <f>Table1[[#This Row],[Price]]*Table1[[#This Row],[Quantity]]</f>
        <v>477.52</v>
      </c>
      <c r="V331" s="11">
        <f t="shared" si="5"/>
        <v>0</v>
      </c>
      <c r="W331" s="4">
        <f>Table1[[#This Row],[Amount]]-(Table1[[#This Row],[Amount]]*Table1[[#This Row],[Discount_Percent]])</f>
        <v>477.52</v>
      </c>
      <c r="X331" s="4">
        <f>IF(O331="DEL0", Table1[[#This Row],[Discounted_Amount]],Table1[[#This Row],[Discounted_Amount]]+Table1[[#This Row],[Delivery_Charge]])</f>
        <v>477.52</v>
      </c>
      <c r="Y331" s="4" t="str">
        <f>Table1[[#This Row],[First_Name]]&amp;" "&amp;Table1[[#This Row],[Last_Name]]</f>
        <v>Hannah Gutierrez</v>
      </c>
      <c r="Z331" s="4" t="str">
        <f>IF(T:T&gt;Table1[[#This Row],[Estimated_Days_to_Deliver]],"Late",IF(T:T=Table1[[#This Row],[Estimated_Days_to_Deliver]],"Intime","BeforeTime"))</f>
        <v>Intime</v>
      </c>
      <c r="AA331" s="4">
        <f>MONTH(Table1[[#This Row],[Order_Date]])</f>
        <v>4</v>
      </c>
      <c r="AB331" s="13">
        <f>Table1[[#This Row],[Amount]]*Table1[[#This Row],[Discount_Percent]]</f>
        <v>0</v>
      </c>
    </row>
    <row r="332" spans="1:28" ht="14.25" customHeight="1">
      <c r="A332" s="1" t="s">
        <v>461</v>
      </c>
      <c r="B332" s="1" t="s">
        <v>462</v>
      </c>
      <c r="C332" s="1" t="s">
        <v>463</v>
      </c>
      <c r="D332" s="1">
        <v>63</v>
      </c>
      <c r="E332" s="1" t="s">
        <v>31</v>
      </c>
      <c r="F332" s="1" t="s">
        <v>142</v>
      </c>
      <c r="G332" s="1" t="s">
        <v>464</v>
      </c>
      <c r="H332" s="1" t="s">
        <v>465</v>
      </c>
      <c r="I332" s="1" t="s">
        <v>1519</v>
      </c>
      <c r="J332" s="24">
        <v>45623</v>
      </c>
      <c r="K332" s="1" t="s">
        <v>1520</v>
      </c>
      <c r="L332" s="1" t="s">
        <v>777</v>
      </c>
      <c r="M332" s="1">
        <v>20</v>
      </c>
      <c r="N332" s="1">
        <v>2</v>
      </c>
      <c r="O332" s="1" t="s">
        <v>65</v>
      </c>
      <c r="P332" s="1">
        <v>5</v>
      </c>
      <c r="Q332" s="1">
        <v>55</v>
      </c>
      <c r="R332" s="24">
        <v>45629</v>
      </c>
      <c r="S332" s="1" t="s">
        <v>1521</v>
      </c>
      <c r="T332" s="4">
        <f>Table1[[#This Row],[Delivery_Date]]-Table1[[#This Row],[Order_Date]]</f>
        <v>6</v>
      </c>
      <c r="U332" s="4">
        <f>Table1[[#This Row],[Price]]*Table1[[#This Row],[Quantity]]</f>
        <v>40</v>
      </c>
      <c r="V332" s="11">
        <f t="shared" si="5"/>
        <v>0</v>
      </c>
      <c r="W332" s="4">
        <f>Table1[[#This Row],[Amount]]-(Table1[[#This Row],[Amount]]*Table1[[#This Row],[Discount_Percent]])</f>
        <v>40</v>
      </c>
      <c r="X332" s="4">
        <f>IF(O332="DEL0", Table1[[#This Row],[Discounted_Amount]],Table1[[#This Row],[Discounted_Amount]]+Table1[[#This Row],[Delivery_Charge]])</f>
        <v>40</v>
      </c>
      <c r="Y332" s="4" t="str">
        <f>Table1[[#This Row],[First_Name]]&amp;" "&amp;Table1[[#This Row],[Last_Name]]</f>
        <v>Rebecca Figueroa</v>
      </c>
      <c r="Z332" s="4" t="str">
        <f>IF(T:T&gt;Table1[[#This Row],[Estimated_Days_to_Deliver]],"Late",IF(T:T=Table1[[#This Row],[Estimated_Days_to_Deliver]],"Intime","BeforeTime"))</f>
        <v>Late</v>
      </c>
      <c r="AA332" s="4">
        <f>MONTH(Table1[[#This Row],[Order_Date]])</f>
        <v>11</v>
      </c>
      <c r="AB332" s="13">
        <f>Table1[[#This Row],[Amount]]*Table1[[#This Row],[Discount_Percent]]</f>
        <v>0</v>
      </c>
    </row>
    <row r="333" spans="1:28" ht="14.25" customHeight="1">
      <c r="A333" s="1" t="s">
        <v>258</v>
      </c>
      <c r="B333" s="1" t="s">
        <v>259</v>
      </c>
      <c r="C333" s="1" t="s">
        <v>260</v>
      </c>
      <c r="D333" s="1">
        <v>60</v>
      </c>
      <c r="E333" s="1" t="s">
        <v>54</v>
      </c>
      <c r="F333" s="1" t="s">
        <v>32</v>
      </c>
      <c r="G333" s="1" t="s">
        <v>261</v>
      </c>
      <c r="H333" s="1" t="s">
        <v>262</v>
      </c>
      <c r="I333" s="1" t="s">
        <v>1522</v>
      </c>
      <c r="J333" s="24">
        <v>45498</v>
      </c>
      <c r="K333" s="1" t="s">
        <v>1523</v>
      </c>
      <c r="L333" s="1" t="s">
        <v>660</v>
      </c>
      <c r="M333" s="1">
        <v>235.63</v>
      </c>
      <c r="N333" s="1">
        <v>1</v>
      </c>
      <c r="O333" s="1" t="s">
        <v>98</v>
      </c>
      <c r="P333" s="1">
        <v>5</v>
      </c>
      <c r="Q333" s="1">
        <v>38</v>
      </c>
      <c r="R333" s="24">
        <v>45504</v>
      </c>
      <c r="S333" s="1" t="s">
        <v>1524</v>
      </c>
      <c r="T333" s="4">
        <f>Table1[[#This Row],[Delivery_Date]]-Table1[[#This Row],[Order_Date]]</f>
        <v>6</v>
      </c>
      <c r="U333" s="4">
        <f>Table1[[#This Row],[Price]]*Table1[[#This Row],[Quantity]]</f>
        <v>235.63</v>
      </c>
      <c r="V333" s="11">
        <f t="shared" si="5"/>
        <v>0.1</v>
      </c>
      <c r="W333" s="4">
        <f>Table1[[#This Row],[Amount]]-(Table1[[#This Row],[Amount]]*Table1[[#This Row],[Discount_Percent]])</f>
        <v>212.06700000000001</v>
      </c>
      <c r="X333" s="4">
        <f>IF(O333="DEL0", Table1[[#This Row],[Discounted_Amount]],Table1[[#This Row],[Discounted_Amount]]+Table1[[#This Row],[Delivery_Charge]])</f>
        <v>250.06700000000001</v>
      </c>
      <c r="Y333" s="4" t="str">
        <f>Table1[[#This Row],[First_Name]]&amp;" "&amp;Table1[[#This Row],[Last_Name]]</f>
        <v>Ashley Rose</v>
      </c>
      <c r="Z333" s="4" t="str">
        <f>IF(T:T&gt;Table1[[#This Row],[Estimated_Days_to_Deliver]],"Late",IF(T:T=Table1[[#This Row],[Estimated_Days_to_Deliver]],"Intime","BeforeTime"))</f>
        <v>Late</v>
      </c>
      <c r="AA333" s="4">
        <f>MONTH(Table1[[#This Row],[Order_Date]])</f>
        <v>7</v>
      </c>
      <c r="AB333" s="13">
        <f>Table1[[#This Row],[Amount]]*Table1[[#This Row],[Discount_Percent]]</f>
        <v>23.563000000000002</v>
      </c>
    </row>
    <row r="334" spans="1:28" ht="14.25" customHeight="1">
      <c r="A334" s="1" t="s">
        <v>1213</v>
      </c>
      <c r="B334" s="1" t="s">
        <v>1214</v>
      </c>
      <c r="C334" s="1" t="s">
        <v>1215</v>
      </c>
      <c r="D334" s="1">
        <v>50</v>
      </c>
      <c r="E334" s="1" t="s">
        <v>54</v>
      </c>
      <c r="F334" s="1" t="s">
        <v>170</v>
      </c>
      <c r="G334" s="1" t="s">
        <v>1216</v>
      </c>
      <c r="H334" s="1" t="s">
        <v>1217</v>
      </c>
      <c r="I334" s="1" t="s">
        <v>1525</v>
      </c>
      <c r="J334" s="24">
        <v>45289</v>
      </c>
      <c r="K334" s="1" t="s">
        <v>1526</v>
      </c>
      <c r="L334" s="1" t="s">
        <v>987</v>
      </c>
      <c r="M334" s="1">
        <v>33.49</v>
      </c>
      <c r="N334" s="1">
        <v>4</v>
      </c>
      <c r="O334" s="1" t="s">
        <v>60</v>
      </c>
      <c r="P334" s="1">
        <v>5</v>
      </c>
      <c r="Q334" s="1">
        <v>67</v>
      </c>
      <c r="R334" s="24">
        <v>45294</v>
      </c>
      <c r="S334" s="1" t="s">
        <v>1527</v>
      </c>
      <c r="T334" s="4">
        <f>Table1[[#This Row],[Delivery_Date]]-Table1[[#This Row],[Order_Date]]</f>
        <v>5</v>
      </c>
      <c r="U334" s="4">
        <f>Table1[[#This Row],[Price]]*Table1[[#This Row],[Quantity]]</f>
        <v>133.96</v>
      </c>
      <c r="V334" s="11">
        <f t="shared" si="5"/>
        <v>0.15</v>
      </c>
      <c r="W334" s="4">
        <f>Table1[[#This Row],[Amount]]-(Table1[[#This Row],[Amount]]*Table1[[#This Row],[Discount_Percent]])</f>
        <v>113.86600000000001</v>
      </c>
      <c r="X334" s="4">
        <f>IF(O334="DEL0", Table1[[#This Row],[Discounted_Amount]],Table1[[#This Row],[Discounted_Amount]]+Table1[[#This Row],[Delivery_Charge]])</f>
        <v>180.86600000000001</v>
      </c>
      <c r="Y334" s="4" t="str">
        <f>Table1[[#This Row],[First_Name]]&amp;" "&amp;Table1[[#This Row],[Last_Name]]</f>
        <v>Brendan Kelly</v>
      </c>
      <c r="Z334" s="4" t="str">
        <f>IF(T:T&gt;Table1[[#This Row],[Estimated_Days_to_Deliver]],"Late",IF(T:T=Table1[[#This Row],[Estimated_Days_to_Deliver]],"Intime","BeforeTime"))</f>
        <v>Intime</v>
      </c>
      <c r="AA334" s="4">
        <f>MONTH(Table1[[#This Row],[Order_Date]])</f>
        <v>12</v>
      </c>
      <c r="AB334" s="13">
        <f>Table1[[#This Row],[Amount]]*Table1[[#This Row],[Discount_Percent]]</f>
        <v>20.094000000000001</v>
      </c>
    </row>
    <row r="335" spans="1:28" ht="14.25" customHeight="1">
      <c r="A335" s="1" t="s">
        <v>336</v>
      </c>
      <c r="B335" s="1" t="s">
        <v>337</v>
      </c>
      <c r="C335" s="1" t="s">
        <v>338</v>
      </c>
      <c r="D335" s="1">
        <v>23</v>
      </c>
      <c r="E335" s="1" t="s">
        <v>31</v>
      </c>
      <c r="F335" s="1" t="s">
        <v>32</v>
      </c>
      <c r="G335" s="1" t="s">
        <v>339</v>
      </c>
      <c r="H335" s="1" t="s">
        <v>340</v>
      </c>
      <c r="I335" s="1" t="s">
        <v>1528</v>
      </c>
      <c r="J335" s="24">
        <v>45271</v>
      </c>
      <c r="K335" s="1" t="s">
        <v>1529</v>
      </c>
      <c r="L335" s="1" t="s">
        <v>517</v>
      </c>
      <c r="M335" s="1">
        <v>136.30000000000001</v>
      </c>
      <c r="N335" s="1">
        <v>4</v>
      </c>
      <c r="O335" s="1" t="s">
        <v>98</v>
      </c>
      <c r="P335" s="1">
        <v>5</v>
      </c>
      <c r="Q335" s="1">
        <v>35</v>
      </c>
      <c r="R335" s="24">
        <v>45275</v>
      </c>
      <c r="S335" s="1" t="s">
        <v>1530</v>
      </c>
      <c r="T335" s="4">
        <f>Table1[[#This Row],[Delivery_Date]]-Table1[[#This Row],[Order_Date]]</f>
        <v>4</v>
      </c>
      <c r="U335" s="4">
        <f>Table1[[#This Row],[Price]]*Table1[[#This Row],[Quantity]]</f>
        <v>545.20000000000005</v>
      </c>
      <c r="V335" s="11">
        <f t="shared" si="5"/>
        <v>0.1</v>
      </c>
      <c r="W335" s="4">
        <f>Table1[[#This Row],[Amount]]-(Table1[[#This Row],[Amount]]*Table1[[#This Row],[Discount_Percent]])</f>
        <v>490.68000000000006</v>
      </c>
      <c r="X335" s="4">
        <f>IF(O335="DEL0", Table1[[#This Row],[Discounted_Amount]],Table1[[#This Row],[Discounted_Amount]]+Table1[[#This Row],[Delivery_Charge]])</f>
        <v>525.68000000000006</v>
      </c>
      <c r="Y335" s="4" t="str">
        <f>Table1[[#This Row],[First_Name]]&amp;" "&amp;Table1[[#This Row],[Last_Name]]</f>
        <v>Julie Meyer</v>
      </c>
      <c r="Z335" s="4" t="str">
        <f>IF(T:T&gt;Table1[[#This Row],[Estimated_Days_to_Deliver]],"Late",IF(T:T=Table1[[#This Row],[Estimated_Days_to_Deliver]],"Intime","BeforeTime"))</f>
        <v>BeforeTime</v>
      </c>
      <c r="AA335" s="4">
        <f>MONTH(Table1[[#This Row],[Order_Date]])</f>
        <v>12</v>
      </c>
      <c r="AB335" s="13">
        <f>Table1[[#This Row],[Amount]]*Table1[[#This Row],[Discount_Percent]]</f>
        <v>54.52000000000001</v>
      </c>
    </row>
    <row r="336" spans="1:28" ht="14.25" customHeight="1">
      <c r="A336" s="1" t="s">
        <v>989</v>
      </c>
      <c r="B336" s="1" t="s">
        <v>990</v>
      </c>
      <c r="C336" s="1" t="s">
        <v>991</v>
      </c>
      <c r="D336" s="1">
        <v>49</v>
      </c>
      <c r="E336" s="1" t="s">
        <v>31</v>
      </c>
      <c r="F336" s="1" t="s">
        <v>44</v>
      </c>
      <c r="G336" s="1" t="s">
        <v>992</v>
      </c>
      <c r="H336" s="1" t="s">
        <v>993</v>
      </c>
      <c r="I336" s="1" t="s">
        <v>1531</v>
      </c>
      <c r="J336" s="24">
        <v>45122</v>
      </c>
      <c r="K336" s="1" t="s">
        <v>1532</v>
      </c>
      <c r="L336" s="1" t="s">
        <v>249</v>
      </c>
      <c r="M336" s="1">
        <v>282.63</v>
      </c>
      <c r="N336" s="1">
        <v>4</v>
      </c>
      <c r="O336" s="1" t="s">
        <v>98</v>
      </c>
      <c r="P336" s="1">
        <v>5</v>
      </c>
      <c r="Q336" s="1">
        <v>48</v>
      </c>
      <c r="R336" s="24">
        <v>45125</v>
      </c>
      <c r="S336" s="1" t="s">
        <v>1533</v>
      </c>
      <c r="T336" s="4">
        <f>Table1[[#This Row],[Delivery_Date]]-Table1[[#This Row],[Order_Date]]</f>
        <v>3</v>
      </c>
      <c r="U336" s="4">
        <f>Table1[[#This Row],[Price]]*Table1[[#This Row],[Quantity]]</f>
        <v>1130.52</v>
      </c>
      <c r="V336" s="11">
        <f t="shared" si="5"/>
        <v>0.1</v>
      </c>
      <c r="W336" s="4">
        <f>Table1[[#This Row],[Amount]]-(Table1[[#This Row],[Amount]]*Table1[[#This Row],[Discount_Percent]])</f>
        <v>1017.468</v>
      </c>
      <c r="X336" s="4">
        <f>IF(O336="DEL0", Table1[[#This Row],[Discounted_Amount]],Table1[[#This Row],[Discounted_Amount]]+Table1[[#This Row],[Delivery_Charge]])</f>
        <v>1065.4679999999998</v>
      </c>
      <c r="Y336" s="4" t="str">
        <f>Table1[[#This Row],[First_Name]]&amp;" "&amp;Table1[[#This Row],[Last_Name]]</f>
        <v>Natasha Michael</v>
      </c>
      <c r="Z336" s="4" t="str">
        <f>IF(T:T&gt;Table1[[#This Row],[Estimated_Days_to_Deliver]],"Late",IF(T:T=Table1[[#This Row],[Estimated_Days_to_Deliver]],"Intime","BeforeTime"))</f>
        <v>BeforeTime</v>
      </c>
      <c r="AA336" s="4">
        <f>MONTH(Table1[[#This Row],[Order_Date]])</f>
        <v>7</v>
      </c>
      <c r="AB336" s="13">
        <f>Table1[[#This Row],[Amount]]*Table1[[#This Row],[Discount_Percent]]</f>
        <v>113.05200000000001</v>
      </c>
    </row>
    <row r="337" spans="1:28" ht="14.25" customHeight="1">
      <c r="A337" s="1" t="s">
        <v>842</v>
      </c>
      <c r="B337" s="1" t="s">
        <v>843</v>
      </c>
      <c r="C337" s="1" t="s">
        <v>844</v>
      </c>
      <c r="D337" s="1">
        <v>26</v>
      </c>
      <c r="E337" s="1" t="s">
        <v>43</v>
      </c>
      <c r="F337" s="1" t="s">
        <v>161</v>
      </c>
      <c r="G337" s="1" t="s">
        <v>845</v>
      </c>
      <c r="H337" s="1" t="s">
        <v>846</v>
      </c>
      <c r="I337" s="1" t="s">
        <v>1534</v>
      </c>
      <c r="J337" s="24">
        <v>45627</v>
      </c>
      <c r="K337" s="1" t="s">
        <v>1535</v>
      </c>
      <c r="L337" s="1" t="s">
        <v>175</v>
      </c>
      <c r="M337" s="1">
        <v>272.51</v>
      </c>
      <c r="N337" s="1">
        <v>5</v>
      </c>
      <c r="O337" s="1" t="s">
        <v>98</v>
      </c>
      <c r="P337" s="1">
        <v>5</v>
      </c>
      <c r="Q337" s="1">
        <v>45</v>
      </c>
      <c r="R337" s="24">
        <v>45630</v>
      </c>
      <c r="S337" s="1" t="s">
        <v>1536</v>
      </c>
      <c r="T337" s="4">
        <f>Table1[[#This Row],[Delivery_Date]]-Table1[[#This Row],[Order_Date]]</f>
        <v>3</v>
      </c>
      <c r="U337" s="4">
        <f>Table1[[#This Row],[Price]]*Table1[[#This Row],[Quantity]]</f>
        <v>1362.55</v>
      </c>
      <c r="V337" s="11">
        <f t="shared" si="5"/>
        <v>0.1</v>
      </c>
      <c r="W337" s="4">
        <f>Table1[[#This Row],[Amount]]-(Table1[[#This Row],[Amount]]*Table1[[#This Row],[Discount_Percent]])</f>
        <v>1226.2950000000001</v>
      </c>
      <c r="X337" s="4">
        <f>IF(O337="DEL0", Table1[[#This Row],[Discounted_Amount]],Table1[[#This Row],[Discounted_Amount]]+Table1[[#This Row],[Delivery_Charge]])</f>
        <v>1271.2950000000001</v>
      </c>
      <c r="Y337" s="4" t="str">
        <f>Table1[[#This Row],[First_Name]]&amp;" "&amp;Table1[[#This Row],[Last_Name]]</f>
        <v>Leslie Montgomery</v>
      </c>
      <c r="Z337" s="4" t="str">
        <f>IF(T:T&gt;Table1[[#This Row],[Estimated_Days_to_Deliver]],"Late",IF(T:T=Table1[[#This Row],[Estimated_Days_to_Deliver]],"Intime","BeforeTime"))</f>
        <v>BeforeTime</v>
      </c>
      <c r="AA337" s="4">
        <f>MONTH(Table1[[#This Row],[Order_Date]])</f>
        <v>12</v>
      </c>
      <c r="AB337" s="13">
        <f>Table1[[#This Row],[Amount]]*Table1[[#This Row],[Discount_Percent]]</f>
        <v>136.255</v>
      </c>
    </row>
    <row r="338" spans="1:28" ht="14.25" customHeight="1">
      <c r="A338" s="1" t="s">
        <v>834</v>
      </c>
      <c r="B338" s="1" t="s">
        <v>835</v>
      </c>
      <c r="C338" s="1" t="s">
        <v>836</v>
      </c>
      <c r="D338" s="1">
        <v>60</v>
      </c>
      <c r="E338" s="1" t="s">
        <v>31</v>
      </c>
      <c r="F338" s="1" t="s">
        <v>142</v>
      </c>
      <c r="G338" s="1" t="s">
        <v>837</v>
      </c>
      <c r="H338" s="1" t="s">
        <v>838</v>
      </c>
      <c r="I338" s="1" t="s">
        <v>1537</v>
      </c>
      <c r="J338" s="24">
        <v>45053</v>
      </c>
      <c r="K338" s="1" t="s">
        <v>1538</v>
      </c>
      <c r="L338" s="1" t="s">
        <v>107</v>
      </c>
      <c r="M338" s="1">
        <v>275.44</v>
      </c>
      <c r="N338" s="1">
        <v>2</v>
      </c>
      <c r="O338" s="1" t="s">
        <v>60</v>
      </c>
      <c r="P338" s="1">
        <v>5</v>
      </c>
      <c r="Q338" s="1">
        <v>54</v>
      </c>
      <c r="R338" s="24">
        <v>45059</v>
      </c>
      <c r="S338" s="1" t="s">
        <v>1539</v>
      </c>
      <c r="T338" s="4">
        <f>Table1[[#This Row],[Delivery_Date]]-Table1[[#This Row],[Order_Date]]</f>
        <v>6</v>
      </c>
      <c r="U338" s="4">
        <f>Table1[[#This Row],[Price]]*Table1[[#This Row],[Quantity]]</f>
        <v>550.88</v>
      </c>
      <c r="V338" s="11">
        <f t="shared" si="5"/>
        <v>0.15</v>
      </c>
      <c r="W338" s="4">
        <f>Table1[[#This Row],[Amount]]-(Table1[[#This Row],[Amount]]*Table1[[#This Row],[Discount_Percent]])</f>
        <v>468.24799999999999</v>
      </c>
      <c r="X338" s="4">
        <f>IF(O338="DEL0", Table1[[#This Row],[Discounted_Amount]],Table1[[#This Row],[Discounted_Amount]]+Table1[[#This Row],[Delivery_Charge]])</f>
        <v>522.24800000000005</v>
      </c>
      <c r="Y338" s="4" t="str">
        <f>Table1[[#This Row],[First_Name]]&amp;" "&amp;Table1[[#This Row],[Last_Name]]</f>
        <v>James Brown</v>
      </c>
      <c r="Z338" s="4" t="str">
        <f>IF(T:T&gt;Table1[[#This Row],[Estimated_Days_to_Deliver]],"Late",IF(T:T=Table1[[#This Row],[Estimated_Days_to_Deliver]],"Intime","BeforeTime"))</f>
        <v>Late</v>
      </c>
      <c r="AA338" s="4">
        <f>MONTH(Table1[[#This Row],[Order_Date]])</f>
        <v>5</v>
      </c>
      <c r="AB338" s="13">
        <f>Table1[[#This Row],[Amount]]*Table1[[#This Row],[Discount_Percent]]</f>
        <v>82.631999999999991</v>
      </c>
    </row>
    <row r="339" spans="1:28" ht="14.25" customHeight="1">
      <c r="A339" s="1" t="s">
        <v>369</v>
      </c>
      <c r="B339" s="1" t="s">
        <v>370</v>
      </c>
      <c r="C339" s="1" t="s">
        <v>371</v>
      </c>
      <c r="D339" s="1">
        <v>31</v>
      </c>
      <c r="E339" s="1" t="s">
        <v>54</v>
      </c>
      <c r="F339" s="1" t="s">
        <v>142</v>
      </c>
      <c r="G339" s="1" t="s">
        <v>372</v>
      </c>
      <c r="H339" s="1" t="s">
        <v>373</v>
      </c>
      <c r="I339" s="1" t="s">
        <v>1540</v>
      </c>
      <c r="J339" s="24">
        <v>45148</v>
      </c>
      <c r="K339" s="1" t="s">
        <v>1541</v>
      </c>
      <c r="L339" s="1" t="s">
        <v>521</v>
      </c>
      <c r="M339" s="1">
        <v>441.03</v>
      </c>
      <c r="N339" s="1">
        <v>2</v>
      </c>
      <c r="O339" s="1" t="s">
        <v>38</v>
      </c>
      <c r="P339" s="1">
        <v>5</v>
      </c>
      <c r="Q339" s="1">
        <v>62</v>
      </c>
      <c r="R339" s="24">
        <v>45151</v>
      </c>
      <c r="S339" s="1" t="s">
        <v>1542</v>
      </c>
      <c r="T339" s="4">
        <f>Table1[[#This Row],[Delivery_Date]]-Table1[[#This Row],[Order_Date]]</f>
        <v>3</v>
      </c>
      <c r="U339" s="4">
        <f>Table1[[#This Row],[Price]]*Table1[[#This Row],[Quantity]]</f>
        <v>882.06</v>
      </c>
      <c r="V339" s="11">
        <f t="shared" si="5"/>
        <v>0.08</v>
      </c>
      <c r="W339" s="4">
        <f>Table1[[#This Row],[Amount]]-(Table1[[#This Row],[Amount]]*Table1[[#This Row],[Discount_Percent]])</f>
        <v>811.49519999999995</v>
      </c>
      <c r="X339" s="4">
        <f>IF(O339="DEL0", Table1[[#This Row],[Discounted_Amount]],Table1[[#This Row],[Discounted_Amount]]+Table1[[#This Row],[Delivery_Charge]])</f>
        <v>873.49519999999995</v>
      </c>
      <c r="Y339" s="4" t="str">
        <f>Table1[[#This Row],[First_Name]]&amp;" "&amp;Table1[[#This Row],[Last_Name]]</f>
        <v>Timothy Hicks</v>
      </c>
      <c r="Z339" s="4" t="str">
        <f>IF(T:T&gt;Table1[[#This Row],[Estimated_Days_to_Deliver]],"Late",IF(T:T=Table1[[#This Row],[Estimated_Days_to_Deliver]],"Intime","BeforeTime"))</f>
        <v>BeforeTime</v>
      </c>
      <c r="AA339" s="4">
        <f>MONTH(Table1[[#This Row],[Order_Date]])</f>
        <v>8</v>
      </c>
      <c r="AB339" s="13">
        <f>Table1[[#This Row],[Amount]]*Table1[[#This Row],[Discount_Percent]]</f>
        <v>70.564799999999991</v>
      </c>
    </row>
    <row r="340" spans="1:28" ht="14.25" customHeight="1">
      <c r="A340" s="1" t="s">
        <v>396</v>
      </c>
      <c r="B340" s="1" t="s">
        <v>397</v>
      </c>
      <c r="C340" s="1" t="s">
        <v>398</v>
      </c>
      <c r="D340" s="1">
        <v>40</v>
      </c>
      <c r="E340" s="1" t="s">
        <v>54</v>
      </c>
      <c r="F340" s="1" t="s">
        <v>170</v>
      </c>
      <c r="G340" s="1" t="s">
        <v>399</v>
      </c>
      <c r="H340" s="1" t="s">
        <v>400</v>
      </c>
      <c r="I340" s="1" t="s">
        <v>1543</v>
      </c>
      <c r="J340" s="24">
        <v>45285</v>
      </c>
      <c r="K340" s="1" t="s">
        <v>1544</v>
      </c>
      <c r="L340" s="1" t="s">
        <v>311</v>
      </c>
      <c r="M340" s="1">
        <v>129.75</v>
      </c>
      <c r="N340" s="1">
        <v>2</v>
      </c>
      <c r="O340" s="1" t="s">
        <v>60</v>
      </c>
      <c r="P340" s="1">
        <v>5</v>
      </c>
      <c r="Q340" s="1">
        <v>62</v>
      </c>
      <c r="R340" s="24">
        <v>45290</v>
      </c>
      <c r="S340" s="1" t="s">
        <v>1545</v>
      </c>
      <c r="T340" s="4">
        <f>Table1[[#This Row],[Delivery_Date]]-Table1[[#This Row],[Order_Date]]</f>
        <v>5</v>
      </c>
      <c r="U340" s="4">
        <f>Table1[[#This Row],[Price]]*Table1[[#This Row],[Quantity]]</f>
        <v>259.5</v>
      </c>
      <c r="V340" s="11">
        <f t="shared" si="5"/>
        <v>0.15</v>
      </c>
      <c r="W340" s="4">
        <f>Table1[[#This Row],[Amount]]-(Table1[[#This Row],[Amount]]*Table1[[#This Row],[Discount_Percent]])</f>
        <v>220.57499999999999</v>
      </c>
      <c r="X340" s="4">
        <f>IF(O340="DEL0", Table1[[#This Row],[Discounted_Amount]],Table1[[#This Row],[Discounted_Amount]]+Table1[[#This Row],[Delivery_Charge]])</f>
        <v>282.57499999999999</v>
      </c>
      <c r="Y340" s="4" t="str">
        <f>Table1[[#This Row],[First_Name]]&amp;" "&amp;Table1[[#This Row],[Last_Name]]</f>
        <v>Jason Lopez</v>
      </c>
      <c r="Z340" s="4" t="str">
        <f>IF(T:T&gt;Table1[[#This Row],[Estimated_Days_to_Deliver]],"Late",IF(T:T=Table1[[#This Row],[Estimated_Days_to_Deliver]],"Intime","BeforeTime"))</f>
        <v>Intime</v>
      </c>
      <c r="AA340" s="4">
        <f>MONTH(Table1[[#This Row],[Order_Date]])</f>
        <v>12</v>
      </c>
      <c r="AB340" s="13">
        <f>Table1[[#This Row],[Amount]]*Table1[[#This Row],[Discount_Percent]]</f>
        <v>38.924999999999997</v>
      </c>
    </row>
    <row r="341" spans="1:28" ht="14.25" customHeight="1">
      <c r="A341" s="1" t="s">
        <v>1335</v>
      </c>
      <c r="B341" s="1" t="s">
        <v>1336</v>
      </c>
      <c r="C341" s="1" t="s">
        <v>398</v>
      </c>
      <c r="D341" s="1">
        <v>18</v>
      </c>
      <c r="E341" s="1" t="s">
        <v>43</v>
      </c>
      <c r="F341" s="1" t="s">
        <v>223</v>
      </c>
      <c r="G341" s="1" t="s">
        <v>1337</v>
      </c>
      <c r="H341" s="1" t="s">
        <v>1338</v>
      </c>
      <c r="I341" s="1" t="s">
        <v>1546</v>
      </c>
      <c r="J341" s="24">
        <v>45682</v>
      </c>
      <c r="K341" s="1" t="s">
        <v>1547</v>
      </c>
      <c r="L341" s="1" t="s">
        <v>576</v>
      </c>
      <c r="M341" s="1">
        <v>477.52</v>
      </c>
      <c r="N341" s="1">
        <v>3</v>
      </c>
      <c r="O341" s="1" t="s">
        <v>87</v>
      </c>
      <c r="P341" s="1">
        <v>5</v>
      </c>
      <c r="Q341" s="1">
        <v>41</v>
      </c>
      <c r="R341" s="24">
        <v>45686</v>
      </c>
      <c r="S341" s="1" t="s">
        <v>1548</v>
      </c>
      <c r="T341" s="4">
        <f>Table1[[#This Row],[Delivery_Date]]-Table1[[#This Row],[Order_Date]]</f>
        <v>4</v>
      </c>
      <c r="U341" s="4">
        <f>Table1[[#This Row],[Price]]*Table1[[#This Row],[Quantity]]</f>
        <v>1432.56</v>
      </c>
      <c r="V341" s="11">
        <f t="shared" si="5"/>
        <v>0.2</v>
      </c>
      <c r="W341" s="4">
        <f>Table1[[#This Row],[Amount]]-(Table1[[#This Row],[Amount]]*Table1[[#This Row],[Discount_Percent]])</f>
        <v>1146.048</v>
      </c>
      <c r="X341" s="4">
        <f>IF(O341="DEL0", Table1[[#This Row],[Discounted_Amount]],Table1[[#This Row],[Discounted_Amount]]+Table1[[#This Row],[Delivery_Charge]])</f>
        <v>1187.048</v>
      </c>
      <c r="Y341" s="4" t="str">
        <f>Table1[[#This Row],[First_Name]]&amp;" "&amp;Table1[[#This Row],[Last_Name]]</f>
        <v>Veronica Lopez</v>
      </c>
      <c r="Z341" s="4" t="str">
        <f>IF(T:T&gt;Table1[[#This Row],[Estimated_Days_to_Deliver]],"Late",IF(T:T=Table1[[#This Row],[Estimated_Days_to_Deliver]],"Intime","BeforeTime"))</f>
        <v>BeforeTime</v>
      </c>
      <c r="AA341" s="4">
        <f>MONTH(Table1[[#This Row],[Order_Date]])</f>
        <v>1</v>
      </c>
      <c r="AB341" s="13">
        <f>Table1[[#This Row],[Amount]]*Table1[[#This Row],[Discount_Percent]]</f>
        <v>286.512</v>
      </c>
    </row>
    <row r="342" spans="1:28" ht="14.25" customHeight="1">
      <c r="A342" s="1" t="s">
        <v>503</v>
      </c>
      <c r="B342" s="1" t="s">
        <v>504</v>
      </c>
      <c r="C342" s="1" t="s">
        <v>390</v>
      </c>
      <c r="D342" s="1">
        <v>57</v>
      </c>
      <c r="E342" s="1" t="s">
        <v>43</v>
      </c>
      <c r="F342" s="1" t="s">
        <v>223</v>
      </c>
      <c r="G342" s="1" t="s">
        <v>505</v>
      </c>
      <c r="H342" s="1" t="s">
        <v>506</v>
      </c>
      <c r="I342" s="1" t="s">
        <v>1549</v>
      </c>
      <c r="J342" s="24">
        <v>45453</v>
      </c>
      <c r="K342" s="1" t="s">
        <v>1550</v>
      </c>
      <c r="L342" s="1" t="s">
        <v>944</v>
      </c>
      <c r="M342" s="1">
        <v>107.47</v>
      </c>
      <c r="N342" s="1">
        <v>3</v>
      </c>
      <c r="O342" s="1" t="s">
        <v>98</v>
      </c>
      <c r="P342" s="1">
        <v>5</v>
      </c>
      <c r="Q342" s="1">
        <v>59</v>
      </c>
      <c r="R342" s="24">
        <v>45454</v>
      </c>
      <c r="S342" s="1" t="s">
        <v>1551</v>
      </c>
      <c r="T342" s="4">
        <f>Table1[[#This Row],[Delivery_Date]]-Table1[[#This Row],[Order_Date]]</f>
        <v>1</v>
      </c>
      <c r="U342" s="4">
        <f>Table1[[#This Row],[Price]]*Table1[[#This Row],[Quantity]]</f>
        <v>322.40999999999997</v>
      </c>
      <c r="V342" s="11">
        <f t="shared" si="5"/>
        <v>0.1</v>
      </c>
      <c r="W342" s="4">
        <f>Table1[[#This Row],[Amount]]-(Table1[[#This Row],[Amount]]*Table1[[#This Row],[Discount_Percent]])</f>
        <v>290.16899999999998</v>
      </c>
      <c r="X342" s="4">
        <f>IF(O342="DEL0", Table1[[#This Row],[Discounted_Amount]],Table1[[#This Row],[Discounted_Amount]]+Table1[[#This Row],[Delivery_Charge]])</f>
        <v>349.16899999999998</v>
      </c>
      <c r="Y342" s="4" t="str">
        <f>Table1[[#This Row],[First_Name]]&amp;" "&amp;Table1[[#This Row],[Last_Name]]</f>
        <v>Sharon Thompson</v>
      </c>
      <c r="Z342" s="4" t="str">
        <f>IF(T:T&gt;Table1[[#This Row],[Estimated_Days_to_Deliver]],"Late",IF(T:T=Table1[[#This Row],[Estimated_Days_to_Deliver]],"Intime","BeforeTime"))</f>
        <v>BeforeTime</v>
      </c>
      <c r="AA342" s="4">
        <f>MONTH(Table1[[#This Row],[Order_Date]])</f>
        <v>6</v>
      </c>
      <c r="AB342" s="13">
        <f>Table1[[#This Row],[Amount]]*Table1[[#This Row],[Discount_Percent]]</f>
        <v>32.241</v>
      </c>
    </row>
    <row r="343" spans="1:28" ht="14.25" customHeight="1">
      <c r="A343" s="1" t="s">
        <v>770</v>
      </c>
      <c r="B343" s="1" t="s">
        <v>771</v>
      </c>
      <c r="C343" s="1" t="s">
        <v>772</v>
      </c>
      <c r="D343" s="1">
        <v>27</v>
      </c>
      <c r="E343" s="1" t="s">
        <v>31</v>
      </c>
      <c r="F343" s="1" t="s">
        <v>44</v>
      </c>
      <c r="G343" s="1" t="s">
        <v>773</v>
      </c>
      <c r="H343" s="1" t="s">
        <v>774</v>
      </c>
      <c r="I343" s="1" t="s">
        <v>1552</v>
      </c>
      <c r="J343" s="24">
        <v>45185</v>
      </c>
      <c r="K343" s="1" t="s">
        <v>1553</v>
      </c>
      <c r="L343" s="1" t="s">
        <v>294</v>
      </c>
      <c r="M343" s="1">
        <v>158.53</v>
      </c>
      <c r="N343" s="1">
        <v>2</v>
      </c>
      <c r="O343" s="1" t="s">
        <v>38</v>
      </c>
      <c r="P343" s="1">
        <v>5</v>
      </c>
      <c r="Q343" s="1">
        <v>56</v>
      </c>
      <c r="R343" s="24">
        <v>45187</v>
      </c>
      <c r="S343" s="1" t="s">
        <v>1554</v>
      </c>
      <c r="T343" s="4">
        <f>Table1[[#This Row],[Delivery_Date]]-Table1[[#This Row],[Order_Date]]</f>
        <v>2</v>
      </c>
      <c r="U343" s="4">
        <f>Table1[[#This Row],[Price]]*Table1[[#This Row],[Quantity]]</f>
        <v>317.06</v>
      </c>
      <c r="V343" s="11">
        <f t="shared" si="5"/>
        <v>0.08</v>
      </c>
      <c r="W343" s="4">
        <f>Table1[[#This Row],[Amount]]-(Table1[[#This Row],[Amount]]*Table1[[#This Row],[Discount_Percent]])</f>
        <v>291.6952</v>
      </c>
      <c r="X343" s="4">
        <f>IF(O343="DEL0", Table1[[#This Row],[Discounted_Amount]],Table1[[#This Row],[Discounted_Amount]]+Table1[[#This Row],[Delivery_Charge]])</f>
        <v>347.6952</v>
      </c>
      <c r="Y343" s="4" t="str">
        <f>Table1[[#This Row],[First_Name]]&amp;" "&amp;Table1[[#This Row],[Last_Name]]</f>
        <v>Kristina Haynes</v>
      </c>
      <c r="Z343" s="4" t="str">
        <f>IF(T:T&gt;Table1[[#This Row],[Estimated_Days_to_Deliver]],"Late",IF(T:T=Table1[[#This Row],[Estimated_Days_to_Deliver]],"Intime","BeforeTime"))</f>
        <v>BeforeTime</v>
      </c>
      <c r="AA343" s="4">
        <f>MONTH(Table1[[#This Row],[Order_Date]])</f>
        <v>9</v>
      </c>
      <c r="AB343" s="13">
        <f>Table1[[#This Row],[Amount]]*Table1[[#This Row],[Discount_Percent]]</f>
        <v>25.364800000000002</v>
      </c>
    </row>
    <row r="344" spans="1:28" ht="14.25" customHeight="1">
      <c r="A344" s="1" t="s">
        <v>1460</v>
      </c>
      <c r="B344" s="1" t="s">
        <v>276</v>
      </c>
      <c r="C344" s="1" t="s">
        <v>1461</v>
      </c>
      <c r="D344" s="1">
        <v>30</v>
      </c>
      <c r="E344" s="1" t="s">
        <v>31</v>
      </c>
      <c r="F344" s="1" t="s">
        <v>223</v>
      </c>
      <c r="G344" s="1" t="s">
        <v>1462</v>
      </c>
      <c r="H344" s="1" t="s">
        <v>1463</v>
      </c>
      <c r="I344" s="1" t="s">
        <v>1555</v>
      </c>
      <c r="J344" s="24">
        <v>45423</v>
      </c>
      <c r="K344" s="1" t="s">
        <v>1556</v>
      </c>
      <c r="L344" s="1" t="s">
        <v>521</v>
      </c>
      <c r="M344" s="1">
        <v>441.03</v>
      </c>
      <c r="N344" s="1">
        <v>2</v>
      </c>
      <c r="O344" s="1" t="s">
        <v>65</v>
      </c>
      <c r="P344" s="1">
        <v>5</v>
      </c>
      <c r="Q344" s="1">
        <v>55</v>
      </c>
      <c r="R344" s="24">
        <v>45429</v>
      </c>
      <c r="S344" s="1" t="s">
        <v>1557</v>
      </c>
      <c r="T344" s="4">
        <f>Table1[[#This Row],[Delivery_Date]]-Table1[[#This Row],[Order_Date]]</f>
        <v>6</v>
      </c>
      <c r="U344" s="4">
        <f>Table1[[#This Row],[Price]]*Table1[[#This Row],[Quantity]]</f>
        <v>882.06</v>
      </c>
      <c r="V344" s="11">
        <f t="shared" si="5"/>
        <v>0</v>
      </c>
      <c r="W344" s="4">
        <f>Table1[[#This Row],[Amount]]-(Table1[[#This Row],[Amount]]*Table1[[#This Row],[Discount_Percent]])</f>
        <v>882.06</v>
      </c>
      <c r="X344" s="4">
        <f>IF(O344="DEL0", Table1[[#This Row],[Discounted_Amount]],Table1[[#This Row],[Discounted_Amount]]+Table1[[#This Row],[Delivery_Charge]])</f>
        <v>882.06</v>
      </c>
      <c r="Y344" s="4" t="str">
        <f>Table1[[#This Row],[First_Name]]&amp;" "&amp;Table1[[#This Row],[Last_Name]]</f>
        <v>Lauren Lane</v>
      </c>
      <c r="Z344" s="4" t="str">
        <f>IF(T:T&gt;Table1[[#This Row],[Estimated_Days_to_Deliver]],"Late",IF(T:T=Table1[[#This Row],[Estimated_Days_to_Deliver]],"Intime","BeforeTime"))</f>
        <v>Late</v>
      </c>
      <c r="AA344" s="4">
        <f>MONTH(Table1[[#This Row],[Order_Date]])</f>
        <v>5</v>
      </c>
      <c r="AB344" s="13">
        <f>Table1[[#This Row],[Amount]]*Table1[[#This Row],[Discount_Percent]]</f>
        <v>0</v>
      </c>
    </row>
    <row r="345" spans="1:28" ht="14.25" customHeight="1">
      <c r="A345" s="1" t="s">
        <v>753</v>
      </c>
      <c r="B345" s="1" t="s">
        <v>754</v>
      </c>
      <c r="C345" s="1" t="s">
        <v>755</v>
      </c>
      <c r="D345" s="1">
        <v>43</v>
      </c>
      <c r="E345" s="1" t="s">
        <v>54</v>
      </c>
      <c r="F345" s="1" t="s">
        <v>161</v>
      </c>
      <c r="G345" s="1" t="s">
        <v>756</v>
      </c>
      <c r="H345" s="1" t="s">
        <v>757</v>
      </c>
      <c r="I345" s="1" t="s">
        <v>1558</v>
      </c>
      <c r="J345" s="24">
        <v>44966</v>
      </c>
      <c r="K345" s="1" t="s">
        <v>1559</v>
      </c>
      <c r="L345" s="1" t="s">
        <v>484</v>
      </c>
      <c r="M345" s="1">
        <v>87.09</v>
      </c>
      <c r="N345" s="1">
        <v>5</v>
      </c>
      <c r="O345" s="1" t="s">
        <v>65</v>
      </c>
      <c r="P345" s="1">
        <v>5</v>
      </c>
      <c r="Q345" s="1">
        <v>56</v>
      </c>
      <c r="R345" s="24">
        <v>44971</v>
      </c>
      <c r="S345" s="1" t="s">
        <v>1560</v>
      </c>
      <c r="T345" s="4">
        <f>Table1[[#This Row],[Delivery_Date]]-Table1[[#This Row],[Order_Date]]</f>
        <v>5</v>
      </c>
      <c r="U345" s="4">
        <f>Table1[[#This Row],[Price]]*Table1[[#This Row],[Quantity]]</f>
        <v>435.45000000000005</v>
      </c>
      <c r="V345" s="11">
        <f t="shared" si="5"/>
        <v>0</v>
      </c>
      <c r="W345" s="4">
        <f>Table1[[#This Row],[Amount]]-(Table1[[#This Row],[Amount]]*Table1[[#This Row],[Discount_Percent]])</f>
        <v>435.45000000000005</v>
      </c>
      <c r="X345" s="4">
        <f>IF(O345="DEL0", Table1[[#This Row],[Discounted_Amount]],Table1[[#This Row],[Discounted_Amount]]+Table1[[#This Row],[Delivery_Charge]])</f>
        <v>435.45000000000005</v>
      </c>
      <c r="Y345" s="4" t="str">
        <f>Table1[[#This Row],[First_Name]]&amp;" "&amp;Table1[[#This Row],[Last_Name]]</f>
        <v>Barbara Fuller</v>
      </c>
      <c r="Z345" s="4" t="str">
        <f>IF(T:T&gt;Table1[[#This Row],[Estimated_Days_to_Deliver]],"Late",IF(T:T=Table1[[#This Row],[Estimated_Days_to_Deliver]],"Intime","BeforeTime"))</f>
        <v>Intime</v>
      </c>
      <c r="AA345" s="4">
        <f>MONTH(Table1[[#This Row],[Order_Date]])</f>
        <v>2</v>
      </c>
      <c r="AB345" s="13">
        <f>Table1[[#This Row],[Amount]]*Table1[[#This Row],[Discount_Percent]]</f>
        <v>0</v>
      </c>
    </row>
    <row r="346" spans="1:28" ht="14.25" customHeight="1">
      <c r="A346" s="1" t="s">
        <v>239</v>
      </c>
      <c r="B346" s="1" t="s">
        <v>68</v>
      </c>
      <c r="C346" s="1" t="s">
        <v>240</v>
      </c>
      <c r="D346" s="1">
        <v>52</v>
      </c>
      <c r="E346" s="1" t="s">
        <v>54</v>
      </c>
      <c r="F346" s="1" t="s">
        <v>44</v>
      </c>
      <c r="G346" s="1" t="s">
        <v>241</v>
      </c>
      <c r="H346" s="1" t="s">
        <v>242</v>
      </c>
      <c r="I346" s="1" t="s">
        <v>1561</v>
      </c>
      <c r="J346" s="24">
        <v>45303</v>
      </c>
      <c r="K346" s="1" t="s">
        <v>1562</v>
      </c>
      <c r="L346" s="1" t="s">
        <v>185</v>
      </c>
      <c r="M346" s="1">
        <v>104.18</v>
      </c>
      <c r="N346" s="1">
        <v>4</v>
      </c>
      <c r="O346" s="1" t="s">
        <v>65</v>
      </c>
      <c r="P346" s="1">
        <v>5</v>
      </c>
      <c r="Q346" s="1">
        <v>40</v>
      </c>
      <c r="R346" s="24">
        <v>45308</v>
      </c>
      <c r="S346" s="1" t="s">
        <v>1563</v>
      </c>
      <c r="T346" s="4">
        <f>Table1[[#This Row],[Delivery_Date]]-Table1[[#This Row],[Order_Date]]</f>
        <v>5</v>
      </c>
      <c r="U346" s="4">
        <f>Table1[[#This Row],[Price]]*Table1[[#This Row],[Quantity]]</f>
        <v>416.72</v>
      </c>
      <c r="V346" s="11">
        <f t="shared" si="5"/>
        <v>0</v>
      </c>
      <c r="W346" s="4">
        <f>Table1[[#This Row],[Amount]]-(Table1[[#This Row],[Amount]]*Table1[[#This Row],[Discount_Percent]])</f>
        <v>416.72</v>
      </c>
      <c r="X346" s="4">
        <f>IF(O346="DEL0", Table1[[#This Row],[Discounted_Amount]],Table1[[#This Row],[Discounted_Amount]]+Table1[[#This Row],[Delivery_Charge]])</f>
        <v>416.72</v>
      </c>
      <c r="Y346" s="4" t="str">
        <f>Table1[[#This Row],[First_Name]]&amp;" "&amp;Table1[[#This Row],[Last_Name]]</f>
        <v>Angela Evans</v>
      </c>
      <c r="Z346" s="4" t="str">
        <f>IF(T:T&gt;Table1[[#This Row],[Estimated_Days_to_Deliver]],"Late",IF(T:T=Table1[[#This Row],[Estimated_Days_to_Deliver]],"Intime","BeforeTime"))</f>
        <v>Intime</v>
      </c>
      <c r="AA346" s="4">
        <f>MONTH(Table1[[#This Row],[Order_Date]])</f>
        <v>1</v>
      </c>
      <c r="AB346" s="13">
        <f>Table1[[#This Row],[Amount]]*Table1[[#This Row],[Discount_Percent]]</f>
        <v>0</v>
      </c>
    </row>
    <row r="347" spans="1:28" ht="14.25" customHeight="1">
      <c r="A347" s="1" t="s">
        <v>523</v>
      </c>
      <c r="B347" s="1" t="s">
        <v>524</v>
      </c>
      <c r="C347" s="1" t="s">
        <v>525</v>
      </c>
      <c r="D347" s="1">
        <v>42</v>
      </c>
      <c r="E347" s="1" t="s">
        <v>54</v>
      </c>
      <c r="F347" s="1" t="s">
        <v>78</v>
      </c>
      <c r="G347" s="1" t="s">
        <v>526</v>
      </c>
      <c r="H347" s="1" t="s">
        <v>527</v>
      </c>
      <c r="I347" s="1" t="s">
        <v>1564</v>
      </c>
      <c r="J347" s="24">
        <v>45666</v>
      </c>
      <c r="K347" s="1" t="s">
        <v>1565</v>
      </c>
      <c r="L347" s="1" t="s">
        <v>987</v>
      </c>
      <c r="M347" s="1">
        <v>33.49</v>
      </c>
      <c r="N347" s="1">
        <v>1</v>
      </c>
      <c r="O347" s="1" t="s">
        <v>87</v>
      </c>
      <c r="P347" s="1">
        <v>5</v>
      </c>
      <c r="Q347" s="1">
        <v>61</v>
      </c>
      <c r="R347" s="24">
        <v>45668</v>
      </c>
      <c r="S347" s="1" t="s">
        <v>1456</v>
      </c>
      <c r="T347" s="4">
        <f>Table1[[#This Row],[Delivery_Date]]-Table1[[#This Row],[Order_Date]]</f>
        <v>2</v>
      </c>
      <c r="U347" s="4">
        <f>Table1[[#This Row],[Price]]*Table1[[#This Row],[Quantity]]</f>
        <v>33.49</v>
      </c>
      <c r="V347" s="11">
        <f t="shared" si="5"/>
        <v>0.2</v>
      </c>
      <c r="W347" s="4">
        <f>Table1[[#This Row],[Amount]]-(Table1[[#This Row],[Amount]]*Table1[[#This Row],[Discount_Percent]])</f>
        <v>26.792000000000002</v>
      </c>
      <c r="X347" s="4">
        <f>IF(O347="DEL0", Table1[[#This Row],[Discounted_Amount]],Table1[[#This Row],[Discounted_Amount]]+Table1[[#This Row],[Delivery_Charge]])</f>
        <v>87.792000000000002</v>
      </c>
      <c r="Y347" s="4" t="str">
        <f>Table1[[#This Row],[First_Name]]&amp;" "&amp;Table1[[#This Row],[Last_Name]]</f>
        <v>Katherine Weber</v>
      </c>
      <c r="Z347" s="4" t="str">
        <f>IF(T:T&gt;Table1[[#This Row],[Estimated_Days_to_Deliver]],"Late",IF(T:T=Table1[[#This Row],[Estimated_Days_to_Deliver]],"Intime","BeforeTime"))</f>
        <v>BeforeTime</v>
      </c>
      <c r="AA347" s="4">
        <f>MONTH(Table1[[#This Row],[Order_Date]])</f>
        <v>1</v>
      </c>
      <c r="AB347" s="13">
        <f>Table1[[#This Row],[Amount]]*Table1[[#This Row],[Discount_Percent]]</f>
        <v>6.6980000000000004</v>
      </c>
    </row>
    <row r="348" spans="1:28" ht="14.25" customHeight="1">
      <c r="A348" s="1" t="s">
        <v>1460</v>
      </c>
      <c r="B348" s="1" t="s">
        <v>276</v>
      </c>
      <c r="C348" s="1" t="s">
        <v>1461</v>
      </c>
      <c r="D348" s="1">
        <v>30</v>
      </c>
      <c r="E348" s="1" t="s">
        <v>31</v>
      </c>
      <c r="F348" s="1" t="s">
        <v>223</v>
      </c>
      <c r="G348" s="1" t="s">
        <v>1462</v>
      </c>
      <c r="H348" s="1" t="s">
        <v>1463</v>
      </c>
      <c r="I348" s="1" t="s">
        <v>1566</v>
      </c>
      <c r="J348" s="24">
        <v>45386</v>
      </c>
      <c r="K348" s="1" t="s">
        <v>1567</v>
      </c>
      <c r="L348" s="1" t="s">
        <v>656</v>
      </c>
      <c r="M348" s="1">
        <v>433.62</v>
      </c>
      <c r="N348" s="1">
        <v>4</v>
      </c>
      <c r="O348" s="1" t="s">
        <v>65</v>
      </c>
      <c r="P348" s="1">
        <v>5</v>
      </c>
      <c r="Q348" s="1">
        <v>56</v>
      </c>
      <c r="R348" s="24">
        <v>45392</v>
      </c>
      <c r="S348" s="1" t="s">
        <v>1568</v>
      </c>
      <c r="T348" s="4">
        <f>Table1[[#This Row],[Delivery_Date]]-Table1[[#This Row],[Order_Date]]</f>
        <v>6</v>
      </c>
      <c r="U348" s="4">
        <f>Table1[[#This Row],[Price]]*Table1[[#This Row],[Quantity]]</f>
        <v>1734.48</v>
      </c>
      <c r="V348" s="11">
        <f t="shared" si="5"/>
        <v>0</v>
      </c>
      <c r="W348" s="4">
        <f>Table1[[#This Row],[Amount]]-(Table1[[#This Row],[Amount]]*Table1[[#This Row],[Discount_Percent]])</f>
        <v>1734.48</v>
      </c>
      <c r="X348" s="4">
        <f>IF(O348="DEL0", Table1[[#This Row],[Discounted_Amount]],Table1[[#This Row],[Discounted_Amount]]+Table1[[#This Row],[Delivery_Charge]])</f>
        <v>1734.48</v>
      </c>
      <c r="Y348" s="4" t="str">
        <f>Table1[[#This Row],[First_Name]]&amp;" "&amp;Table1[[#This Row],[Last_Name]]</f>
        <v>Lauren Lane</v>
      </c>
      <c r="Z348" s="4" t="str">
        <f>IF(T:T&gt;Table1[[#This Row],[Estimated_Days_to_Deliver]],"Late",IF(T:T=Table1[[#This Row],[Estimated_Days_to_Deliver]],"Intime","BeforeTime"))</f>
        <v>Late</v>
      </c>
      <c r="AA348" s="4">
        <f>MONTH(Table1[[#This Row],[Order_Date]])</f>
        <v>4</v>
      </c>
      <c r="AB348" s="13">
        <f>Table1[[#This Row],[Amount]]*Table1[[#This Row],[Discount_Percent]]</f>
        <v>0</v>
      </c>
    </row>
    <row r="349" spans="1:28" ht="14.25" customHeight="1">
      <c r="A349" s="1" t="s">
        <v>1194</v>
      </c>
      <c r="B349" s="1" t="s">
        <v>42</v>
      </c>
      <c r="C349" s="1" t="s">
        <v>1195</v>
      </c>
      <c r="D349" s="1">
        <v>34</v>
      </c>
      <c r="E349" s="1" t="s">
        <v>54</v>
      </c>
      <c r="F349" s="1" t="s">
        <v>223</v>
      </c>
      <c r="G349" s="1" t="s">
        <v>1196</v>
      </c>
      <c r="H349" s="1" t="s">
        <v>1197</v>
      </c>
      <c r="I349" s="1" t="s">
        <v>1569</v>
      </c>
      <c r="J349" s="24">
        <v>45085</v>
      </c>
      <c r="K349" s="1" t="s">
        <v>1570</v>
      </c>
      <c r="L349" s="1" t="s">
        <v>202</v>
      </c>
      <c r="M349" s="1">
        <v>20.7</v>
      </c>
      <c r="N349" s="1">
        <v>1</v>
      </c>
      <c r="O349" s="1" t="s">
        <v>65</v>
      </c>
      <c r="P349" s="1">
        <v>5</v>
      </c>
      <c r="Q349" s="1">
        <v>51</v>
      </c>
      <c r="R349" s="24">
        <v>45086</v>
      </c>
      <c r="S349" s="1" t="s">
        <v>1571</v>
      </c>
      <c r="T349" s="4">
        <f>Table1[[#This Row],[Delivery_Date]]-Table1[[#This Row],[Order_Date]]</f>
        <v>1</v>
      </c>
      <c r="U349" s="4">
        <f>Table1[[#This Row],[Price]]*Table1[[#This Row],[Quantity]]</f>
        <v>20.7</v>
      </c>
      <c r="V349" s="11">
        <f t="shared" si="5"/>
        <v>0</v>
      </c>
      <c r="W349" s="4">
        <f>Table1[[#This Row],[Amount]]-(Table1[[#This Row],[Amount]]*Table1[[#This Row],[Discount_Percent]])</f>
        <v>20.7</v>
      </c>
      <c r="X349" s="4">
        <f>IF(O349="DEL0", Table1[[#This Row],[Discounted_Amount]],Table1[[#This Row],[Discounted_Amount]]+Table1[[#This Row],[Delivery_Charge]])</f>
        <v>20.7</v>
      </c>
      <c r="Y349" s="4" t="str">
        <f>Table1[[#This Row],[First_Name]]&amp;" "&amp;Table1[[#This Row],[Last_Name]]</f>
        <v>Thomas Owens</v>
      </c>
      <c r="Z349" s="4" t="str">
        <f>IF(T:T&gt;Table1[[#This Row],[Estimated_Days_to_Deliver]],"Late",IF(T:T=Table1[[#This Row],[Estimated_Days_to_Deliver]],"Intime","BeforeTime"))</f>
        <v>BeforeTime</v>
      </c>
      <c r="AA349" s="4">
        <f>MONTH(Table1[[#This Row],[Order_Date]])</f>
        <v>6</v>
      </c>
      <c r="AB349" s="13">
        <f>Table1[[#This Row],[Amount]]*Table1[[#This Row],[Discount_Percent]]</f>
        <v>0</v>
      </c>
    </row>
    <row r="350" spans="1:28" ht="14.25" customHeight="1">
      <c r="A350" s="1" t="s">
        <v>446</v>
      </c>
      <c r="B350" s="1" t="s">
        <v>101</v>
      </c>
      <c r="C350" s="1" t="s">
        <v>447</v>
      </c>
      <c r="D350" s="1">
        <v>36</v>
      </c>
      <c r="E350" s="1" t="s">
        <v>43</v>
      </c>
      <c r="F350" s="1" t="s">
        <v>32</v>
      </c>
      <c r="G350" s="1" t="s">
        <v>448</v>
      </c>
      <c r="H350" s="1" t="s">
        <v>449</v>
      </c>
      <c r="I350" s="1" t="s">
        <v>1572</v>
      </c>
      <c r="J350" s="24">
        <v>45028</v>
      </c>
      <c r="K350" s="1" t="s">
        <v>1573</v>
      </c>
      <c r="L350" s="1" t="s">
        <v>521</v>
      </c>
      <c r="M350" s="1">
        <v>441.03</v>
      </c>
      <c r="N350" s="1">
        <v>2</v>
      </c>
      <c r="O350" s="1" t="s">
        <v>98</v>
      </c>
      <c r="P350" s="1">
        <v>5</v>
      </c>
      <c r="Q350" s="1">
        <v>60</v>
      </c>
      <c r="R350" s="24">
        <v>45033</v>
      </c>
      <c r="S350" s="1" t="s">
        <v>1574</v>
      </c>
      <c r="T350" s="4">
        <f>Table1[[#This Row],[Delivery_Date]]-Table1[[#This Row],[Order_Date]]</f>
        <v>5</v>
      </c>
      <c r="U350" s="4">
        <f>Table1[[#This Row],[Price]]*Table1[[#This Row],[Quantity]]</f>
        <v>882.06</v>
      </c>
      <c r="V350" s="11">
        <f t="shared" si="5"/>
        <v>0.1</v>
      </c>
      <c r="W350" s="4">
        <f>Table1[[#This Row],[Amount]]-(Table1[[#This Row],[Amount]]*Table1[[#This Row],[Discount_Percent]])</f>
        <v>793.85399999999993</v>
      </c>
      <c r="X350" s="4">
        <f>IF(O350="DEL0", Table1[[#This Row],[Discounted_Amount]],Table1[[#This Row],[Discounted_Amount]]+Table1[[#This Row],[Delivery_Charge]])</f>
        <v>853.85399999999993</v>
      </c>
      <c r="Y350" s="4" t="str">
        <f>Table1[[#This Row],[First_Name]]&amp;" "&amp;Table1[[#This Row],[Last_Name]]</f>
        <v>Marcus Rogers</v>
      </c>
      <c r="Z350" s="4" t="str">
        <f>IF(T:T&gt;Table1[[#This Row],[Estimated_Days_to_Deliver]],"Late",IF(T:T=Table1[[#This Row],[Estimated_Days_to_Deliver]],"Intime","BeforeTime"))</f>
        <v>Intime</v>
      </c>
      <c r="AA350" s="4">
        <f>MONTH(Table1[[#This Row],[Order_Date]])</f>
        <v>4</v>
      </c>
      <c r="AB350" s="13">
        <f>Table1[[#This Row],[Amount]]*Table1[[#This Row],[Discount_Percent]]</f>
        <v>88.206000000000003</v>
      </c>
    </row>
    <row r="351" spans="1:28" ht="14.25" customHeight="1">
      <c r="A351" s="1" t="s">
        <v>1213</v>
      </c>
      <c r="B351" s="1" t="s">
        <v>1214</v>
      </c>
      <c r="C351" s="1" t="s">
        <v>1215</v>
      </c>
      <c r="D351" s="1">
        <v>50</v>
      </c>
      <c r="E351" s="1" t="s">
        <v>54</v>
      </c>
      <c r="F351" s="1" t="s">
        <v>170</v>
      </c>
      <c r="G351" s="1" t="s">
        <v>1216</v>
      </c>
      <c r="H351" s="1" t="s">
        <v>1217</v>
      </c>
      <c r="I351" s="1" t="s">
        <v>1575</v>
      </c>
      <c r="J351" s="24">
        <v>45183</v>
      </c>
      <c r="K351" s="1" t="s">
        <v>1576</v>
      </c>
      <c r="L351" s="1" t="s">
        <v>656</v>
      </c>
      <c r="M351" s="1">
        <v>433.62</v>
      </c>
      <c r="N351" s="1">
        <v>2</v>
      </c>
      <c r="O351" s="1" t="s">
        <v>65</v>
      </c>
      <c r="P351" s="1">
        <v>5</v>
      </c>
      <c r="Q351" s="1">
        <v>46</v>
      </c>
      <c r="R351" s="24">
        <v>45186</v>
      </c>
      <c r="S351" s="1" t="s">
        <v>1577</v>
      </c>
      <c r="T351" s="4">
        <f>Table1[[#This Row],[Delivery_Date]]-Table1[[#This Row],[Order_Date]]</f>
        <v>3</v>
      </c>
      <c r="U351" s="4">
        <f>Table1[[#This Row],[Price]]*Table1[[#This Row],[Quantity]]</f>
        <v>867.24</v>
      </c>
      <c r="V351" s="11">
        <f t="shared" si="5"/>
        <v>0</v>
      </c>
      <c r="W351" s="4">
        <f>Table1[[#This Row],[Amount]]-(Table1[[#This Row],[Amount]]*Table1[[#This Row],[Discount_Percent]])</f>
        <v>867.24</v>
      </c>
      <c r="X351" s="4">
        <f>IF(O351="DEL0", Table1[[#This Row],[Discounted_Amount]],Table1[[#This Row],[Discounted_Amount]]+Table1[[#This Row],[Delivery_Charge]])</f>
        <v>867.24</v>
      </c>
      <c r="Y351" s="4" t="str">
        <f>Table1[[#This Row],[First_Name]]&amp;" "&amp;Table1[[#This Row],[Last_Name]]</f>
        <v>Brendan Kelly</v>
      </c>
      <c r="Z351" s="4" t="str">
        <f>IF(T:T&gt;Table1[[#This Row],[Estimated_Days_to_Deliver]],"Late",IF(T:T=Table1[[#This Row],[Estimated_Days_to_Deliver]],"Intime","BeforeTime"))</f>
        <v>BeforeTime</v>
      </c>
      <c r="AA351" s="4">
        <f>MONTH(Table1[[#This Row],[Order_Date]])</f>
        <v>9</v>
      </c>
      <c r="AB351" s="13">
        <f>Table1[[#This Row],[Amount]]*Table1[[#This Row],[Discount_Percent]]</f>
        <v>0</v>
      </c>
    </row>
    <row r="352" spans="1:28" ht="14.25" customHeight="1">
      <c r="A352" s="1" t="s">
        <v>212</v>
      </c>
      <c r="B352" s="1" t="s">
        <v>213</v>
      </c>
      <c r="C352" s="1" t="s">
        <v>214</v>
      </c>
      <c r="D352" s="1">
        <v>39</v>
      </c>
      <c r="E352" s="1" t="s">
        <v>43</v>
      </c>
      <c r="F352" s="1" t="s">
        <v>161</v>
      </c>
      <c r="G352" s="1" t="s">
        <v>215</v>
      </c>
      <c r="H352" s="1" t="s">
        <v>216</v>
      </c>
      <c r="I352" s="1" t="s">
        <v>1578</v>
      </c>
      <c r="J352" s="24">
        <v>45387</v>
      </c>
      <c r="K352" s="1" t="s">
        <v>1579</v>
      </c>
      <c r="L352" s="1" t="s">
        <v>689</v>
      </c>
      <c r="M352" s="1">
        <v>424.82</v>
      </c>
      <c r="N352" s="1">
        <v>5</v>
      </c>
      <c r="O352" s="1" t="s">
        <v>98</v>
      </c>
      <c r="P352" s="1">
        <v>5</v>
      </c>
      <c r="Q352" s="1">
        <v>37</v>
      </c>
      <c r="R352" s="24">
        <v>45393</v>
      </c>
      <c r="S352" s="1" t="s">
        <v>1580</v>
      </c>
      <c r="T352" s="4">
        <f>Table1[[#This Row],[Delivery_Date]]-Table1[[#This Row],[Order_Date]]</f>
        <v>6</v>
      </c>
      <c r="U352" s="4">
        <f>Table1[[#This Row],[Price]]*Table1[[#This Row],[Quantity]]</f>
        <v>2124.1</v>
      </c>
      <c r="V352" s="11">
        <f t="shared" si="5"/>
        <v>0.1</v>
      </c>
      <c r="W352" s="4">
        <f>Table1[[#This Row],[Amount]]-(Table1[[#This Row],[Amount]]*Table1[[#This Row],[Discount_Percent]])</f>
        <v>1911.6899999999998</v>
      </c>
      <c r="X352" s="4">
        <f>IF(O352="DEL0", Table1[[#This Row],[Discounted_Amount]],Table1[[#This Row],[Discounted_Amount]]+Table1[[#This Row],[Delivery_Charge]])</f>
        <v>1948.6899999999998</v>
      </c>
      <c r="Y352" s="4" t="str">
        <f>Table1[[#This Row],[First_Name]]&amp;" "&amp;Table1[[#This Row],[Last_Name]]</f>
        <v>Christian Clayton</v>
      </c>
      <c r="Z352" s="4" t="str">
        <f>IF(T:T&gt;Table1[[#This Row],[Estimated_Days_to_Deliver]],"Late",IF(T:T=Table1[[#This Row],[Estimated_Days_to_Deliver]],"Intime","BeforeTime"))</f>
        <v>Late</v>
      </c>
      <c r="AA352" s="4">
        <f>MONTH(Table1[[#This Row],[Order_Date]])</f>
        <v>4</v>
      </c>
      <c r="AB352" s="13">
        <f>Table1[[#This Row],[Amount]]*Table1[[#This Row],[Discount_Percent]]</f>
        <v>212.41</v>
      </c>
    </row>
    <row r="353" spans="1:28" ht="14.25" customHeight="1">
      <c r="A353" s="1" t="s">
        <v>674</v>
      </c>
      <c r="B353" s="1" t="s">
        <v>675</v>
      </c>
      <c r="C353" s="1" t="s">
        <v>676</v>
      </c>
      <c r="D353" s="1">
        <v>38</v>
      </c>
      <c r="E353" s="1" t="s">
        <v>43</v>
      </c>
      <c r="F353" s="1" t="s">
        <v>223</v>
      </c>
      <c r="G353" s="1" t="s">
        <v>677</v>
      </c>
      <c r="H353" s="1" t="s">
        <v>678</v>
      </c>
      <c r="I353" s="1" t="s">
        <v>1581</v>
      </c>
      <c r="J353" s="24">
        <v>45496</v>
      </c>
      <c r="K353" s="1" t="s">
        <v>1582</v>
      </c>
      <c r="L353" s="1" t="s">
        <v>656</v>
      </c>
      <c r="M353" s="1">
        <v>433.62</v>
      </c>
      <c r="N353" s="1">
        <v>3</v>
      </c>
      <c r="O353" s="1" t="s">
        <v>98</v>
      </c>
      <c r="P353" s="1">
        <v>5</v>
      </c>
      <c r="Q353" s="1">
        <v>39</v>
      </c>
      <c r="R353" s="24">
        <v>45499</v>
      </c>
      <c r="S353" s="1" t="s">
        <v>1583</v>
      </c>
      <c r="T353" s="4">
        <f>Table1[[#This Row],[Delivery_Date]]-Table1[[#This Row],[Order_Date]]</f>
        <v>3</v>
      </c>
      <c r="U353" s="4">
        <f>Table1[[#This Row],[Price]]*Table1[[#This Row],[Quantity]]</f>
        <v>1300.8600000000001</v>
      </c>
      <c r="V353" s="11">
        <f t="shared" si="5"/>
        <v>0.1</v>
      </c>
      <c r="W353" s="4">
        <f>Table1[[#This Row],[Amount]]-(Table1[[#This Row],[Amount]]*Table1[[#This Row],[Discount_Percent]])</f>
        <v>1170.7740000000001</v>
      </c>
      <c r="X353" s="4">
        <f>IF(O353="DEL0", Table1[[#This Row],[Discounted_Amount]],Table1[[#This Row],[Discounted_Amount]]+Table1[[#This Row],[Delivery_Charge]])</f>
        <v>1209.7740000000001</v>
      </c>
      <c r="Y353" s="4" t="str">
        <f>Table1[[#This Row],[First_Name]]&amp;" "&amp;Table1[[#This Row],[Last_Name]]</f>
        <v>Christy Chang</v>
      </c>
      <c r="Z353" s="4" t="str">
        <f>IF(T:T&gt;Table1[[#This Row],[Estimated_Days_to_Deliver]],"Late",IF(T:T=Table1[[#This Row],[Estimated_Days_to_Deliver]],"Intime","BeforeTime"))</f>
        <v>BeforeTime</v>
      </c>
      <c r="AA353" s="4">
        <f>MONTH(Table1[[#This Row],[Order_Date]])</f>
        <v>7</v>
      </c>
      <c r="AB353" s="13">
        <f>Table1[[#This Row],[Amount]]*Table1[[#This Row],[Discount_Percent]]</f>
        <v>130.08600000000001</v>
      </c>
    </row>
    <row r="354" spans="1:28" ht="14.25" customHeight="1">
      <c r="A354" s="1" t="s">
        <v>850</v>
      </c>
      <c r="B354" s="1" t="s">
        <v>851</v>
      </c>
      <c r="C354" s="1" t="s">
        <v>390</v>
      </c>
      <c r="D354" s="1">
        <v>37</v>
      </c>
      <c r="E354" s="1" t="s">
        <v>54</v>
      </c>
      <c r="F354" s="1" t="s">
        <v>223</v>
      </c>
      <c r="G354" s="1" t="s">
        <v>852</v>
      </c>
      <c r="H354" s="1" t="s">
        <v>853</v>
      </c>
      <c r="I354" s="1" t="s">
        <v>1584</v>
      </c>
      <c r="J354" s="24">
        <v>45187</v>
      </c>
      <c r="K354" s="1" t="s">
        <v>1585</v>
      </c>
      <c r="L354" s="1" t="s">
        <v>660</v>
      </c>
      <c r="M354" s="1">
        <v>235.63</v>
      </c>
      <c r="N354" s="1">
        <v>1</v>
      </c>
      <c r="O354" s="1" t="s">
        <v>87</v>
      </c>
      <c r="P354" s="1">
        <v>5</v>
      </c>
      <c r="Q354" s="1">
        <v>59</v>
      </c>
      <c r="R354" s="24">
        <v>45192</v>
      </c>
      <c r="S354" s="1" t="s">
        <v>1586</v>
      </c>
      <c r="T354" s="4">
        <f>Table1[[#This Row],[Delivery_Date]]-Table1[[#This Row],[Order_Date]]</f>
        <v>5</v>
      </c>
      <c r="U354" s="4">
        <f>Table1[[#This Row],[Price]]*Table1[[#This Row],[Quantity]]</f>
        <v>235.63</v>
      </c>
      <c r="V354" s="11">
        <f t="shared" si="5"/>
        <v>0.2</v>
      </c>
      <c r="W354" s="4">
        <f>Table1[[#This Row],[Amount]]-(Table1[[#This Row],[Amount]]*Table1[[#This Row],[Discount_Percent]])</f>
        <v>188.50399999999999</v>
      </c>
      <c r="X354" s="4">
        <f>IF(O354="DEL0", Table1[[#This Row],[Discounted_Amount]],Table1[[#This Row],[Discounted_Amount]]+Table1[[#This Row],[Delivery_Charge]])</f>
        <v>247.50399999999999</v>
      </c>
      <c r="Y354" s="4" t="str">
        <f>Table1[[#This Row],[First_Name]]&amp;" "&amp;Table1[[#This Row],[Last_Name]]</f>
        <v>Susan Thompson</v>
      </c>
      <c r="Z354" s="4" t="str">
        <f>IF(T:T&gt;Table1[[#This Row],[Estimated_Days_to_Deliver]],"Late",IF(T:T=Table1[[#This Row],[Estimated_Days_to_Deliver]],"Intime","BeforeTime"))</f>
        <v>Intime</v>
      </c>
      <c r="AA354" s="4">
        <f>MONTH(Table1[[#This Row],[Order_Date]])</f>
        <v>9</v>
      </c>
      <c r="AB354" s="13">
        <f>Table1[[#This Row],[Amount]]*Table1[[#This Row],[Discount_Percent]]</f>
        <v>47.126000000000005</v>
      </c>
    </row>
    <row r="355" spans="1:28" ht="14.25" customHeight="1">
      <c r="A355" s="1" t="s">
        <v>1345</v>
      </c>
      <c r="B355" s="1" t="s">
        <v>511</v>
      </c>
      <c r="C355" s="1" t="s">
        <v>1346</v>
      </c>
      <c r="D355" s="1">
        <v>40</v>
      </c>
      <c r="E355" s="1" t="s">
        <v>54</v>
      </c>
      <c r="F355" s="1" t="s">
        <v>223</v>
      </c>
      <c r="G355" s="1" t="s">
        <v>1347</v>
      </c>
      <c r="H355" s="1" t="s">
        <v>1348</v>
      </c>
      <c r="I355" s="1" t="s">
        <v>1587</v>
      </c>
      <c r="J355" s="24">
        <v>45190</v>
      </c>
      <c r="K355" s="1" t="s">
        <v>1588</v>
      </c>
      <c r="L355" s="1" t="s">
        <v>498</v>
      </c>
      <c r="M355" s="1">
        <v>421.7</v>
      </c>
      <c r="N355" s="1">
        <v>5</v>
      </c>
      <c r="O355" s="1" t="s">
        <v>60</v>
      </c>
      <c r="P355" s="1">
        <v>5</v>
      </c>
      <c r="Q355" s="1">
        <v>58</v>
      </c>
      <c r="R355" s="24">
        <v>45197</v>
      </c>
      <c r="S355" s="1" t="s">
        <v>1589</v>
      </c>
      <c r="T355" s="4">
        <f>Table1[[#This Row],[Delivery_Date]]-Table1[[#This Row],[Order_Date]]</f>
        <v>7</v>
      </c>
      <c r="U355" s="4">
        <f>Table1[[#This Row],[Price]]*Table1[[#This Row],[Quantity]]</f>
        <v>2108.5</v>
      </c>
      <c r="V355" s="11">
        <f t="shared" si="5"/>
        <v>0.15</v>
      </c>
      <c r="W355" s="4">
        <f>Table1[[#This Row],[Amount]]-(Table1[[#This Row],[Amount]]*Table1[[#This Row],[Discount_Percent]])</f>
        <v>1792.2249999999999</v>
      </c>
      <c r="X355" s="4">
        <f>IF(O355="DEL0", Table1[[#This Row],[Discounted_Amount]],Table1[[#This Row],[Discounted_Amount]]+Table1[[#This Row],[Delivery_Charge]])</f>
        <v>1850.2249999999999</v>
      </c>
      <c r="Y355" s="4" t="str">
        <f>Table1[[#This Row],[First_Name]]&amp;" "&amp;Table1[[#This Row],[Last_Name]]</f>
        <v>Sarah Benson</v>
      </c>
      <c r="Z355" s="4" t="str">
        <f>IF(T:T&gt;Table1[[#This Row],[Estimated_Days_to_Deliver]],"Late",IF(T:T=Table1[[#This Row],[Estimated_Days_to_Deliver]],"Intime","BeforeTime"))</f>
        <v>Late</v>
      </c>
      <c r="AA355" s="4">
        <f>MONTH(Table1[[#This Row],[Order_Date]])</f>
        <v>9</v>
      </c>
      <c r="AB355" s="13">
        <f>Table1[[#This Row],[Amount]]*Table1[[#This Row],[Discount_Percent]]</f>
        <v>316.27499999999998</v>
      </c>
    </row>
    <row r="356" spans="1:28" ht="14.25" customHeight="1">
      <c r="A356" s="1" t="s">
        <v>503</v>
      </c>
      <c r="B356" s="1" t="s">
        <v>504</v>
      </c>
      <c r="C356" s="1" t="s">
        <v>390</v>
      </c>
      <c r="D356" s="1">
        <v>57</v>
      </c>
      <c r="E356" s="1" t="s">
        <v>43</v>
      </c>
      <c r="F356" s="1" t="s">
        <v>223</v>
      </c>
      <c r="G356" s="1" t="s">
        <v>505</v>
      </c>
      <c r="H356" s="1" t="s">
        <v>506</v>
      </c>
      <c r="I356" s="1" t="s">
        <v>1590</v>
      </c>
      <c r="J356" s="24">
        <v>45479</v>
      </c>
      <c r="K356" s="1" t="s">
        <v>1591</v>
      </c>
      <c r="L356" s="1" t="s">
        <v>343</v>
      </c>
      <c r="M356" s="1">
        <v>77.84</v>
      </c>
      <c r="N356" s="1">
        <v>4</v>
      </c>
      <c r="O356" s="1" t="s">
        <v>87</v>
      </c>
      <c r="P356" s="1">
        <v>5</v>
      </c>
      <c r="Q356" s="1">
        <v>59</v>
      </c>
      <c r="R356" s="24">
        <v>45485</v>
      </c>
      <c r="S356" s="1" t="s">
        <v>1592</v>
      </c>
      <c r="T356" s="4">
        <f>Table1[[#This Row],[Delivery_Date]]-Table1[[#This Row],[Order_Date]]</f>
        <v>6</v>
      </c>
      <c r="U356" s="4">
        <f>Table1[[#This Row],[Price]]*Table1[[#This Row],[Quantity]]</f>
        <v>311.36</v>
      </c>
      <c r="V356" s="11">
        <f t="shared" si="5"/>
        <v>0.2</v>
      </c>
      <c r="W356" s="4">
        <f>Table1[[#This Row],[Amount]]-(Table1[[#This Row],[Amount]]*Table1[[#This Row],[Discount_Percent]])</f>
        <v>249.08800000000002</v>
      </c>
      <c r="X356" s="4">
        <f>IF(O356="DEL0", Table1[[#This Row],[Discounted_Amount]],Table1[[#This Row],[Discounted_Amount]]+Table1[[#This Row],[Delivery_Charge]])</f>
        <v>308.08800000000002</v>
      </c>
      <c r="Y356" s="4" t="str">
        <f>Table1[[#This Row],[First_Name]]&amp;" "&amp;Table1[[#This Row],[Last_Name]]</f>
        <v>Sharon Thompson</v>
      </c>
      <c r="Z356" s="4" t="str">
        <f>IF(T:T&gt;Table1[[#This Row],[Estimated_Days_to_Deliver]],"Late",IF(T:T=Table1[[#This Row],[Estimated_Days_to_Deliver]],"Intime","BeforeTime"))</f>
        <v>Late</v>
      </c>
      <c r="AA356" s="4">
        <f>MONTH(Table1[[#This Row],[Order_Date]])</f>
        <v>7</v>
      </c>
      <c r="AB356" s="13">
        <f>Table1[[#This Row],[Amount]]*Table1[[#This Row],[Discount_Percent]]</f>
        <v>62.272000000000006</v>
      </c>
    </row>
    <row r="357" spans="1:28" ht="14.25" customHeight="1">
      <c r="A357" s="1" t="s">
        <v>1241</v>
      </c>
      <c r="B357" s="1" t="s">
        <v>1242</v>
      </c>
      <c r="C357" s="1" t="s">
        <v>1243</v>
      </c>
      <c r="D357" s="1">
        <v>55</v>
      </c>
      <c r="E357" s="1" t="s">
        <v>43</v>
      </c>
      <c r="F357" s="1" t="s">
        <v>161</v>
      </c>
      <c r="G357" s="1" t="s">
        <v>1244</v>
      </c>
      <c r="H357" s="1" t="s">
        <v>1245</v>
      </c>
      <c r="I357" s="1" t="s">
        <v>1593</v>
      </c>
      <c r="J357" s="24">
        <v>44982</v>
      </c>
      <c r="K357" s="1" t="s">
        <v>1594</v>
      </c>
      <c r="L357" s="1" t="s">
        <v>484</v>
      </c>
      <c r="M357" s="1">
        <v>87.09</v>
      </c>
      <c r="N357" s="1">
        <v>2</v>
      </c>
      <c r="O357" s="1" t="s">
        <v>60</v>
      </c>
      <c r="P357" s="1">
        <v>5</v>
      </c>
      <c r="Q357" s="1">
        <v>62</v>
      </c>
      <c r="R357" s="24">
        <v>44987</v>
      </c>
      <c r="S357" s="1" t="s">
        <v>1595</v>
      </c>
      <c r="T357" s="4">
        <f>Table1[[#This Row],[Delivery_Date]]-Table1[[#This Row],[Order_Date]]</f>
        <v>5</v>
      </c>
      <c r="U357" s="4">
        <f>Table1[[#This Row],[Price]]*Table1[[#This Row],[Quantity]]</f>
        <v>174.18</v>
      </c>
      <c r="V357" s="11">
        <f t="shared" si="5"/>
        <v>0.15</v>
      </c>
      <c r="W357" s="4">
        <f>Table1[[#This Row],[Amount]]-(Table1[[#This Row],[Amount]]*Table1[[#This Row],[Discount_Percent]])</f>
        <v>148.053</v>
      </c>
      <c r="X357" s="4">
        <f>IF(O357="DEL0", Table1[[#This Row],[Discounted_Amount]],Table1[[#This Row],[Discounted_Amount]]+Table1[[#This Row],[Delivery_Charge]])</f>
        <v>210.053</v>
      </c>
      <c r="Y357" s="4" t="str">
        <f>Table1[[#This Row],[First_Name]]&amp;" "&amp;Table1[[#This Row],[Last_Name]]</f>
        <v>Hannah Gutierrez</v>
      </c>
      <c r="Z357" s="4" t="str">
        <f>IF(T:T&gt;Table1[[#This Row],[Estimated_Days_to_Deliver]],"Late",IF(T:T=Table1[[#This Row],[Estimated_Days_to_Deliver]],"Intime","BeforeTime"))</f>
        <v>Intime</v>
      </c>
      <c r="AA357" s="4">
        <f>MONTH(Table1[[#This Row],[Order_Date]])</f>
        <v>2</v>
      </c>
      <c r="AB357" s="13">
        <f>Table1[[#This Row],[Amount]]*Table1[[#This Row],[Discount_Percent]]</f>
        <v>26.126999999999999</v>
      </c>
    </row>
    <row r="358" spans="1:28" ht="14.25" customHeight="1">
      <c r="A358" s="1" t="s">
        <v>1321</v>
      </c>
      <c r="B358" s="1" t="s">
        <v>1322</v>
      </c>
      <c r="C358" s="1" t="s">
        <v>1323</v>
      </c>
      <c r="D358" s="1">
        <v>43</v>
      </c>
      <c r="E358" s="1" t="s">
        <v>31</v>
      </c>
      <c r="F358" s="1" t="s">
        <v>142</v>
      </c>
      <c r="G358" s="1" t="s">
        <v>1324</v>
      </c>
      <c r="H358" s="1" t="s">
        <v>1325</v>
      </c>
      <c r="I358" s="1" t="s">
        <v>1596</v>
      </c>
      <c r="J358" s="24">
        <v>45397</v>
      </c>
      <c r="K358" s="1" t="s">
        <v>1597</v>
      </c>
      <c r="L358" s="1" t="s">
        <v>185</v>
      </c>
      <c r="M358" s="1">
        <v>104.18</v>
      </c>
      <c r="N358" s="1">
        <v>3</v>
      </c>
      <c r="O358" s="1" t="s">
        <v>98</v>
      </c>
      <c r="P358" s="1">
        <v>5</v>
      </c>
      <c r="Q358" s="1">
        <v>60</v>
      </c>
      <c r="R358" s="24">
        <v>45398</v>
      </c>
      <c r="S358" s="1" t="s">
        <v>1598</v>
      </c>
      <c r="T358" s="4">
        <f>Table1[[#This Row],[Delivery_Date]]-Table1[[#This Row],[Order_Date]]</f>
        <v>1</v>
      </c>
      <c r="U358" s="4">
        <f>Table1[[#This Row],[Price]]*Table1[[#This Row],[Quantity]]</f>
        <v>312.54000000000002</v>
      </c>
      <c r="V358" s="11">
        <f t="shared" si="5"/>
        <v>0.1</v>
      </c>
      <c r="W358" s="4">
        <f>Table1[[#This Row],[Amount]]-(Table1[[#This Row],[Amount]]*Table1[[#This Row],[Discount_Percent]])</f>
        <v>281.286</v>
      </c>
      <c r="X358" s="4">
        <f>IF(O358="DEL0", Table1[[#This Row],[Discounted_Amount]],Table1[[#This Row],[Discounted_Amount]]+Table1[[#This Row],[Delivery_Charge]])</f>
        <v>341.286</v>
      </c>
      <c r="Y358" s="4" t="str">
        <f>Table1[[#This Row],[First_Name]]&amp;" "&amp;Table1[[#This Row],[Last_Name]]</f>
        <v>Jared Horn</v>
      </c>
      <c r="Z358" s="4" t="str">
        <f>IF(T:T&gt;Table1[[#This Row],[Estimated_Days_to_Deliver]],"Late",IF(T:T=Table1[[#This Row],[Estimated_Days_to_Deliver]],"Intime","BeforeTime"))</f>
        <v>BeforeTime</v>
      </c>
      <c r="AA358" s="4">
        <f>MONTH(Table1[[#This Row],[Order_Date]])</f>
        <v>4</v>
      </c>
      <c r="AB358" s="13">
        <f>Table1[[#This Row],[Amount]]*Table1[[#This Row],[Discount_Percent]]</f>
        <v>31.254000000000005</v>
      </c>
    </row>
    <row r="359" spans="1:28" ht="14.25" customHeight="1">
      <c r="A359" s="1" t="s">
        <v>826</v>
      </c>
      <c r="B359" s="1" t="s">
        <v>827</v>
      </c>
      <c r="C359" s="1" t="s">
        <v>828</v>
      </c>
      <c r="D359" s="1">
        <v>42</v>
      </c>
      <c r="E359" s="1" t="s">
        <v>31</v>
      </c>
      <c r="F359" s="1" t="s">
        <v>78</v>
      </c>
      <c r="G359" s="1" t="s">
        <v>829</v>
      </c>
      <c r="H359" s="1" t="s">
        <v>830</v>
      </c>
      <c r="I359" s="1" t="s">
        <v>1599</v>
      </c>
      <c r="J359" s="24">
        <v>45474</v>
      </c>
      <c r="K359" s="1" t="s">
        <v>1600</v>
      </c>
      <c r="L359" s="1" t="s">
        <v>944</v>
      </c>
      <c r="M359" s="1">
        <v>107.47</v>
      </c>
      <c r="N359" s="1">
        <v>3</v>
      </c>
      <c r="O359" s="1" t="s">
        <v>65</v>
      </c>
      <c r="P359" s="1">
        <v>5</v>
      </c>
      <c r="Q359" s="1">
        <v>63</v>
      </c>
      <c r="R359" s="24">
        <v>45481</v>
      </c>
      <c r="S359" s="1" t="s">
        <v>1601</v>
      </c>
      <c r="T359" s="4">
        <f>Table1[[#This Row],[Delivery_Date]]-Table1[[#This Row],[Order_Date]]</f>
        <v>7</v>
      </c>
      <c r="U359" s="4">
        <f>Table1[[#This Row],[Price]]*Table1[[#This Row],[Quantity]]</f>
        <v>322.40999999999997</v>
      </c>
      <c r="V359" s="11">
        <f t="shared" si="5"/>
        <v>0</v>
      </c>
      <c r="W359" s="4">
        <f>Table1[[#This Row],[Amount]]-(Table1[[#This Row],[Amount]]*Table1[[#This Row],[Discount_Percent]])</f>
        <v>322.40999999999997</v>
      </c>
      <c r="X359" s="4">
        <f>IF(O359="DEL0", Table1[[#This Row],[Discounted_Amount]],Table1[[#This Row],[Discounted_Amount]]+Table1[[#This Row],[Delivery_Charge]])</f>
        <v>322.40999999999997</v>
      </c>
      <c r="Y359" s="4" t="str">
        <f>Table1[[#This Row],[First_Name]]&amp;" "&amp;Table1[[#This Row],[Last_Name]]</f>
        <v>Edward Black</v>
      </c>
      <c r="Z359" s="4" t="str">
        <f>IF(T:T&gt;Table1[[#This Row],[Estimated_Days_to_Deliver]],"Late",IF(T:T=Table1[[#This Row],[Estimated_Days_to_Deliver]],"Intime","BeforeTime"))</f>
        <v>Late</v>
      </c>
      <c r="AA359" s="4">
        <f>MONTH(Table1[[#This Row],[Order_Date]])</f>
        <v>7</v>
      </c>
      <c r="AB359" s="13">
        <f>Table1[[#This Row],[Amount]]*Table1[[#This Row],[Discount_Percent]]</f>
        <v>0</v>
      </c>
    </row>
    <row r="360" spans="1:28" ht="14.25" customHeight="1">
      <c r="A360" s="1" t="s">
        <v>1082</v>
      </c>
      <c r="B360" s="1" t="s">
        <v>221</v>
      </c>
      <c r="C360" s="1" t="s">
        <v>1083</v>
      </c>
      <c r="D360" s="1">
        <v>55</v>
      </c>
      <c r="E360" s="1" t="s">
        <v>43</v>
      </c>
      <c r="F360" s="1" t="s">
        <v>161</v>
      </c>
      <c r="G360" s="1" t="s">
        <v>1084</v>
      </c>
      <c r="H360" s="1" t="s">
        <v>1085</v>
      </c>
      <c r="I360" s="1" t="s">
        <v>1602</v>
      </c>
      <c r="J360" s="24">
        <v>45045</v>
      </c>
      <c r="K360" s="1" t="s">
        <v>1603</v>
      </c>
      <c r="L360" s="1" t="s">
        <v>116</v>
      </c>
      <c r="M360" s="1">
        <v>48.45</v>
      </c>
      <c r="N360" s="1">
        <v>3</v>
      </c>
      <c r="O360" s="1" t="s">
        <v>65</v>
      </c>
      <c r="P360" s="1">
        <v>5</v>
      </c>
      <c r="Q360" s="1">
        <v>58</v>
      </c>
      <c r="R360" s="24">
        <v>45046</v>
      </c>
      <c r="S360" s="1" t="s">
        <v>1604</v>
      </c>
      <c r="T360" s="4">
        <f>Table1[[#This Row],[Delivery_Date]]-Table1[[#This Row],[Order_Date]]</f>
        <v>1</v>
      </c>
      <c r="U360" s="4">
        <f>Table1[[#This Row],[Price]]*Table1[[#This Row],[Quantity]]</f>
        <v>145.35000000000002</v>
      </c>
      <c r="V360" s="11">
        <f t="shared" si="5"/>
        <v>0</v>
      </c>
      <c r="W360" s="4">
        <f>Table1[[#This Row],[Amount]]-(Table1[[#This Row],[Amount]]*Table1[[#This Row],[Discount_Percent]])</f>
        <v>145.35000000000002</v>
      </c>
      <c r="X360" s="4">
        <f>IF(O360="DEL0", Table1[[#This Row],[Discounted_Amount]],Table1[[#This Row],[Discounted_Amount]]+Table1[[#This Row],[Delivery_Charge]])</f>
        <v>145.35000000000002</v>
      </c>
      <c r="Y360" s="4" t="str">
        <f>Table1[[#This Row],[First_Name]]&amp;" "&amp;Table1[[#This Row],[Last_Name]]</f>
        <v>Mark Summers</v>
      </c>
      <c r="Z360" s="4" t="str">
        <f>IF(T:T&gt;Table1[[#This Row],[Estimated_Days_to_Deliver]],"Late",IF(T:T=Table1[[#This Row],[Estimated_Days_to_Deliver]],"Intime","BeforeTime"))</f>
        <v>BeforeTime</v>
      </c>
      <c r="AA360" s="4">
        <f>MONTH(Table1[[#This Row],[Order_Date]])</f>
        <v>4</v>
      </c>
      <c r="AB360" s="13">
        <f>Table1[[#This Row],[Amount]]*Table1[[#This Row],[Discount_Percent]]</f>
        <v>0</v>
      </c>
    </row>
    <row r="361" spans="1:28" ht="14.25" customHeight="1">
      <c r="A361" s="1" t="s">
        <v>438</v>
      </c>
      <c r="B361" s="1" t="s">
        <v>439</v>
      </c>
      <c r="C361" s="1" t="s">
        <v>440</v>
      </c>
      <c r="D361" s="1">
        <v>28</v>
      </c>
      <c r="E361" s="1" t="s">
        <v>54</v>
      </c>
      <c r="F361" s="1" t="s">
        <v>78</v>
      </c>
      <c r="G361" s="1" t="s">
        <v>441</v>
      </c>
      <c r="H361" s="1" t="s">
        <v>442</v>
      </c>
      <c r="I361" s="1" t="s">
        <v>1605</v>
      </c>
      <c r="J361" s="24">
        <v>45600</v>
      </c>
      <c r="K361" s="1" t="s">
        <v>1606</v>
      </c>
      <c r="L361" s="1" t="s">
        <v>128</v>
      </c>
      <c r="M361" s="1">
        <v>257.06</v>
      </c>
      <c r="N361" s="1">
        <v>4</v>
      </c>
      <c r="O361" s="1" t="s">
        <v>98</v>
      </c>
      <c r="P361" s="1">
        <v>5</v>
      </c>
      <c r="Q361" s="1">
        <v>69</v>
      </c>
      <c r="R361" s="24">
        <v>45603</v>
      </c>
      <c r="S361" s="1" t="s">
        <v>1607</v>
      </c>
      <c r="T361" s="4">
        <f>Table1[[#This Row],[Delivery_Date]]-Table1[[#This Row],[Order_Date]]</f>
        <v>3</v>
      </c>
      <c r="U361" s="4">
        <f>Table1[[#This Row],[Price]]*Table1[[#This Row],[Quantity]]</f>
        <v>1028.24</v>
      </c>
      <c r="V361" s="11">
        <f t="shared" si="5"/>
        <v>0.1</v>
      </c>
      <c r="W361" s="4">
        <f>Table1[[#This Row],[Amount]]-(Table1[[#This Row],[Amount]]*Table1[[#This Row],[Discount_Percent]])</f>
        <v>925.41599999999994</v>
      </c>
      <c r="X361" s="4">
        <f>IF(O361="DEL0", Table1[[#This Row],[Discounted_Amount]],Table1[[#This Row],[Discounted_Amount]]+Table1[[#This Row],[Delivery_Charge]])</f>
        <v>994.41599999999994</v>
      </c>
      <c r="Y361" s="4" t="str">
        <f>Table1[[#This Row],[First_Name]]&amp;" "&amp;Table1[[#This Row],[Last_Name]]</f>
        <v>Mary Knight</v>
      </c>
      <c r="Z361" s="4" t="str">
        <f>IF(T:T&gt;Table1[[#This Row],[Estimated_Days_to_Deliver]],"Late",IF(T:T=Table1[[#This Row],[Estimated_Days_to_Deliver]],"Intime","BeforeTime"))</f>
        <v>BeforeTime</v>
      </c>
      <c r="AA361" s="4">
        <f>MONTH(Table1[[#This Row],[Order_Date]])</f>
        <v>11</v>
      </c>
      <c r="AB361" s="13">
        <f>Table1[[#This Row],[Amount]]*Table1[[#This Row],[Discount_Percent]]</f>
        <v>102.82400000000001</v>
      </c>
    </row>
    <row r="362" spans="1:28" ht="14.25" customHeight="1">
      <c r="A362" s="1" t="s">
        <v>549</v>
      </c>
      <c r="B362" s="1" t="s">
        <v>550</v>
      </c>
      <c r="C362" s="1" t="s">
        <v>551</v>
      </c>
      <c r="D362" s="1">
        <v>33</v>
      </c>
      <c r="E362" s="1" t="s">
        <v>54</v>
      </c>
      <c r="F362" s="1" t="s">
        <v>170</v>
      </c>
      <c r="G362" s="1" t="s">
        <v>552</v>
      </c>
      <c r="H362" s="1" t="s">
        <v>553</v>
      </c>
      <c r="I362" s="1" t="s">
        <v>1608</v>
      </c>
      <c r="J362" s="24">
        <v>45553</v>
      </c>
      <c r="K362" s="1" t="s">
        <v>1609</v>
      </c>
      <c r="L362" s="1" t="s">
        <v>593</v>
      </c>
      <c r="M362" s="1">
        <v>403.03</v>
      </c>
      <c r="N362" s="1">
        <v>4</v>
      </c>
      <c r="O362" s="1" t="s">
        <v>98</v>
      </c>
      <c r="P362" s="1">
        <v>5</v>
      </c>
      <c r="Q362" s="1">
        <v>65</v>
      </c>
      <c r="R362" s="24">
        <v>45556</v>
      </c>
      <c r="S362" s="1" t="s">
        <v>1610</v>
      </c>
      <c r="T362" s="4">
        <f>Table1[[#This Row],[Delivery_Date]]-Table1[[#This Row],[Order_Date]]</f>
        <v>3</v>
      </c>
      <c r="U362" s="4">
        <f>Table1[[#This Row],[Price]]*Table1[[#This Row],[Quantity]]</f>
        <v>1612.12</v>
      </c>
      <c r="V362" s="11">
        <f t="shared" si="5"/>
        <v>0.1</v>
      </c>
      <c r="W362" s="4">
        <f>Table1[[#This Row],[Amount]]-(Table1[[#This Row],[Amount]]*Table1[[#This Row],[Discount_Percent]])</f>
        <v>1450.9079999999999</v>
      </c>
      <c r="X362" s="4">
        <f>IF(O362="DEL0", Table1[[#This Row],[Discounted_Amount]],Table1[[#This Row],[Discounted_Amount]]+Table1[[#This Row],[Delivery_Charge]])</f>
        <v>1515.9079999999999</v>
      </c>
      <c r="Y362" s="4" t="str">
        <f>Table1[[#This Row],[First_Name]]&amp;" "&amp;Table1[[#This Row],[Last_Name]]</f>
        <v>Jodi Whitney</v>
      </c>
      <c r="Z362" s="4" t="str">
        <f>IF(T:T&gt;Table1[[#This Row],[Estimated_Days_to_Deliver]],"Late",IF(T:T=Table1[[#This Row],[Estimated_Days_to_Deliver]],"Intime","BeforeTime"))</f>
        <v>BeforeTime</v>
      </c>
      <c r="AA362" s="4">
        <f>MONTH(Table1[[#This Row],[Order_Date]])</f>
        <v>9</v>
      </c>
      <c r="AB362" s="13">
        <f>Table1[[#This Row],[Amount]]*Table1[[#This Row],[Discount_Percent]]</f>
        <v>161.21199999999999</v>
      </c>
    </row>
    <row r="363" spans="1:28" ht="14.25" customHeight="1">
      <c r="A363" s="1" t="s">
        <v>674</v>
      </c>
      <c r="B363" s="1" t="s">
        <v>675</v>
      </c>
      <c r="C363" s="1" t="s">
        <v>676</v>
      </c>
      <c r="D363" s="1">
        <v>38</v>
      </c>
      <c r="E363" s="1" t="s">
        <v>43</v>
      </c>
      <c r="F363" s="1" t="s">
        <v>223</v>
      </c>
      <c r="G363" s="1" t="s">
        <v>677</v>
      </c>
      <c r="H363" s="1" t="s">
        <v>678</v>
      </c>
      <c r="I363" s="1" t="s">
        <v>1611</v>
      </c>
      <c r="J363" s="24">
        <v>45059</v>
      </c>
      <c r="K363" s="1" t="s">
        <v>1612</v>
      </c>
      <c r="L363" s="1" t="s">
        <v>116</v>
      </c>
      <c r="M363" s="1">
        <v>48.45</v>
      </c>
      <c r="N363" s="1">
        <v>1</v>
      </c>
      <c r="O363" s="1" t="s">
        <v>98</v>
      </c>
      <c r="P363" s="1">
        <v>5</v>
      </c>
      <c r="Q363" s="1">
        <v>41</v>
      </c>
      <c r="R363" s="24">
        <v>45062</v>
      </c>
      <c r="S363" s="1" t="s">
        <v>1613</v>
      </c>
      <c r="T363" s="4">
        <f>Table1[[#This Row],[Delivery_Date]]-Table1[[#This Row],[Order_Date]]</f>
        <v>3</v>
      </c>
      <c r="U363" s="4">
        <f>Table1[[#This Row],[Price]]*Table1[[#This Row],[Quantity]]</f>
        <v>48.45</v>
      </c>
      <c r="V363" s="11">
        <f t="shared" si="5"/>
        <v>0.1</v>
      </c>
      <c r="W363" s="4">
        <f>Table1[[#This Row],[Amount]]-(Table1[[#This Row],[Amount]]*Table1[[#This Row],[Discount_Percent]])</f>
        <v>43.605000000000004</v>
      </c>
      <c r="X363" s="4">
        <f>IF(O363="DEL0", Table1[[#This Row],[Discounted_Amount]],Table1[[#This Row],[Discounted_Amount]]+Table1[[#This Row],[Delivery_Charge]])</f>
        <v>84.605000000000004</v>
      </c>
      <c r="Y363" s="4" t="str">
        <f>Table1[[#This Row],[First_Name]]&amp;" "&amp;Table1[[#This Row],[Last_Name]]</f>
        <v>Christy Chang</v>
      </c>
      <c r="Z363" s="4" t="str">
        <f>IF(T:T&gt;Table1[[#This Row],[Estimated_Days_to_Deliver]],"Late",IF(T:T=Table1[[#This Row],[Estimated_Days_to_Deliver]],"Intime","BeforeTime"))</f>
        <v>BeforeTime</v>
      </c>
      <c r="AA363" s="4">
        <f>MONTH(Table1[[#This Row],[Order_Date]])</f>
        <v>5</v>
      </c>
      <c r="AB363" s="13">
        <f>Table1[[#This Row],[Amount]]*Table1[[#This Row],[Discount_Percent]]</f>
        <v>4.8450000000000006</v>
      </c>
    </row>
    <row r="364" spans="1:28" ht="14.25" customHeight="1">
      <c r="A364" s="1" t="s">
        <v>682</v>
      </c>
      <c r="B364" s="1" t="s">
        <v>683</v>
      </c>
      <c r="C364" s="1" t="s">
        <v>684</v>
      </c>
      <c r="D364" s="1">
        <v>68</v>
      </c>
      <c r="E364" s="1" t="s">
        <v>31</v>
      </c>
      <c r="F364" s="1" t="s">
        <v>223</v>
      </c>
      <c r="G364" s="1" t="s">
        <v>685</v>
      </c>
      <c r="H364" s="1" t="s">
        <v>686</v>
      </c>
      <c r="I364" s="1" t="s">
        <v>1614</v>
      </c>
      <c r="J364" s="24">
        <v>45007</v>
      </c>
      <c r="K364" s="1" t="s">
        <v>1615</v>
      </c>
      <c r="L364" s="1" t="s">
        <v>421</v>
      </c>
      <c r="M364" s="1">
        <v>44.5</v>
      </c>
      <c r="N364" s="1">
        <v>5</v>
      </c>
      <c r="O364" s="1" t="s">
        <v>98</v>
      </c>
      <c r="P364" s="1">
        <v>5</v>
      </c>
      <c r="Q364" s="1">
        <v>55</v>
      </c>
      <c r="R364" s="24">
        <v>45012</v>
      </c>
      <c r="S364" s="1" t="s">
        <v>1616</v>
      </c>
      <c r="T364" s="4">
        <f>Table1[[#This Row],[Delivery_Date]]-Table1[[#This Row],[Order_Date]]</f>
        <v>5</v>
      </c>
      <c r="U364" s="4">
        <f>Table1[[#This Row],[Price]]*Table1[[#This Row],[Quantity]]</f>
        <v>222.5</v>
      </c>
      <c r="V364" s="11">
        <f t="shared" si="5"/>
        <v>0.1</v>
      </c>
      <c r="W364" s="4">
        <f>Table1[[#This Row],[Amount]]-(Table1[[#This Row],[Amount]]*Table1[[#This Row],[Discount_Percent]])</f>
        <v>200.25</v>
      </c>
      <c r="X364" s="4">
        <f>IF(O364="DEL0", Table1[[#This Row],[Discounted_Amount]],Table1[[#This Row],[Discounted_Amount]]+Table1[[#This Row],[Delivery_Charge]])</f>
        <v>255.25</v>
      </c>
      <c r="Y364" s="4" t="str">
        <f>Table1[[#This Row],[First_Name]]&amp;" "&amp;Table1[[#This Row],[Last_Name]]</f>
        <v>Troy Gomez</v>
      </c>
      <c r="Z364" s="4" t="str">
        <f>IF(T:T&gt;Table1[[#This Row],[Estimated_Days_to_Deliver]],"Late",IF(T:T=Table1[[#This Row],[Estimated_Days_to_Deliver]],"Intime","BeforeTime"))</f>
        <v>Intime</v>
      </c>
      <c r="AA364" s="4">
        <f>MONTH(Table1[[#This Row],[Order_Date]])</f>
        <v>3</v>
      </c>
      <c r="AB364" s="13">
        <f>Table1[[#This Row],[Amount]]*Table1[[#This Row],[Discount_Percent]]</f>
        <v>22.25</v>
      </c>
    </row>
    <row r="365" spans="1:28" ht="14.25" customHeight="1">
      <c r="A365" s="1" t="s">
        <v>1617</v>
      </c>
      <c r="B365" s="1" t="s">
        <v>276</v>
      </c>
      <c r="C365" s="1" t="s">
        <v>1618</v>
      </c>
      <c r="D365" s="1">
        <v>62</v>
      </c>
      <c r="E365" s="1" t="s">
        <v>43</v>
      </c>
      <c r="F365" s="1" t="s">
        <v>44</v>
      </c>
      <c r="G365" s="1" t="s">
        <v>1619</v>
      </c>
      <c r="H365" s="1" t="s">
        <v>1620</v>
      </c>
      <c r="I365" s="1" t="s">
        <v>1621</v>
      </c>
      <c r="J365" s="24">
        <v>45678</v>
      </c>
      <c r="K365" s="1" t="s">
        <v>1622</v>
      </c>
      <c r="L365" s="1" t="s">
        <v>253</v>
      </c>
      <c r="M365" s="1">
        <v>128.13999999999999</v>
      </c>
      <c r="N365" s="1">
        <v>5</v>
      </c>
      <c r="O365" s="1" t="s">
        <v>87</v>
      </c>
      <c r="P365" s="1">
        <v>5</v>
      </c>
      <c r="Q365" s="1">
        <v>68</v>
      </c>
      <c r="R365" s="24">
        <v>45685</v>
      </c>
      <c r="S365" s="1" t="s">
        <v>1623</v>
      </c>
      <c r="T365" s="4">
        <f>Table1[[#This Row],[Delivery_Date]]-Table1[[#This Row],[Order_Date]]</f>
        <v>7</v>
      </c>
      <c r="U365" s="4">
        <f>Table1[[#This Row],[Price]]*Table1[[#This Row],[Quantity]]</f>
        <v>640.69999999999993</v>
      </c>
      <c r="V365" s="11">
        <f t="shared" si="5"/>
        <v>0.2</v>
      </c>
      <c r="W365" s="4">
        <f>Table1[[#This Row],[Amount]]-(Table1[[#This Row],[Amount]]*Table1[[#This Row],[Discount_Percent]])</f>
        <v>512.55999999999995</v>
      </c>
      <c r="X365" s="4">
        <f>IF(O365="DEL0", Table1[[#This Row],[Discounted_Amount]],Table1[[#This Row],[Discounted_Amount]]+Table1[[#This Row],[Delivery_Charge]])</f>
        <v>580.55999999999995</v>
      </c>
      <c r="Y365" s="4" t="str">
        <f>Table1[[#This Row],[First_Name]]&amp;" "&amp;Table1[[#This Row],[Last_Name]]</f>
        <v>Lauren Crane</v>
      </c>
      <c r="Z365" s="4" t="str">
        <f>IF(T:T&gt;Table1[[#This Row],[Estimated_Days_to_Deliver]],"Late",IF(T:T=Table1[[#This Row],[Estimated_Days_to_Deliver]],"Intime","BeforeTime"))</f>
        <v>Late</v>
      </c>
      <c r="AA365" s="4">
        <f>MONTH(Table1[[#This Row],[Order_Date]])</f>
        <v>1</v>
      </c>
      <c r="AB365" s="13">
        <f>Table1[[#This Row],[Amount]]*Table1[[#This Row],[Discount_Percent]]</f>
        <v>128.13999999999999</v>
      </c>
    </row>
    <row r="366" spans="1:28" ht="14.25" customHeight="1">
      <c r="A366" s="1" t="s">
        <v>753</v>
      </c>
      <c r="B366" s="1" t="s">
        <v>754</v>
      </c>
      <c r="C366" s="1" t="s">
        <v>755</v>
      </c>
      <c r="D366" s="1">
        <v>43</v>
      </c>
      <c r="E366" s="1" t="s">
        <v>54</v>
      </c>
      <c r="F366" s="1" t="s">
        <v>161</v>
      </c>
      <c r="G366" s="1" t="s">
        <v>756</v>
      </c>
      <c r="H366" s="1" t="s">
        <v>757</v>
      </c>
      <c r="I366" s="1" t="s">
        <v>1624</v>
      </c>
      <c r="J366" s="24">
        <v>44978</v>
      </c>
      <c r="K366" s="1" t="s">
        <v>1625</v>
      </c>
      <c r="L366" s="1" t="s">
        <v>433</v>
      </c>
      <c r="M366" s="1">
        <v>369.03</v>
      </c>
      <c r="N366" s="1">
        <v>2</v>
      </c>
      <c r="O366" s="1" t="s">
        <v>98</v>
      </c>
      <c r="P366" s="1">
        <v>5</v>
      </c>
      <c r="Q366" s="1">
        <v>55</v>
      </c>
      <c r="R366" s="24">
        <v>44981</v>
      </c>
      <c r="S366" s="1" t="s">
        <v>1626</v>
      </c>
      <c r="T366" s="4">
        <f>Table1[[#This Row],[Delivery_Date]]-Table1[[#This Row],[Order_Date]]</f>
        <v>3</v>
      </c>
      <c r="U366" s="4">
        <f>Table1[[#This Row],[Price]]*Table1[[#This Row],[Quantity]]</f>
        <v>738.06</v>
      </c>
      <c r="V366" s="11">
        <f t="shared" si="5"/>
        <v>0.1</v>
      </c>
      <c r="W366" s="4">
        <f>Table1[[#This Row],[Amount]]-(Table1[[#This Row],[Amount]]*Table1[[#This Row],[Discount_Percent]])</f>
        <v>664.25399999999991</v>
      </c>
      <c r="X366" s="4">
        <f>IF(O366="DEL0", Table1[[#This Row],[Discounted_Amount]],Table1[[#This Row],[Discounted_Amount]]+Table1[[#This Row],[Delivery_Charge]])</f>
        <v>719.25399999999991</v>
      </c>
      <c r="Y366" s="4" t="str">
        <f>Table1[[#This Row],[First_Name]]&amp;" "&amp;Table1[[#This Row],[Last_Name]]</f>
        <v>Barbara Fuller</v>
      </c>
      <c r="Z366" s="4" t="str">
        <f>IF(T:T&gt;Table1[[#This Row],[Estimated_Days_to_Deliver]],"Late",IF(T:T=Table1[[#This Row],[Estimated_Days_to_Deliver]],"Intime","BeforeTime"))</f>
        <v>BeforeTime</v>
      </c>
      <c r="AA366" s="4">
        <f>MONTH(Table1[[#This Row],[Order_Date]])</f>
        <v>2</v>
      </c>
      <c r="AB366" s="13">
        <f>Table1[[#This Row],[Amount]]*Table1[[#This Row],[Discount_Percent]]</f>
        <v>73.805999999999997</v>
      </c>
    </row>
    <row r="367" spans="1:28" ht="14.25" customHeight="1">
      <c r="A367" s="1" t="s">
        <v>1241</v>
      </c>
      <c r="B367" s="1" t="s">
        <v>1242</v>
      </c>
      <c r="C367" s="1" t="s">
        <v>1243</v>
      </c>
      <c r="D367" s="1">
        <v>55</v>
      </c>
      <c r="E367" s="1" t="s">
        <v>43</v>
      </c>
      <c r="F367" s="1" t="s">
        <v>161</v>
      </c>
      <c r="G367" s="1" t="s">
        <v>1244</v>
      </c>
      <c r="H367" s="1" t="s">
        <v>1245</v>
      </c>
      <c r="I367" s="1" t="s">
        <v>1627</v>
      </c>
      <c r="J367" s="24">
        <v>45421</v>
      </c>
      <c r="K367" s="1" t="s">
        <v>1628</v>
      </c>
      <c r="L367" s="1" t="s">
        <v>128</v>
      </c>
      <c r="M367" s="1">
        <v>257.06</v>
      </c>
      <c r="N367" s="1">
        <v>1</v>
      </c>
      <c r="O367" s="1" t="s">
        <v>87</v>
      </c>
      <c r="P367" s="1">
        <v>5</v>
      </c>
      <c r="Q367" s="1">
        <v>42</v>
      </c>
      <c r="R367" s="24">
        <v>45423</v>
      </c>
      <c r="S367" s="1" t="s">
        <v>1629</v>
      </c>
      <c r="T367" s="4">
        <f>Table1[[#This Row],[Delivery_Date]]-Table1[[#This Row],[Order_Date]]</f>
        <v>2</v>
      </c>
      <c r="U367" s="4">
        <f>Table1[[#This Row],[Price]]*Table1[[#This Row],[Quantity]]</f>
        <v>257.06</v>
      </c>
      <c r="V367" s="11">
        <f t="shared" si="5"/>
        <v>0.2</v>
      </c>
      <c r="W367" s="4">
        <f>Table1[[#This Row],[Amount]]-(Table1[[#This Row],[Amount]]*Table1[[#This Row],[Discount_Percent]])</f>
        <v>205.648</v>
      </c>
      <c r="X367" s="4">
        <f>IF(O367="DEL0", Table1[[#This Row],[Discounted_Amount]],Table1[[#This Row],[Discounted_Amount]]+Table1[[#This Row],[Delivery_Charge]])</f>
        <v>247.648</v>
      </c>
      <c r="Y367" s="4" t="str">
        <f>Table1[[#This Row],[First_Name]]&amp;" "&amp;Table1[[#This Row],[Last_Name]]</f>
        <v>Hannah Gutierrez</v>
      </c>
      <c r="Z367" s="4" t="str">
        <f>IF(T:T&gt;Table1[[#This Row],[Estimated_Days_to_Deliver]],"Late",IF(T:T=Table1[[#This Row],[Estimated_Days_to_Deliver]],"Intime","BeforeTime"))</f>
        <v>BeforeTime</v>
      </c>
      <c r="AA367" s="4">
        <f>MONTH(Table1[[#This Row],[Order_Date]])</f>
        <v>5</v>
      </c>
      <c r="AB367" s="13">
        <f>Table1[[#This Row],[Amount]]*Table1[[#This Row],[Discount_Percent]]</f>
        <v>51.412000000000006</v>
      </c>
    </row>
    <row r="368" spans="1:28" ht="14.25" customHeight="1">
      <c r="A368" s="1" t="s">
        <v>204</v>
      </c>
      <c r="B368" s="1" t="s">
        <v>205</v>
      </c>
      <c r="C368" s="1" t="s">
        <v>206</v>
      </c>
      <c r="D368" s="1">
        <v>23</v>
      </c>
      <c r="E368" s="1" t="s">
        <v>31</v>
      </c>
      <c r="F368" s="1" t="s">
        <v>92</v>
      </c>
      <c r="G368" s="1" t="s">
        <v>207</v>
      </c>
      <c r="H368" s="1" t="s">
        <v>208</v>
      </c>
      <c r="I368" s="1" t="s">
        <v>1630</v>
      </c>
      <c r="J368" s="24">
        <v>45225</v>
      </c>
      <c r="K368" s="1" t="s">
        <v>1631</v>
      </c>
      <c r="L368" s="1" t="s">
        <v>874</v>
      </c>
      <c r="M368" s="1">
        <v>292.14999999999998</v>
      </c>
      <c r="N368" s="1">
        <v>3</v>
      </c>
      <c r="O368" s="1" t="s">
        <v>65</v>
      </c>
      <c r="P368" s="1">
        <v>5</v>
      </c>
      <c r="Q368" s="1">
        <v>51</v>
      </c>
      <c r="R368" s="24">
        <v>45227</v>
      </c>
      <c r="S368" s="1" t="s">
        <v>1632</v>
      </c>
      <c r="T368" s="4">
        <f>Table1[[#This Row],[Delivery_Date]]-Table1[[#This Row],[Order_Date]]</f>
        <v>2</v>
      </c>
      <c r="U368" s="4">
        <f>Table1[[#This Row],[Price]]*Table1[[#This Row],[Quantity]]</f>
        <v>876.44999999999993</v>
      </c>
      <c r="V368" s="11">
        <f t="shared" si="5"/>
        <v>0</v>
      </c>
      <c r="W368" s="4">
        <f>Table1[[#This Row],[Amount]]-(Table1[[#This Row],[Amount]]*Table1[[#This Row],[Discount_Percent]])</f>
        <v>876.44999999999993</v>
      </c>
      <c r="X368" s="4">
        <f>IF(O368="DEL0", Table1[[#This Row],[Discounted_Amount]],Table1[[#This Row],[Discounted_Amount]]+Table1[[#This Row],[Delivery_Charge]])</f>
        <v>876.44999999999993</v>
      </c>
      <c r="Y368" s="4" t="str">
        <f>Table1[[#This Row],[First_Name]]&amp;" "&amp;Table1[[#This Row],[Last_Name]]</f>
        <v>Deborah Bates</v>
      </c>
      <c r="Z368" s="4" t="str">
        <f>IF(T:T&gt;Table1[[#This Row],[Estimated_Days_to_Deliver]],"Late",IF(T:T=Table1[[#This Row],[Estimated_Days_to_Deliver]],"Intime","BeforeTime"))</f>
        <v>BeforeTime</v>
      </c>
      <c r="AA368" s="4">
        <f>MONTH(Table1[[#This Row],[Order_Date]])</f>
        <v>10</v>
      </c>
      <c r="AB368" s="13">
        <f>Table1[[#This Row],[Amount]]*Table1[[#This Row],[Discount_Percent]]</f>
        <v>0</v>
      </c>
    </row>
    <row r="369" spans="1:28" ht="14.25" customHeight="1">
      <c r="A369" s="1" t="s">
        <v>1249</v>
      </c>
      <c r="B369" s="1" t="s">
        <v>68</v>
      </c>
      <c r="C369" s="1" t="s">
        <v>1250</v>
      </c>
      <c r="D369" s="1">
        <v>40</v>
      </c>
      <c r="E369" s="1" t="s">
        <v>31</v>
      </c>
      <c r="F369" s="1" t="s">
        <v>78</v>
      </c>
      <c r="G369" s="1" t="s">
        <v>1251</v>
      </c>
      <c r="H369" s="1" t="s">
        <v>1252</v>
      </c>
      <c r="I369" s="1" t="s">
        <v>1633</v>
      </c>
      <c r="J369" s="24">
        <v>45193</v>
      </c>
      <c r="K369" s="1" t="s">
        <v>1634</v>
      </c>
      <c r="L369" s="1" t="s">
        <v>249</v>
      </c>
      <c r="M369" s="1">
        <v>282.63</v>
      </c>
      <c r="N369" s="1">
        <v>2</v>
      </c>
      <c r="O369" s="1" t="s">
        <v>60</v>
      </c>
      <c r="P369" s="1">
        <v>5</v>
      </c>
      <c r="Q369" s="1">
        <v>62</v>
      </c>
      <c r="R369" s="24">
        <v>45194</v>
      </c>
      <c r="S369" s="1" t="s">
        <v>1635</v>
      </c>
      <c r="T369" s="4">
        <f>Table1[[#This Row],[Delivery_Date]]-Table1[[#This Row],[Order_Date]]</f>
        <v>1</v>
      </c>
      <c r="U369" s="4">
        <f>Table1[[#This Row],[Price]]*Table1[[#This Row],[Quantity]]</f>
        <v>565.26</v>
      </c>
      <c r="V369" s="11">
        <f t="shared" si="5"/>
        <v>0.15</v>
      </c>
      <c r="W369" s="4">
        <f>Table1[[#This Row],[Amount]]-(Table1[[#This Row],[Amount]]*Table1[[#This Row],[Discount_Percent]])</f>
        <v>480.471</v>
      </c>
      <c r="X369" s="4">
        <f>IF(O369="DEL0", Table1[[#This Row],[Discounted_Amount]],Table1[[#This Row],[Discounted_Amount]]+Table1[[#This Row],[Delivery_Charge]])</f>
        <v>542.471</v>
      </c>
      <c r="Y369" s="4" t="str">
        <f>Table1[[#This Row],[First_Name]]&amp;" "&amp;Table1[[#This Row],[Last_Name]]</f>
        <v>Angela Casey</v>
      </c>
      <c r="Z369" s="4" t="str">
        <f>IF(T:T&gt;Table1[[#This Row],[Estimated_Days_to_Deliver]],"Late",IF(T:T=Table1[[#This Row],[Estimated_Days_to_Deliver]],"Intime","BeforeTime"))</f>
        <v>BeforeTime</v>
      </c>
      <c r="AA369" s="4">
        <f>MONTH(Table1[[#This Row],[Order_Date]])</f>
        <v>9</v>
      </c>
      <c r="AB369" s="13">
        <f>Table1[[#This Row],[Amount]]*Table1[[#This Row],[Discount_Percent]]</f>
        <v>84.789000000000001</v>
      </c>
    </row>
    <row r="370" spans="1:28" ht="14.25" customHeight="1">
      <c r="A370" s="1" t="s">
        <v>167</v>
      </c>
      <c r="B370" s="1" t="s">
        <v>168</v>
      </c>
      <c r="C370" s="1" t="s">
        <v>169</v>
      </c>
      <c r="D370" s="1">
        <v>46</v>
      </c>
      <c r="E370" s="1" t="s">
        <v>31</v>
      </c>
      <c r="F370" s="1" t="s">
        <v>170</v>
      </c>
      <c r="G370" s="1" t="s">
        <v>171</v>
      </c>
      <c r="H370" s="1" t="s">
        <v>172</v>
      </c>
      <c r="I370" s="1" t="s">
        <v>1636</v>
      </c>
      <c r="J370" s="24">
        <v>45473</v>
      </c>
      <c r="K370" s="1" t="s">
        <v>1637</v>
      </c>
      <c r="L370" s="1" t="s">
        <v>175</v>
      </c>
      <c r="M370" s="1">
        <v>272.51</v>
      </c>
      <c r="N370" s="1">
        <v>3</v>
      </c>
      <c r="O370" s="1" t="s">
        <v>38</v>
      </c>
      <c r="P370" s="1">
        <v>5</v>
      </c>
      <c r="Q370" s="1">
        <v>66</v>
      </c>
      <c r="R370" s="24">
        <v>45479</v>
      </c>
      <c r="S370" s="1" t="s">
        <v>1638</v>
      </c>
      <c r="T370" s="4">
        <f>Table1[[#This Row],[Delivery_Date]]-Table1[[#This Row],[Order_Date]]</f>
        <v>6</v>
      </c>
      <c r="U370" s="4">
        <f>Table1[[#This Row],[Price]]*Table1[[#This Row],[Quantity]]</f>
        <v>817.53</v>
      </c>
      <c r="V370" s="11">
        <f t="shared" si="5"/>
        <v>0.08</v>
      </c>
      <c r="W370" s="4">
        <f>Table1[[#This Row],[Amount]]-(Table1[[#This Row],[Amount]]*Table1[[#This Row],[Discount_Percent]])</f>
        <v>752.12760000000003</v>
      </c>
      <c r="X370" s="4">
        <f>IF(O370="DEL0", Table1[[#This Row],[Discounted_Amount]],Table1[[#This Row],[Discounted_Amount]]+Table1[[#This Row],[Delivery_Charge]])</f>
        <v>818.12760000000003</v>
      </c>
      <c r="Y370" s="4" t="str">
        <f>Table1[[#This Row],[First_Name]]&amp;" "&amp;Table1[[#This Row],[Last_Name]]</f>
        <v>Erin Miller</v>
      </c>
      <c r="Z370" s="4" t="str">
        <f>IF(T:T&gt;Table1[[#This Row],[Estimated_Days_to_Deliver]],"Late",IF(T:T=Table1[[#This Row],[Estimated_Days_to_Deliver]],"Intime","BeforeTime"))</f>
        <v>Late</v>
      </c>
      <c r="AA370" s="4">
        <f>MONTH(Table1[[#This Row],[Order_Date]])</f>
        <v>6</v>
      </c>
      <c r="AB370" s="13">
        <f>Table1[[#This Row],[Amount]]*Table1[[#This Row],[Discount_Percent]]</f>
        <v>65.4024</v>
      </c>
    </row>
    <row r="371" spans="1:28" ht="14.25" customHeight="1">
      <c r="A371" s="1" t="s">
        <v>423</v>
      </c>
      <c r="B371" s="1" t="s">
        <v>424</v>
      </c>
      <c r="C371" s="1" t="s">
        <v>425</v>
      </c>
      <c r="D371" s="1">
        <v>52</v>
      </c>
      <c r="E371" s="1" t="s">
        <v>54</v>
      </c>
      <c r="F371" s="1" t="s">
        <v>223</v>
      </c>
      <c r="G371" s="1" t="s">
        <v>426</v>
      </c>
      <c r="H371" s="1" t="s">
        <v>427</v>
      </c>
      <c r="I371" s="1" t="s">
        <v>1639</v>
      </c>
      <c r="J371" s="24">
        <v>44975</v>
      </c>
      <c r="K371" s="1" t="s">
        <v>1640</v>
      </c>
      <c r="L371" s="1" t="s">
        <v>83</v>
      </c>
      <c r="M371" s="1">
        <v>330.11</v>
      </c>
      <c r="N371" s="1">
        <v>2</v>
      </c>
      <c r="O371" s="1" t="s">
        <v>65</v>
      </c>
      <c r="P371" s="1">
        <v>5</v>
      </c>
      <c r="Q371" s="1">
        <v>55</v>
      </c>
      <c r="R371" s="24">
        <v>44976</v>
      </c>
      <c r="S371" s="1" t="s">
        <v>1641</v>
      </c>
      <c r="T371" s="4">
        <f>Table1[[#This Row],[Delivery_Date]]-Table1[[#This Row],[Order_Date]]</f>
        <v>1</v>
      </c>
      <c r="U371" s="4">
        <f>Table1[[#This Row],[Price]]*Table1[[#This Row],[Quantity]]</f>
        <v>660.22</v>
      </c>
      <c r="V371" s="11">
        <f t="shared" si="5"/>
        <v>0</v>
      </c>
      <c r="W371" s="4">
        <f>Table1[[#This Row],[Amount]]-(Table1[[#This Row],[Amount]]*Table1[[#This Row],[Discount_Percent]])</f>
        <v>660.22</v>
      </c>
      <c r="X371" s="4">
        <f>IF(O371="DEL0", Table1[[#This Row],[Discounted_Amount]],Table1[[#This Row],[Discounted_Amount]]+Table1[[#This Row],[Delivery_Charge]])</f>
        <v>660.22</v>
      </c>
      <c r="Y371" s="4" t="str">
        <f>Table1[[#This Row],[First_Name]]&amp;" "&amp;Table1[[#This Row],[Last_Name]]</f>
        <v>Amanda Howard</v>
      </c>
      <c r="Z371" s="4" t="str">
        <f>IF(T:T&gt;Table1[[#This Row],[Estimated_Days_to_Deliver]],"Late",IF(T:T=Table1[[#This Row],[Estimated_Days_to_Deliver]],"Intime","BeforeTime"))</f>
        <v>BeforeTime</v>
      </c>
      <c r="AA371" s="4">
        <f>MONTH(Table1[[#This Row],[Order_Date]])</f>
        <v>2</v>
      </c>
      <c r="AB371" s="13">
        <f>Table1[[#This Row],[Amount]]*Table1[[#This Row],[Discount_Percent]]</f>
        <v>0</v>
      </c>
    </row>
    <row r="372" spans="1:28" ht="14.25" customHeight="1">
      <c r="A372" s="1" t="s">
        <v>158</v>
      </c>
      <c r="B372" s="1" t="s">
        <v>159</v>
      </c>
      <c r="C372" s="1" t="s">
        <v>160</v>
      </c>
      <c r="D372" s="1">
        <v>24</v>
      </c>
      <c r="E372" s="1" t="s">
        <v>31</v>
      </c>
      <c r="F372" s="1" t="s">
        <v>161</v>
      </c>
      <c r="G372" s="1" t="s">
        <v>162</v>
      </c>
      <c r="H372" s="1" t="s">
        <v>163</v>
      </c>
      <c r="I372" s="1" t="s">
        <v>1642</v>
      </c>
      <c r="J372" s="24">
        <v>45485</v>
      </c>
      <c r="K372" s="1" t="s">
        <v>1643</v>
      </c>
      <c r="L372" s="1" t="s">
        <v>237</v>
      </c>
      <c r="M372" s="1">
        <v>132.97</v>
      </c>
      <c r="N372" s="1">
        <v>2</v>
      </c>
      <c r="O372" s="1" t="s">
        <v>60</v>
      </c>
      <c r="P372" s="1">
        <v>5</v>
      </c>
      <c r="Q372" s="1">
        <v>40</v>
      </c>
      <c r="R372" s="24">
        <v>45487</v>
      </c>
      <c r="S372" s="1" t="s">
        <v>1644</v>
      </c>
      <c r="T372" s="4">
        <f>Table1[[#This Row],[Delivery_Date]]-Table1[[#This Row],[Order_Date]]</f>
        <v>2</v>
      </c>
      <c r="U372" s="4">
        <f>Table1[[#This Row],[Price]]*Table1[[#This Row],[Quantity]]</f>
        <v>265.94</v>
      </c>
      <c r="V372" s="11">
        <f t="shared" si="5"/>
        <v>0.15</v>
      </c>
      <c r="W372" s="4">
        <f>Table1[[#This Row],[Amount]]-(Table1[[#This Row],[Amount]]*Table1[[#This Row],[Discount_Percent]])</f>
        <v>226.04900000000001</v>
      </c>
      <c r="X372" s="4">
        <f>IF(O372="DEL0", Table1[[#This Row],[Discounted_Amount]],Table1[[#This Row],[Discounted_Amount]]+Table1[[#This Row],[Delivery_Charge]])</f>
        <v>266.04899999999998</v>
      </c>
      <c r="Y372" s="4" t="str">
        <f>Table1[[#This Row],[First_Name]]&amp;" "&amp;Table1[[#This Row],[Last_Name]]</f>
        <v>Joshua Campbell</v>
      </c>
      <c r="Z372" s="4" t="str">
        <f>IF(T:T&gt;Table1[[#This Row],[Estimated_Days_to_Deliver]],"Late",IF(T:T=Table1[[#This Row],[Estimated_Days_to_Deliver]],"Intime","BeforeTime"))</f>
        <v>BeforeTime</v>
      </c>
      <c r="AA372" s="4">
        <f>MONTH(Table1[[#This Row],[Order_Date]])</f>
        <v>7</v>
      </c>
      <c r="AB372" s="13">
        <f>Table1[[#This Row],[Amount]]*Table1[[#This Row],[Discount_Percent]]</f>
        <v>39.890999999999998</v>
      </c>
    </row>
    <row r="373" spans="1:28" ht="14.25" customHeight="1">
      <c r="A373" s="1" t="s">
        <v>538</v>
      </c>
      <c r="B373" s="1" t="s">
        <v>539</v>
      </c>
      <c r="C373" s="1" t="s">
        <v>540</v>
      </c>
      <c r="D373" s="1">
        <v>32</v>
      </c>
      <c r="E373" s="1" t="s">
        <v>54</v>
      </c>
      <c r="F373" s="1" t="s">
        <v>92</v>
      </c>
      <c r="G373" s="1" t="s">
        <v>541</v>
      </c>
      <c r="H373" s="1" t="s">
        <v>542</v>
      </c>
      <c r="I373" s="1" t="s">
        <v>1645</v>
      </c>
      <c r="J373" s="24">
        <v>45006</v>
      </c>
      <c r="K373" s="1" t="s">
        <v>1646</v>
      </c>
      <c r="L373" s="1" t="s">
        <v>484</v>
      </c>
      <c r="M373" s="1">
        <v>87.09</v>
      </c>
      <c r="N373" s="1">
        <v>2</v>
      </c>
      <c r="O373" s="1" t="s">
        <v>65</v>
      </c>
      <c r="P373" s="1">
        <v>5</v>
      </c>
      <c r="Q373" s="1">
        <v>67</v>
      </c>
      <c r="R373" s="24">
        <v>45010</v>
      </c>
      <c r="S373" s="1" t="s">
        <v>1647</v>
      </c>
      <c r="T373" s="4">
        <f>Table1[[#This Row],[Delivery_Date]]-Table1[[#This Row],[Order_Date]]</f>
        <v>4</v>
      </c>
      <c r="U373" s="4">
        <f>Table1[[#This Row],[Price]]*Table1[[#This Row],[Quantity]]</f>
        <v>174.18</v>
      </c>
      <c r="V373" s="11">
        <f t="shared" si="5"/>
        <v>0</v>
      </c>
      <c r="W373" s="4">
        <f>Table1[[#This Row],[Amount]]-(Table1[[#This Row],[Amount]]*Table1[[#This Row],[Discount_Percent]])</f>
        <v>174.18</v>
      </c>
      <c r="X373" s="4">
        <f>IF(O373="DEL0", Table1[[#This Row],[Discounted_Amount]],Table1[[#This Row],[Discounted_Amount]]+Table1[[#This Row],[Delivery_Charge]])</f>
        <v>174.18</v>
      </c>
      <c r="Y373" s="4" t="str">
        <f>Table1[[#This Row],[First_Name]]&amp;" "&amp;Table1[[#This Row],[Last_Name]]</f>
        <v>Brandon Cruz</v>
      </c>
      <c r="Z373" s="4" t="str">
        <f>IF(T:T&gt;Table1[[#This Row],[Estimated_Days_to_Deliver]],"Late",IF(T:T=Table1[[#This Row],[Estimated_Days_to_Deliver]],"Intime","BeforeTime"))</f>
        <v>BeforeTime</v>
      </c>
      <c r="AA373" s="4">
        <f>MONTH(Table1[[#This Row],[Order_Date]])</f>
        <v>3</v>
      </c>
      <c r="AB373" s="13">
        <f>Table1[[#This Row],[Amount]]*Table1[[#This Row],[Discount_Percent]]</f>
        <v>0</v>
      </c>
    </row>
    <row r="374" spans="1:28" ht="14.25" customHeight="1">
      <c r="A374" s="1" t="s">
        <v>336</v>
      </c>
      <c r="B374" s="1" t="s">
        <v>337</v>
      </c>
      <c r="C374" s="1" t="s">
        <v>338</v>
      </c>
      <c r="D374" s="1">
        <v>23</v>
      </c>
      <c r="E374" s="1" t="s">
        <v>31</v>
      </c>
      <c r="F374" s="1" t="s">
        <v>32</v>
      </c>
      <c r="G374" s="1" t="s">
        <v>339</v>
      </c>
      <c r="H374" s="1" t="s">
        <v>340</v>
      </c>
      <c r="I374" s="1" t="s">
        <v>1648</v>
      </c>
      <c r="J374" s="24">
        <v>45622</v>
      </c>
      <c r="K374" s="1" t="s">
        <v>1649</v>
      </c>
      <c r="L374" s="1" t="s">
        <v>944</v>
      </c>
      <c r="M374" s="1">
        <v>107.47</v>
      </c>
      <c r="N374" s="1">
        <v>5</v>
      </c>
      <c r="O374" s="1" t="s">
        <v>38</v>
      </c>
      <c r="P374" s="1">
        <v>5</v>
      </c>
      <c r="Q374" s="1">
        <v>37</v>
      </c>
      <c r="R374" s="24">
        <v>45628</v>
      </c>
      <c r="S374" s="1" t="s">
        <v>1650</v>
      </c>
      <c r="T374" s="4">
        <f>Table1[[#This Row],[Delivery_Date]]-Table1[[#This Row],[Order_Date]]</f>
        <v>6</v>
      </c>
      <c r="U374" s="4">
        <f>Table1[[#This Row],[Price]]*Table1[[#This Row],[Quantity]]</f>
        <v>537.35</v>
      </c>
      <c r="V374" s="11">
        <f t="shared" si="5"/>
        <v>0.08</v>
      </c>
      <c r="W374" s="4">
        <f>Table1[[#This Row],[Amount]]-(Table1[[#This Row],[Amount]]*Table1[[#This Row],[Discount_Percent]])</f>
        <v>494.36200000000002</v>
      </c>
      <c r="X374" s="4">
        <f>IF(O374="DEL0", Table1[[#This Row],[Discounted_Amount]],Table1[[#This Row],[Discounted_Amount]]+Table1[[#This Row],[Delivery_Charge]])</f>
        <v>531.36200000000008</v>
      </c>
      <c r="Y374" s="4" t="str">
        <f>Table1[[#This Row],[First_Name]]&amp;" "&amp;Table1[[#This Row],[Last_Name]]</f>
        <v>Julie Meyer</v>
      </c>
      <c r="Z374" s="4" t="str">
        <f>IF(T:T&gt;Table1[[#This Row],[Estimated_Days_to_Deliver]],"Late",IF(T:T=Table1[[#This Row],[Estimated_Days_to_Deliver]],"Intime","BeforeTime"))</f>
        <v>Late</v>
      </c>
      <c r="AA374" s="4">
        <f>MONTH(Table1[[#This Row],[Order_Date]])</f>
        <v>11</v>
      </c>
      <c r="AB374" s="13">
        <f>Table1[[#This Row],[Amount]]*Table1[[#This Row],[Discount_Percent]]</f>
        <v>42.988</v>
      </c>
    </row>
    <row r="375" spans="1:28" ht="14.25" customHeight="1">
      <c r="A375" s="1" t="s">
        <v>734</v>
      </c>
      <c r="B375" s="1" t="s">
        <v>735</v>
      </c>
      <c r="C375" s="1" t="s">
        <v>736</v>
      </c>
      <c r="D375" s="1">
        <v>30</v>
      </c>
      <c r="E375" s="1" t="s">
        <v>31</v>
      </c>
      <c r="F375" s="1" t="s">
        <v>161</v>
      </c>
      <c r="G375" s="1" t="s">
        <v>737</v>
      </c>
      <c r="H375" s="1" t="s">
        <v>738</v>
      </c>
      <c r="I375" s="1" t="s">
        <v>1651</v>
      </c>
      <c r="J375" s="24">
        <v>45417</v>
      </c>
      <c r="K375" s="1" t="s">
        <v>1652</v>
      </c>
      <c r="L375" s="1" t="s">
        <v>944</v>
      </c>
      <c r="M375" s="1">
        <v>107.47</v>
      </c>
      <c r="N375" s="1">
        <v>5</v>
      </c>
      <c r="O375" s="1" t="s">
        <v>98</v>
      </c>
      <c r="P375" s="1">
        <v>5</v>
      </c>
      <c r="Q375" s="1">
        <v>47</v>
      </c>
      <c r="R375" s="24">
        <v>45424</v>
      </c>
      <c r="S375" s="1" t="s">
        <v>1653</v>
      </c>
      <c r="T375" s="4">
        <f>Table1[[#This Row],[Delivery_Date]]-Table1[[#This Row],[Order_Date]]</f>
        <v>7</v>
      </c>
      <c r="U375" s="4">
        <f>Table1[[#This Row],[Price]]*Table1[[#This Row],[Quantity]]</f>
        <v>537.35</v>
      </c>
      <c r="V375" s="11">
        <f t="shared" si="5"/>
        <v>0.1</v>
      </c>
      <c r="W375" s="4">
        <f>Table1[[#This Row],[Amount]]-(Table1[[#This Row],[Amount]]*Table1[[#This Row],[Discount_Percent]])</f>
        <v>483.61500000000001</v>
      </c>
      <c r="X375" s="4">
        <f>IF(O375="DEL0", Table1[[#This Row],[Discounted_Amount]],Table1[[#This Row],[Discounted_Amount]]+Table1[[#This Row],[Delivery_Charge]])</f>
        <v>530.61500000000001</v>
      </c>
      <c r="Y375" s="4" t="str">
        <f>Table1[[#This Row],[First_Name]]&amp;" "&amp;Table1[[#This Row],[Last_Name]]</f>
        <v>Melissa Levy</v>
      </c>
      <c r="Z375" s="4" t="str">
        <f>IF(T:T&gt;Table1[[#This Row],[Estimated_Days_to_Deliver]],"Late",IF(T:T=Table1[[#This Row],[Estimated_Days_to_Deliver]],"Intime","BeforeTime"))</f>
        <v>Late</v>
      </c>
      <c r="AA375" s="4">
        <f>MONTH(Table1[[#This Row],[Order_Date]])</f>
        <v>5</v>
      </c>
      <c r="AB375" s="13">
        <f>Table1[[#This Row],[Amount]]*Table1[[#This Row],[Discount_Percent]]</f>
        <v>53.735000000000007</v>
      </c>
    </row>
    <row r="376" spans="1:28" ht="14.25" customHeight="1">
      <c r="A376" s="1" t="s">
        <v>649</v>
      </c>
      <c r="B376" s="1" t="s">
        <v>650</v>
      </c>
      <c r="C376" s="1" t="s">
        <v>651</v>
      </c>
      <c r="D376" s="1">
        <v>45</v>
      </c>
      <c r="E376" s="1" t="s">
        <v>54</v>
      </c>
      <c r="F376" s="1" t="s">
        <v>92</v>
      </c>
      <c r="G376" s="1" t="s">
        <v>652</v>
      </c>
      <c r="H376" s="1" t="s">
        <v>653</v>
      </c>
      <c r="I376" s="1" t="s">
        <v>1654</v>
      </c>
      <c r="J376" s="24">
        <v>45446</v>
      </c>
      <c r="K376" s="1" t="s">
        <v>1655</v>
      </c>
      <c r="L376" s="1" t="s">
        <v>566</v>
      </c>
      <c r="M376" s="1">
        <v>133.62</v>
      </c>
      <c r="N376" s="1">
        <v>1</v>
      </c>
      <c r="O376" s="1" t="s">
        <v>60</v>
      </c>
      <c r="P376" s="1">
        <v>5</v>
      </c>
      <c r="Q376" s="1">
        <v>39</v>
      </c>
      <c r="R376" s="24">
        <v>45451</v>
      </c>
      <c r="S376" s="1" t="s">
        <v>1656</v>
      </c>
      <c r="T376" s="4">
        <f>Table1[[#This Row],[Delivery_Date]]-Table1[[#This Row],[Order_Date]]</f>
        <v>5</v>
      </c>
      <c r="U376" s="4">
        <f>Table1[[#This Row],[Price]]*Table1[[#This Row],[Quantity]]</f>
        <v>133.62</v>
      </c>
      <c r="V376" s="11">
        <f t="shared" si="5"/>
        <v>0.15</v>
      </c>
      <c r="W376" s="4">
        <f>Table1[[#This Row],[Amount]]-(Table1[[#This Row],[Amount]]*Table1[[#This Row],[Discount_Percent]])</f>
        <v>113.577</v>
      </c>
      <c r="X376" s="4">
        <f>IF(O376="DEL0", Table1[[#This Row],[Discounted_Amount]],Table1[[#This Row],[Discounted_Amount]]+Table1[[#This Row],[Delivery_Charge]])</f>
        <v>152.577</v>
      </c>
      <c r="Y376" s="4" t="str">
        <f>Table1[[#This Row],[First_Name]]&amp;" "&amp;Table1[[#This Row],[Last_Name]]</f>
        <v>Beth Mason</v>
      </c>
      <c r="Z376" s="4" t="str">
        <f>IF(T:T&gt;Table1[[#This Row],[Estimated_Days_to_Deliver]],"Late",IF(T:T=Table1[[#This Row],[Estimated_Days_to_Deliver]],"Intime","BeforeTime"))</f>
        <v>Intime</v>
      </c>
      <c r="AA376" s="4">
        <f>MONTH(Table1[[#This Row],[Order_Date]])</f>
        <v>6</v>
      </c>
      <c r="AB376" s="13">
        <f>Table1[[#This Row],[Amount]]*Table1[[#This Row],[Discount_Percent]]</f>
        <v>20.042999999999999</v>
      </c>
    </row>
    <row r="377" spans="1:28" ht="14.25" customHeight="1">
      <c r="A377" s="1" t="s">
        <v>438</v>
      </c>
      <c r="B377" s="1" t="s">
        <v>439</v>
      </c>
      <c r="C377" s="1" t="s">
        <v>440</v>
      </c>
      <c r="D377" s="1">
        <v>28</v>
      </c>
      <c r="E377" s="1" t="s">
        <v>54</v>
      </c>
      <c r="F377" s="1" t="s">
        <v>78</v>
      </c>
      <c r="G377" s="1" t="s">
        <v>441</v>
      </c>
      <c r="H377" s="1" t="s">
        <v>442</v>
      </c>
      <c r="I377" s="1" t="s">
        <v>1657</v>
      </c>
      <c r="J377" s="24">
        <v>45247</v>
      </c>
      <c r="K377" s="1" t="s">
        <v>1658</v>
      </c>
      <c r="L377" s="1" t="s">
        <v>107</v>
      </c>
      <c r="M377" s="1">
        <v>275.44</v>
      </c>
      <c r="N377" s="1">
        <v>2</v>
      </c>
      <c r="O377" s="1" t="s">
        <v>87</v>
      </c>
      <c r="P377" s="1">
        <v>5</v>
      </c>
      <c r="Q377" s="1">
        <v>43</v>
      </c>
      <c r="R377" s="24">
        <v>45251</v>
      </c>
      <c r="S377" s="1" t="s">
        <v>1659</v>
      </c>
      <c r="T377" s="4">
        <f>Table1[[#This Row],[Delivery_Date]]-Table1[[#This Row],[Order_Date]]</f>
        <v>4</v>
      </c>
      <c r="U377" s="4">
        <f>Table1[[#This Row],[Price]]*Table1[[#This Row],[Quantity]]</f>
        <v>550.88</v>
      </c>
      <c r="V377" s="11">
        <f t="shared" si="5"/>
        <v>0.2</v>
      </c>
      <c r="W377" s="4">
        <f>Table1[[#This Row],[Amount]]-(Table1[[#This Row],[Amount]]*Table1[[#This Row],[Discount_Percent]])</f>
        <v>440.70400000000001</v>
      </c>
      <c r="X377" s="4">
        <f>IF(O377="DEL0", Table1[[#This Row],[Discounted_Amount]],Table1[[#This Row],[Discounted_Amount]]+Table1[[#This Row],[Delivery_Charge]])</f>
        <v>483.70400000000001</v>
      </c>
      <c r="Y377" s="4" t="str">
        <f>Table1[[#This Row],[First_Name]]&amp;" "&amp;Table1[[#This Row],[Last_Name]]</f>
        <v>Mary Knight</v>
      </c>
      <c r="Z377" s="4" t="str">
        <f>IF(T:T&gt;Table1[[#This Row],[Estimated_Days_to_Deliver]],"Late",IF(T:T=Table1[[#This Row],[Estimated_Days_to_Deliver]],"Intime","BeforeTime"))</f>
        <v>BeforeTime</v>
      </c>
      <c r="AA377" s="4">
        <f>MONTH(Table1[[#This Row],[Order_Date]])</f>
        <v>11</v>
      </c>
      <c r="AB377" s="13">
        <f>Table1[[#This Row],[Amount]]*Table1[[#This Row],[Discount_Percent]]</f>
        <v>110.176</v>
      </c>
    </row>
    <row r="378" spans="1:28" ht="14.25" customHeight="1">
      <c r="A378" s="1" t="s">
        <v>928</v>
      </c>
      <c r="B378" s="1" t="s">
        <v>929</v>
      </c>
      <c r="C378" s="1" t="s">
        <v>930</v>
      </c>
      <c r="D378" s="1">
        <v>24</v>
      </c>
      <c r="E378" s="1" t="s">
        <v>54</v>
      </c>
      <c r="F378" s="1" t="s">
        <v>223</v>
      </c>
      <c r="G378" s="1" t="s">
        <v>931</v>
      </c>
      <c r="H378" s="1" t="s">
        <v>932</v>
      </c>
      <c r="I378" s="1" t="s">
        <v>1660</v>
      </c>
      <c r="J378" s="24">
        <v>45113</v>
      </c>
      <c r="K378" s="1" t="s">
        <v>1661</v>
      </c>
      <c r="L378" s="1" t="s">
        <v>83</v>
      </c>
      <c r="M378" s="1">
        <v>330.11</v>
      </c>
      <c r="N378" s="1">
        <v>3</v>
      </c>
      <c r="O378" s="1" t="s">
        <v>60</v>
      </c>
      <c r="P378" s="1">
        <v>5</v>
      </c>
      <c r="Q378" s="1">
        <v>56</v>
      </c>
      <c r="R378" s="24">
        <v>45117</v>
      </c>
      <c r="S378" s="1" t="s">
        <v>1662</v>
      </c>
      <c r="T378" s="4">
        <f>Table1[[#This Row],[Delivery_Date]]-Table1[[#This Row],[Order_Date]]</f>
        <v>4</v>
      </c>
      <c r="U378" s="4">
        <f>Table1[[#This Row],[Price]]*Table1[[#This Row],[Quantity]]</f>
        <v>990.33</v>
      </c>
      <c r="V378" s="11">
        <f t="shared" si="5"/>
        <v>0.15</v>
      </c>
      <c r="W378" s="4">
        <f>Table1[[#This Row],[Amount]]-(Table1[[#This Row],[Amount]]*Table1[[#This Row],[Discount_Percent]])</f>
        <v>841.78050000000007</v>
      </c>
      <c r="X378" s="4">
        <f>IF(O378="DEL0", Table1[[#This Row],[Discounted_Amount]],Table1[[#This Row],[Discounted_Amount]]+Table1[[#This Row],[Delivery_Charge]])</f>
        <v>897.78050000000007</v>
      </c>
      <c r="Y378" s="4" t="str">
        <f>Table1[[#This Row],[First_Name]]&amp;" "&amp;Table1[[#This Row],[Last_Name]]</f>
        <v>Rachael Robinson</v>
      </c>
      <c r="Z378" s="4" t="str">
        <f>IF(T:T&gt;Table1[[#This Row],[Estimated_Days_to_Deliver]],"Late",IF(T:T=Table1[[#This Row],[Estimated_Days_to_Deliver]],"Intime","BeforeTime"))</f>
        <v>BeforeTime</v>
      </c>
      <c r="AA378" s="4">
        <f>MONTH(Table1[[#This Row],[Order_Date]])</f>
        <v>7</v>
      </c>
      <c r="AB378" s="13">
        <f>Table1[[#This Row],[Amount]]*Table1[[#This Row],[Discount_Percent]]</f>
        <v>148.54949999999999</v>
      </c>
    </row>
    <row r="379" spans="1:28" ht="14.25" customHeight="1">
      <c r="A379" s="1" t="s">
        <v>438</v>
      </c>
      <c r="B379" s="1" t="s">
        <v>439</v>
      </c>
      <c r="C379" s="1" t="s">
        <v>440</v>
      </c>
      <c r="D379" s="1">
        <v>28</v>
      </c>
      <c r="E379" s="1" t="s">
        <v>54</v>
      </c>
      <c r="F379" s="1" t="s">
        <v>78</v>
      </c>
      <c r="G379" s="1" t="s">
        <v>441</v>
      </c>
      <c r="H379" s="1" t="s">
        <v>442</v>
      </c>
      <c r="I379" s="1" t="s">
        <v>1663</v>
      </c>
      <c r="J379" s="24">
        <v>45307</v>
      </c>
      <c r="K379" s="1" t="s">
        <v>1664</v>
      </c>
      <c r="L379" s="1" t="s">
        <v>175</v>
      </c>
      <c r="M379" s="1">
        <v>272.51</v>
      </c>
      <c r="N379" s="1">
        <v>3</v>
      </c>
      <c r="O379" s="1" t="s">
        <v>38</v>
      </c>
      <c r="P379" s="1">
        <v>5</v>
      </c>
      <c r="Q379" s="1">
        <v>44</v>
      </c>
      <c r="R379" s="24">
        <v>45310</v>
      </c>
      <c r="S379" s="1" t="s">
        <v>1665</v>
      </c>
      <c r="T379" s="4">
        <f>Table1[[#This Row],[Delivery_Date]]-Table1[[#This Row],[Order_Date]]</f>
        <v>3</v>
      </c>
      <c r="U379" s="4">
        <f>Table1[[#This Row],[Price]]*Table1[[#This Row],[Quantity]]</f>
        <v>817.53</v>
      </c>
      <c r="V379" s="11">
        <f t="shared" si="5"/>
        <v>0.08</v>
      </c>
      <c r="W379" s="4">
        <f>Table1[[#This Row],[Amount]]-(Table1[[#This Row],[Amount]]*Table1[[#This Row],[Discount_Percent]])</f>
        <v>752.12760000000003</v>
      </c>
      <c r="X379" s="4">
        <f>IF(O379="DEL0", Table1[[#This Row],[Discounted_Amount]],Table1[[#This Row],[Discounted_Amount]]+Table1[[#This Row],[Delivery_Charge]])</f>
        <v>796.12760000000003</v>
      </c>
      <c r="Y379" s="4" t="str">
        <f>Table1[[#This Row],[First_Name]]&amp;" "&amp;Table1[[#This Row],[Last_Name]]</f>
        <v>Mary Knight</v>
      </c>
      <c r="Z379" s="4" t="str">
        <f>IF(T:T&gt;Table1[[#This Row],[Estimated_Days_to_Deliver]],"Late",IF(T:T=Table1[[#This Row],[Estimated_Days_to_Deliver]],"Intime","BeforeTime"))</f>
        <v>BeforeTime</v>
      </c>
      <c r="AA379" s="4">
        <f>MONTH(Table1[[#This Row],[Order_Date]])</f>
        <v>1</v>
      </c>
      <c r="AB379" s="13">
        <f>Table1[[#This Row],[Amount]]*Table1[[#This Row],[Discount_Percent]]</f>
        <v>65.4024</v>
      </c>
    </row>
    <row r="380" spans="1:28" ht="14.25" customHeight="1">
      <c r="A380" s="1" t="s">
        <v>708</v>
      </c>
      <c r="B380" s="1" t="s">
        <v>709</v>
      </c>
      <c r="C380" s="1" t="s">
        <v>710</v>
      </c>
      <c r="D380" s="1">
        <v>26</v>
      </c>
      <c r="E380" s="1" t="s">
        <v>54</v>
      </c>
      <c r="F380" s="1" t="s">
        <v>78</v>
      </c>
      <c r="G380" s="1" t="s">
        <v>711</v>
      </c>
      <c r="H380" s="1" t="s">
        <v>712</v>
      </c>
      <c r="I380" s="1" t="s">
        <v>1666</v>
      </c>
      <c r="J380" s="24">
        <v>45238</v>
      </c>
      <c r="K380" s="1" t="s">
        <v>1667</v>
      </c>
      <c r="L380" s="1" t="s">
        <v>137</v>
      </c>
      <c r="M380" s="1">
        <v>175.93</v>
      </c>
      <c r="N380" s="1">
        <v>4</v>
      </c>
      <c r="O380" s="1" t="s">
        <v>87</v>
      </c>
      <c r="P380" s="1">
        <v>5</v>
      </c>
      <c r="Q380" s="1">
        <v>54</v>
      </c>
      <c r="R380" s="24">
        <v>45240</v>
      </c>
      <c r="S380" s="1" t="s">
        <v>1668</v>
      </c>
      <c r="T380" s="4">
        <f>Table1[[#This Row],[Delivery_Date]]-Table1[[#This Row],[Order_Date]]</f>
        <v>2</v>
      </c>
      <c r="U380" s="4">
        <f>Table1[[#This Row],[Price]]*Table1[[#This Row],[Quantity]]</f>
        <v>703.72</v>
      </c>
      <c r="V380" s="11">
        <f t="shared" si="5"/>
        <v>0.2</v>
      </c>
      <c r="W380" s="4">
        <f>Table1[[#This Row],[Amount]]-(Table1[[#This Row],[Amount]]*Table1[[#This Row],[Discount_Percent]])</f>
        <v>562.976</v>
      </c>
      <c r="X380" s="4">
        <f>IF(O380="DEL0", Table1[[#This Row],[Discounted_Amount]],Table1[[#This Row],[Discounted_Amount]]+Table1[[#This Row],[Delivery_Charge]])</f>
        <v>616.976</v>
      </c>
      <c r="Y380" s="4" t="str">
        <f>Table1[[#This Row],[First_Name]]&amp;" "&amp;Table1[[#This Row],[Last_Name]]</f>
        <v>Gregory Lee</v>
      </c>
      <c r="Z380" s="4" t="str">
        <f>IF(T:T&gt;Table1[[#This Row],[Estimated_Days_to_Deliver]],"Late",IF(T:T=Table1[[#This Row],[Estimated_Days_to_Deliver]],"Intime","BeforeTime"))</f>
        <v>BeforeTime</v>
      </c>
      <c r="AA380" s="4">
        <f>MONTH(Table1[[#This Row],[Order_Date]])</f>
        <v>11</v>
      </c>
      <c r="AB380" s="13">
        <f>Table1[[#This Row],[Amount]]*Table1[[#This Row],[Discount_Percent]]</f>
        <v>140.744</v>
      </c>
    </row>
    <row r="381" spans="1:28" ht="14.25" customHeight="1">
      <c r="A381" s="1" t="s">
        <v>1617</v>
      </c>
      <c r="B381" s="1" t="s">
        <v>276</v>
      </c>
      <c r="C381" s="1" t="s">
        <v>1618</v>
      </c>
      <c r="D381" s="1">
        <v>62</v>
      </c>
      <c r="E381" s="1" t="s">
        <v>43</v>
      </c>
      <c r="F381" s="1" t="s">
        <v>44</v>
      </c>
      <c r="G381" s="1" t="s">
        <v>1619</v>
      </c>
      <c r="H381" s="1" t="s">
        <v>1620</v>
      </c>
      <c r="I381" s="1" t="s">
        <v>1669</v>
      </c>
      <c r="J381" s="24">
        <v>45459</v>
      </c>
      <c r="K381" s="1" t="s">
        <v>1670</v>
      </c>
      <c r="L381" s="1" t="s">
        <v>433</v>
      </c>
      <c r="M381" s="1">
        <v>369.03</v>
      </c>
      <c r="N381" s="1">
        <v>3</v>
      </c>
      <c r="O381" s="1" t="s">
        <v>38</v>
      </c>
      <c r="P381" s="1">
        <v>5</v>
      </c>
      <c r="Q381" s="1">
        <v>57</v>
      </c>
      <c r="R381" s="24">
        <v>45461</v>
      </c>
      <c r="S381" s="1" t="s">
        <v>1671</v>
      </c>
      <c r="T381" s="4">
        <f>Table1[[#This Row],[Delivery_Date]]-Table1[[#This Row],[Order_Date]]</f>
        <v>2</v>
      </c>
      <c r="U381" s="4">
        <f>Table1[[#This Row],[Price]]*Table1[[#This Row],[Quantity]]</f>
        <v>1107.0899999999999</v>
      </c>
      <c r="V381" s="11">
        <f t="shared" si="5"/>
        <v>0.08</v>
      </c>
      <c r="W381" s="4">
        <f>Table1[[#This Row],[Amount]]-(Table1[[#This Row],[Amount]]*Table1[[#This Row],[Discount_Percent]])</f>
        <v>1018.5228</v>
      </c>
      <c r="X381" s="4">
        <f>IF(O381="DEL0", Table1[[#This Row],[Discounted_Amount]],Table1[[#This Row],[Discounted_Amount]]+Table1[[#This Row],[Delivery_Charge]])</f>
        <v>1075.5228</v>
      </c>
      <c r="Y381" s="4" t="str">
        <f>Table1[[#This Row],[First_Name]]&amp;" "&amp;Table1[[#This Row],[Last_Name]]</f>
        <v>Lauren Crane</v>
      </c>
      <c r="Z381" s="4" t="str">
        <f>IF(T:T&gt;Table1[[#This Row],[Estimated_Days_to_Deliver]],"Late",IF(T:T=Table1[[#This Row],[Estimated_Days_to_Deliver]],"Intime","BeforeTime"))</f>
        <v>BeforeTime</v>
      </c>
      <c r="AA381" s="4">
        <f>MONTH(Table1[[#This Row],[Order_Date]])</f>
        <v>6</v>
      </c>
      <c r="AB381" s="13">
        <f>Table1[[#This Row],[Amount]]*Table1[[#This Row],[Discount_Percent]]</f>
        <v>88.5672</v>
      </c>
    </row>
    <row r="382" spans="1:28" ht="14.25" customHeight="1">
      <c r="A382" s="1" t="s">
        <v>1345</v>
      </c>
      <c r="B382" s="1" t="s">
        <v>511</v>
      </c>
      <c r="C382" s="1" t="s">
        <v>1346</v>
      </c>
      <c r="D382" s="1">
        <v>40</v>
      </c>
      <c r="E382" s="1" t="s">
        <v>54</v>
      </c>
      <c r="F382" s="1" t="s">
        <v>223</v>
      </c>
      <c r="G382" s="1" t="s">
        <v>1347</v>
      </c>
      <c r="H382" s="1" t="s">
        <v>1348</v>
      </c>
      <c r="I382" s="1" t="s">
        <v>1672</v>
      </c>
      <c r="J382" s="24">
        <v>45040</v>
      </c>
      <c r="K382" s="1" t="s">
        <v>1673</v>
      </c>
      <c r="L382" s="1" t="s">
        <v>347</v>
      </c>
      <c r="M382" s="1">
        <v>372.62</v>
      </c>
      <c r="N382" s="1">
        <v>2</v>
      </c>
      <c r="O382" s="1" t="s">
        <v>87</v>
      </c>
      <c r="P382" s="1">
        <v>5</v>
      </c>
      <c r="Q382" s="1">
        <v>47</v>
      </c>
      <c r="R382" s="24">
        <v>45041</v>
      </c>
      <c r="S382" s="1" t="s">
        <v>1674</v>
      </c>
      <c r="T382" s="4">
        <f>Table1[[#This Row],[Delivery_Date]]-Table1[[#This Row],[Order_Date]]</f>
        <v>1</v>
      </c>
      <c r="U382" s="4">
        <f>Table1[[#This Row],[Price]]*Table1[[#This Row],[Quantity]]</f>
        <v>745.24</v>
      </c>
      <c r="V382" s="11">
        <f t="shared" si="5"/>
        <v>0.2</v>
      </c>
      <c r="W382" s="4">
        <f>Table1[[#This Row],[Amount]]-(Table1[[#This Row],[Amount]]*Table1[[#This Row],[Discount_Percent]])</f>
        <v>596.19200000000001</v>
      </c>
      <c r="X382" s="4">
        <f>IF(O382="DEL0", Table1[[#This Row],[Discounted_Amount]],Table1[[#This Row],[Discounted_Amount]]+Table1[[#This Row],[Delivery_Charge]])</f>
        <v>643.19200000000001</v>
      </c>
      <c r="Y382" s="4" t="str">
        <f>Table1[[#This Row],[First_Name]]&amp;" "&amp;Table1[[#This Row],[Last_Name]]</f>
        <v>Sarah Benson</v>
      </c>
      <c r="Z382" s="4" t="str">
        <f>IF(T:T&gt;Table1[[#This Row],[Estimated_Days_to_Deliver]],"Late",IF(T:T=Table1[[#This Row],[Estimated_Days_to_Deliver]],"Intime","BeforeTime"))</f>
        <v>BeforeTime</v>
      </c>
      <c r="AA382" s="4">
        <f>MONTH(Table1[[#This Row],[Order_Date]])</f>
        <v>4</v>
      </c>
      <c r="AB382" s="13">
        <f>Table1[[#This Row],[Amount]]*Table1[[#This Row],[Discount_Percent]]</f>
        <v>149.048</v>
      </c>
    </row>
    <row r="383" spans="1:28" ht="14.25" customHeight="1">
      <c r="A383" s="1" t="s">
        <v>352</v>
      </c>
      <c r="B383" s="1" t="s">
        <v>353</v>
      </c>
      <c r="C383" s="1" t="s">
        <v>354</v>
      </c>
      <c r="D383" s="1">
        <v>70</v>
      </c>
      <c r="E383" s="1" t="s">
        <v>31</v>
      </c>
      <c r="F383" s="1" t="s">
        <v>170</v>
      </c>
      <c r="G383" s="1" t="s">
        <v>355</v>
      </c>
      <c r="H383" s="1" t="s">
        <v>356</v>
      </c>
      <c r="I383" s="1" t="s">
        <v>1675</v>
      </c>
      <c r="J383" s="24">
        <v>45270</v>
      </c>
      <c r="K383" s="1" t="s">
        <v>1676</v>
      </c>
      <c r="L383" s="1" t="s">
        <v>421</v>
      </c>
      <c r="M383" s="1">
        <v>44.5</v>
      </c>
      <c r="N383" s="1">
        <v>1</v>
      </c>
      <c r="O383" s="1" t="s">
        <v>65</v>
      </c>
      <c r="P383" s="1">
        <v>5</v>
      </c>
      <c r="Q383" s="1">
        <v>37</v>
      </c>
      <c r="R383" s="24">
        <v>45277</v>
      </c>
      <c r="S383" s="1" t="s">
        <v>1677</v>
      </c>
      <c r="T383" s="4">
        <f>Table1[[#This Row],[Delivery_Date]]-Table1[[#This Row],[Order_Date]]</f>
        <v>7</v>
      </c>
      <c r="U383" s="4">
        <f>Table1[[#This Row],[Price]]*Table1[[#This Row],[Quantity]]</f>
        <v>44.5</v>
      </c>
      <c r="V383" s="11">
        <f t="shared" si="5"/>
        <v>0</v>
      </c>
      <c r="W383" s="4">
        <f>Table1[[#This Row],[Amount]]-(Table1[[#This Row],[Amount]]*Table1[[#This Row],[Discount_Percent]])</f>
        <v>44.5</v>
      </c>
      <c r="X383" s="4">
        <f>IF(O383="DEL0", Table1[[#This Row],[Discounted_Amount]],Table1[[#This Row],[Discounted_Amount]]+Table1[[#This Row],[Delivery_Charge]])</f>
        <v>44.5</v>
      </c>
      <c r="Y383" s="4" t="str">
        <f>Table1[[#This Row],[First_Name]]&amp;" "&amp;Table1[[#This Row],[Last_Name]]</f>
        <v>Donna Oneill</v>
      </c>
      <c r="Z383" s="4" t="str">
        <f>IF(T:T&gt;Table1[[#This Row],[Estimated_Days_to_Deliver]],"Late",IF(T:T=Table1[[#This Row],[Estimated_Days_to_Deliver]],"Intime","BeforeTime"))</f>
        <v>Late</v>
      </c>
      <c r="AA383" s="4">
        <f>MONTH(Table1[[#This Row],[Order_Date]])</f>
        <v>12</v>
      </c>
      <c r="AB383" s="13">
        <f>Table1[[#This Row],[Amount]]*Table1[[#This Row],[Discount_Percent]]</f>
        <v>0</v>
      </c>
    </row>
    <row r="384" spans="1:28" ht="14.25" customHeight="1">
      <c r="A384" s="1" t="s">
        <v>478</v>
      </c>
      <c r="B384" s="1" t="s">
        <v>110</v>
      </c>
      <c r="C384" s="1" t="s">
        <v>479</v>
      </c>
      <c r="D384" s="1">
        <v>33</v>
      </c>
      <c r="E384" s="1" t="s">
        <v>31</v>
      </c>
      <c r="F384" s="1" t="s">
        <v>170</v>
      </c>
      <c r="G384" s="1" t="s">
        <v>480</v>
      </c>
      <c r="H384" s="1" t="s">
        <v>481</v>
      </c>
      <c r="I384" s="1" t="s">
        <v>1678</v>
      </c>
      <c r="J384" s="24">
        <v>45060</v>
      </c>
      <c r="K384" s="1" t="s">
        <v>1679</v>
      </c>
      <c r="L384" s="1" t="s">
        <v>290</v>
      </c>
      <c r="M384" s="1">
        <v>157.63999999999999</v>
      </c>
      <c r="N384" s="1">
        <v>1</v>
      </c>
      <c r="O384" s="1" t="s">
        <v>98</v>
      </c>
      <c r="P384" s="1">
        <v>5</v>
      </c>
      <c r="Q384" s="1">
        <v>48</v>
      </c>
      <c r="R384" s="24">
        <v>45067</v>
      </c>
      <c r="S384" s="1" t="s">
        <v>1680</v>
      </c>
      <c r="T384" s="4">
        <f>Table1[[#This Row],[Delivery_Date]]-Table1[[#This Row],[Order_Date]]</f>
        <v>7</v>
      </c>
      <c r="U384" s="4">
        <f>Table1[[#This Row],[Price]]*Table1[[#This Row],[Quantity]]</f>
        <v>157.63999999999999</v>
      </c>
      <c r="V384" s="11">
        <f t="shared" si="5"/>
        <v>0.1</v>
      </c>
      <c r="W384" s="4">
        <f>Table1[[#This Row],[Amount]]-(Table1[[#This Row],[Amount]]*Table1[[#This Row],[Discount_Percent]])</f>
        <v>141.87599999999998</v>
      </c>
      <c r="X384" s="4">
        <f>IF(O384="DEL0", Table1[[#This Row],[Discounted_Amount]],Table1[[#This Row],[Discounted_Amount]]+Table1[[#This Row],[Delivery_Charge]])</f>
        <v>189.87599999999998</v>
      </c>
      <c r="Y384" s="4" t="str">
        <f>Table1[[#This Row],[First_Name]]&amp;" "&amp;Table1[[#This Row],[Last_Name]]</f>
        <v>Debra Hayes</v>
      </c>
      <c r="Z384" s="4" t="str">
        <f>IF(T:T&gt;Table1[[#This Row],[Estimated_Days_to_Deliver]],"Late",IF(T:T=Table1[[#This Row],[Estimated_Days_to_Deliver]],"Intime","BeforeTime"))</f>
        <v>Late</v>
      </c>
      <c r="AA384" s="4">
        <f>MONTH(Table1[[#This Row],[Order_Date]])</f>
        <v>5</v>
      </c>
      <c r="AB384" s="13">
        <f>Table1[[#This Row],[Amount]]*Table1[[#This Row],[Discount_Percent]]</f>
        <v>15.763999999999999</v>
      </c>
    </row>
    <row r="385" spans="1:28" ht="14.25" customHeight="1">
      <c r="A385" s="1" t="s">
        <v>195</v>
      </c>
      <c r="B385" s="1" t="s">
        <v>196</v>
      </c>
      <c r="C385" s="1" t="s">
        <v>197</v>
      </c>
      <c r="D385" s="1">
        <v>34</v>
      </c>
      <c r="E385" s="1" t="s">
        <v>31</v>
      </c>
      <c r="F385" s="1" t="s">
        <v>92</v>
      </c>
      <c r="G385" s="1" t="s">
        <v>198</v>
      </c>
      <c r="H385" s="1" t="s">
        <v>199</v>
      </c>
      <c r="I385" s="1" t="s">
        <v>1681</v>
      </c>
      <c r="J385" s="24">
        <v>45243</v>
      </c>
      <c r="K385" s="1" t="s">
        <v>1682</v>
      </c>
      <c r="L385" s="1" t="s">
        <v>202</v>
      </c>
      <c r="M385" s="1">
        <v>20.7</v>
      </c>
      <c r="N385" s="1">
        <v>3</v>
      </c>
      <c r="O385" s="1" t="s">
        <v>38</v>
      </c>
      <c r="P385" s="1">
        <v>5</v>
      </c>
      <c r="Q385" s="1">
        <v>46</v>
      </c>
      <c r="R385" s="24">
        <v>45245</v>
      </c>
      <c r="S385" s="1" t="s">
        <v>1683</v>
      </c>
      <c r="T385" s="4">
        <f>Table1[[#This Row],[Delivery_Date]]-Table1[[#This Row],[Order_Date]]</f>
        <v>2</v>
      </c>
      <c r="U385" s="4">
        <f>Table1[[#This Row],[Price]]*Table1[[#This Row],[Quantity]]</f>
        <v>62.099999999999994</v>
      </c>
      <c r="V385" s="11">
        <f t="shared" si="5"/>
        <v>0.08</v>
      </c>
      <c r="W385" s="4">
        <f>Table1[[#This Row],[Amount]]-(Table1[[#This Row],[Amount]]*Table1[[#This Row],[Discount_Percent]])</f>
        <v>57.131999999999991</v>
      </c>
      <c r="X385" s="4">
        <f>IF(O385="DEL0", Table1[[#This Row],[Discounted_Amount]],Table1[[#This Row],[Discounted_Amount]]+Table1[[#This Row],[Delivery_Charge]])</f>
        <v>103.13199999999999</v>
      </c>
      <c r="Y385" s="4" t="str">
        <f>Table1[[#This Row],[First_Name]]&amp;" "&amp;Table1[[#This Row],[Last_Name]]</f>
        <v>Traci Jones</v>
      </c>
      <c r="Z385" s="4" t="str">
        <f>IF(T:T&gt;Table1[[#This Row],[Estimated_Days_to_Deliver]],"Late",IF(T:T=Table1[[#This Row],[Estimated_Days_to_Deliver]],"Intime","BeforeTime"))</f>
        <v>BeforeTime</v>
      </c>
      <c r="AA385" s="4">
        <f>MONTH(Table1[[#This Row],[Order_Date]])</f>
        <v>11</v>
      </c>
      <c r="AB385" s="13">
        <f>Table1[[#This Row],[Amount]]*Table1[[#This Row],[Discount_Percent]]</f>
        <v>4.968</v>
      </c>
    </row>
    <row r="386" spans="1:28" ht="14.25" customHeight="1">
      <c r="A386" s="1" t="s">
        <v>642</v>
      </c>
      <c r="B386" s="1" t="s">
        <v>150</v>
      </c>
      <c r="C386" s="1" t="s">
        <v>643</v>
      </c>
      <c r="D386" s="1">
        <v>44</v>
      </c>
      <c r="E386" s="1" t="s">
        <v>54</v>
      </c>
      <c r="F386" s="1" t="s">
        <v>92</v>
      </c>
      <c r="G386" s="1" t="s">
        <v>644</v>
      </c>
      <c r="H386" s="1" t="s">
        <v>645</v>
      </c>
      <c r="I386" s="1" t="s">
        <v>1684</v>
      </c>
      <c r="J386" s="24">
        <v>45264</v>
      </c>
      <c r="K386" s="1" t="s">
        <v>1685</v>
      </c>
      <c r="L386" s="1" t="s">
        <v>253</v>
      </c>
      <c r="M386" s="1">
        <v>128.13999999999999</v>
      </c>
      <c r="N386" s="1">
        <v>3</v>
      </c>
      <c r="O386" s="1" t="s">
        <v>87</v>
      </c>
      <c r="P386" s="1">
        <v>5</v>
      </c>
      <c r="Q386" s="1">
        <v>49</v>
      </c>
      <c r="R386" s="24">
        <v>45270</v>
      </c>
      <c r="S386" s="1" t="s">
        <v>1686</v>
      </c>
      <c r="T386" s="4">
        <f>Table1[[#This Row],[Delivery_Date]]-Table1[[#This Row],[Order_Date]]</f>
        <v>6</v>
      </c>
      <c r="U386" s="4">
        <f>Table1[[#This Row],[Price]]*Table1[[#This Row],[Quantity]]</f>
        <v>384.41999999999996</v>
      </c>
      <c r="V386" s="11">
        <f t="shared" ref="V386:V449" si="6">IF(O386="FLAT8",8%,IF(O386="FLAT10",10%,IF(O386="FLAT15",15%,IF(O386="FLAT20",20%,0))))</f>
        <v>0.2</v>
      </c>
      <c r="W386" s="4">
        <f>Table1[[#This Row],[Amount]]-(Table1[[#This Row],[Amount]]*Table1[[#This Row],[Discount_Percent]])</f>
        <v>307.53599999999994</v>
      </c>
      <c r="X386" s="4">
        <f>IF(O386="DEL0", Table1[[#This Row],[Discounted_Amount]],Table1[[#This Row],[Discounted_Amount]]+Table1[[#This Row],[Delivery_Charge]])</f>
        <v>356.53599999999994</v>
      </c>
      <c r="Y386" s="4" t="str">
        <f>Table1[[#This Row],[First_Name]]&amp;" "&amp;Table1[[#This Row],[Last_Name]]</f>
        <v>Amy Ellis</v>
      </c>
      <c r="Z386" s="4" t="str">
        <f>IF(T:T&gt;Table1[[#This Row],[Estimated_Days_to_Deliver]],"Late",IF(T:T=Table1[[#This Row],[Estimated_Days_to_Deliver]],"Intime","BeforeTime"))</f>
        <v>Late</v>
      </c>
      <c r="AA386" s="4">
        <f>MONTH(Table1[[#This Row],[Order_Date]])</f>
        <v>12</v>
      </c>
      <c r="AB386" s="13">
        <f>Table1[[#This Row],[Amount]]*Table1[[#This Row],[Discount_Percent]]</f>
        <v>76.884</v>
      </c>
    </row>
    <row r="387" spans="1:28" ht="14.25" customHeight="1">
      <c r="A387" s="1" t="s">
        <v>649</v>
      </c>
      <c r="B387" s="1" t="s">
        <v>650</v>
      </c>
      <c r="C387" s="1" t="s">
        <v>651</v>
      </c>
      <c r="D387" s="1">
        <v>45</v>
      </c>
      <c r="E387" s="1" t="s">
        <v>54</v>
      </c>
      <c r="F387" s="1" t="s">
        <v>92</v>
      </c>
      <c r="G387" s="1" t="s">
        <v>652</v>
      </c>
      <c r="H387" s="1" t="s">
        <v>653</v>
      </c>
      <c r="I387" s="1" t="s">
        <v>1687</v>
      </c>
      <c r="J387" s="24">
        <v>45404</v>
      </c>
      <c r="K387" s="1" t="s">
        <v>1688</v>
      </c>
      <c r="L387" s="1" t="s">
        <v>290</v>
      </c>
      <c r="M387" s="1">
        <v>157.63999999999999</v>
      </c>
      <c r="N387" s="1">
        <v>3</v>
      </c>
      <c r="O387" s="1" t="s">
        <v>38</v>
      </c>
      <c r="P387" s="1">
        <v>5</v>
      </c>
      <c r="Q387" s="1">
        <v>66</v>
      </c>
      <c r="R387" s="24">
        <v>45405</v>
      </c>
      <c r="S387" s="1" t="s">
        <v>1402</v>
      </c>
      <c r="T387" s="4">
        <f>Table1[[#This Row],[Delivery_Date]]-Table1[[#This Row],[Order_Date]]</f>
        <v>1</v>
      </c>
      <c r="U387" s="4">
        <f>Table1[[#This Row],[Price]]*Table1[[#This Row],[Quantity]]</f>
        <v>472.91999999999996</v>
      </c>
      <c r="V387" s="11">
        <f t="shared" si="6"/>
        <v>0.08</v>
      </c>
      <c r="W387" s="4">
        <f>Table1[[#This Row],[Amount]]-(Table1[[#This Row],[Amount]]*Table1[[#This Row],[Discount_Percent]])</f>
        <v>435.08639999999997</v>
      </c>
      <c r="X387" s="4">
        <f>IF(O387="DEL0", Table1[[#This Row],[Discounted_Amount]],Table1[[#This Row],[Discounted_Amount]]+Table1[[#This Row],[Delivery_Charge]])</f>
        <v>501.08639999999997</v>
      </c>
      <c r="Y387" s="4" t="str">
        <f>Table1[[#This Row],[First_Name]]&amp;" "&amp;Table1[[#This Row],[Last_Name]]</f>
        <v>Beth Mason</v>
      </c>
      <c r="Z387" s="4" t="str">
        <f>IF(T:T&gt;Table1[[#This Row],[Estimated_Days_to_Deliver]],"Late",IF(T:T=Table1[[#This Row],[Estimated_Days_to_Deliver]],"Intime","BeforeTime"))</f>
        <v>BeforeTime</v>
      </c>
      <c r="AA387" s="4">
        <f>MONTH(Table1[[#This Row],[Order_Date]])</f>
        <v>4</v>
      </c>
      <c r="AB387" s="13">
        <f>Table1[[#This Row],[Amount]]*Table1[[#This Row],[Discount_Percent]]</f>
        <v>37.833599999999997</v>
      </c>
    </row>
    <row r="388" spans="1:28" ht="14.25" customHeight="1">
      <c r="A388" s="1" t="s">
        <v>40</v>
      </c>
      <c r="B388" s="1" t="s">
        <v>41</v>
      </c>
      <c r="C388" s="1" t="s">
        <v>42</v>
      </c>
      <c r="D388" s="1">
        <v>53</v>
      </c>
      <c r="E388" s="1" t="s">
        <v>43</v>
      </c>
      <c r="F388" s="1" t="s">
        <v>44</v>
      </c>
      <c r="G388" s="1" t="s">
        <v>45</v>
      </c>
      <c r="H388" s="1" t="s">
        <v>46</v>
      </c>
      <c r="I388" s="1" t="s">
        <v>1689</v>
      </c>
      <c r="J388" s="24">
        <v>45469</v>
      </c>
      <c r="K388" s="1" t="s">
        <v>1690</v>
      </c>
      <c r="L388" s="1" t="s">
        <v>347</v>
      </c>
      <c r="M388" s="1">
        <v>372.62</v>
      </c>
      <c r="N388" s="1">
        <v>1</v>
      </c>
      <c r="O388" s="1" t="s">
        <v>98</v>
      </c>
      <c r="P388" s="1">
        <v>5</v>
      </c>
      <c r="Q388" s="1">
        <v>66</v>
      </c>
      <c r="R388" s="24">
        <v>45471</v>
      </c>
      <c r="S388" s="1" t="s">
        <v>1691</v>
      </c>
      <c r="T388" s="4">
        <f>Table1[[#This Row],[Delivery_Date]]-Table1[[#This Row],[Order_Date]]</f>
        <v>2</v>
      </c>
      <c r="U388" s="4">
        <f>Table1[[#This Row],[Price]]*Table1[[#This Row],[Quantity]]</f>
        <v>372.62</v>
      </c>
      <c r="V388" s="11">
        <f t="shared" si="6"/>
        <v>0.1</v>
      </c>
      <c r="W388" s="4">
        <f>Table1[[#This Row],[Amount]]-(Table1[[#This Row],[Amount]]*Table1[[#This Row],[Discount_Percent]])</f>
        <v>335.358</v>
      </c>
      <c r="X388" s="4">
        <f>IF(O388="DEL0", Table1[[#This Row],[Discounted_Amount]],Table1[[#This Row],[Discounted_Amount]]+Table1[[#This Row],[Delivery_Charge]])</f>
        <v>401.358</v>
      </c>
      <c r="Y388" s="4" t="str">
        <f>Table1[[#This Row],[First_Name]]&amp;" "&amp;Table1[[#This Row],[Last_Name]]</f>
        <v>Anthony Thomas</v>
      </c>
      <c r="Z388" s="4" t="str">
        <f>IF(T:T&gt;Table1[[#This Row],[Estimated_Days_to_Deliver]],"Late",IF(T:T=Table1[[#This Row],[Estimated_Days_to_Deliver]],"Intime","BeforeTime"))</f>
        <v>BeforeTime</v>
      </c>
      <c r="AA388" s="4">
        <f>MONTH(Table1[[#This Row],[Order_Date]])</f>
        <v>6</v>
      </c>
      <c r="AB388" s="13">
        <f>Table1[[#This Row],[Amount]]*Table1[[#This Row],[Discount_Percent]]</f>
        <v>37.262</v>
      </c>
    </row>
    <row r="389" spans="1:28" ht="14.25" customHeight="1">
      <c r="A389" s="1" t="s">
        <v>1617</v>
      </c>
      <c r="B389" s="1" t="s">
        <v>276</v>
      </c>
      <c r="C389" s="1" t="s">
        <v>1618</v>
      </c>
      <c r="D389" s="1">
        <v>62</v>
      </c>
      <c r="E389" s="1" t="s">
        <v>43</v>
      </c>
      <c r="F389" s="1" t="s">
        <v>44</v>
      </c>
      <c r="G389" s="1" t="s">
        <v>1619</v>
      </c>
      <c r="H389" s="1" t="s">
        <v>1620</v>
      </c>
      <c r="I389" s="1" t="s">
        <v>1692</v>
      </c>
      <c r="J389" s="24">
        <v>45116</v>
      </c>
      <c r="K389" s="1" t="s">
        <v>1693</v>
      </c>
      <c r="L389" s="1" t="s">
        <v>97</v>
      </c>
      <c r="M389" s="1">
        <v>363.64</v>
      </c>
      <c r="N389" s="1">
        <v>4</v>
      </c>
      <c r="O389" s="1" t="s">
        <v>65</v>
      </c>
      <c r="P389" s="1">
        <v>5</v>
      </c>
      <c r="Q389" s="1">
        <v>56</v>
      </c>
      <c r="R389" s="24">
        <v>45121</v>
      </c>
      <c r="S389" s="1" t="s">
        <v>1694</v>
      </c>
      <c r="T389" s="4">
        <f>Table1[[#This Row],[Delivery_Date]]-Table1[[#This Row],[Order_Date]]</f>
        <v>5</v>
      </c>
      <c r="U389" s="4">
        <f>Table1[[#This Row],[Price]]*Table1[[#This Row],[Quantity]]</f>
        <v>1454.56</v>
      </c>
      <c r="V389" s="11">
        <f t="shared" si="6"/>
        <v>0</v>
      </c>
      <c r="W389" s="4">
        <f>Table1[[#This Row],[Amount]]-(Table1[[#This Row],[Amount]]*Table1[[#This Row],[Discount_Percent]])</f>
        <v>1454.56</v>
      </c>
      <c r="X389" s="4">
        <f>IF(O389="DEL0", Table1[[#This Row],[Discounted_Amount]],Table1[[#This Row],[Discounted_Amount]]+Table1[[#This Row],[Delivery_Charge]])</f>
        <v>1454.56</v>
      </c>
      <c r="Y389" s="4" t="str">
        <f>Table1[[#This Row],[First_Name]]&amp;" "&amp;Table1[[#This Row],[Last_Name]]</f>
        <v>Lauren Crane</v>
      </c>
      <c r="Z389" s="4" t="str">
        <f>IF(T:T&gt;Table1[[#This Row],[Estimated_Days_to_Deliver]],"Late",IF(T:T=Table1[[#This Row],[Estimated_Days_to_Deliver]],"Intime","BeforeTime"))</f>
        <v>Intime</v>
      </c>
      <c r="AA389" s="4">
        <f>MONTH(Table1[[#This Row],[Order_Date]])</f>
        <v>7</v>
      </c>
      <c r="AB389" s="13">
        <f>Table1[[#This Row],[Amount]]*Table1[[#This Row],[Discount_Percent]]</f>
        <v>0</v>
      </c>
    </row>
    <row r="390" spans="1:28" ht="14.25" customHeight="1">
      <c r="A390" s="1" t="s">
        <v>239</v>
      </c>
      <c r="B390" s="1" t="s">
        <v>68</v>
      </c>
      <c r="C390" s="1" t="s">
        <v>240</v>
      </c>
      <c r="D390" s="1">
        <v>52</v>
      </c>
      <c r="E390" s="1" t="s">
        <v>54</v>
      </c>
      <c r="F390" s="1" t="s">
        <v>44</v>
      </c>
      <c r="G390" s="1" t="s">
        <v>241</v>
      </c>
      <c r="H390" s="1" t="s">
        <v>242</v>
      </c>
      <c r="I390" s="1" t="s">
        <v>1695</v>
      </c>
      <c r="J390" s="24">
        <v>45397</v>
      </c>
      <c r="K390" s="1" t="s">
        <v>1696</v>
      </c>
      <c r="L390" s="1" t="s">
        <v>476</v>
      </c>
      <c r="M390" s="1">
        <v>286.07</v>
      </c>
      <c r="N390" s="1">
        <v>5</v>
      </c>
      <c r="O390" s="1" t="s">
        <v>65</v>
      </c>
      <c r="P390" s="1">
        <v>5</v>
      </c>
      <c r="Q390" s="1">
        <v>41</v>
      </c>
      <c r="R390" s="24">
        <v>45404</v>
      </c>
      <c r="S390" s="1" t="s">
        <v>1697</v>
      </c>
      <c r="T390" s="4">
        <f>Table1[[#This Row],[Delivery_Date]]-Table1[[#This Row],[Order_Date]]</f>
        <v>7</v>
      </c>
      <c r="U390" s="4">
        <f>Table1[[#This Row],[Price]]*Table1[[#This Row],[Quantity]]</f>
        <v>1430.35</v>
      </c>
      <c r="V390" s="11">
        <f t="shared" si="6"/>
        <v>0</v>
      </c>
      <c r="W390" s="4">
        <f>Table1[[#This Row],[Amount]]-(Table1[[#This Row],[Amount]]*Table1[[#This Row],[Discount_Percent]])</f>
        <v>1430.35</v>
      </c>
      <c r="X390" s="4">
        <f>IF(O390="DEL0", Table1[[#This Row],[Discounted_Amount]],Table1[[#This Row],[Discounted_Amount]]+Table1[[#This Row],[Delivery_Charge]])</f>
        <v>1430.35</v>
      </c>
      <c r="Y390" s="4" t="str">
        <f>Table1[[#This Row],[First_Name]]&amp;" "&amp;Table1[[#This Row],[Last_Name]]</f>
        <v>Angela Evans</v>
      </c>
      <c r="Z390" s="4" t="str">
        <f>IF(T:T&gt;Table1[[#This Row],[Estimated_Days_to_Deliver]],"Late",IF(T:T=Table1[[#This Row],[Estimated_Days_to_Deliver]],"Intime","BeforeTime"))</f>
        <v>Late</v>
      </c>
      <c r="AA390" s="4">
        <f>MONTH(Table1[[#This Row],[Order_Date]])</f>
        <v>4</v>
      </c>
      <c r="AB390" s="13">
        <f>Table1[[#This Row],[Amount]]*Table1[[#This Row],[Discount_Percent]]</f>
        <v>0</v>
      </c>
    </row>
    <row r="391" spans="1:28" ht="14.25" customHeight="1">
      <c r="A391" s="1" t="s">
        <v>549</v>
      </c>
      <c r="B391" s="1" t="s">
        <v>550</v>
      </c>
      <c r="C391" s="1" t="s">
        <v>551</v>
      </c>
      <c r="D391" s="1">
        <v>33</v>
      </c>
      <c r="E391" s="1" t="s">
        <v>54</v>
      </c>
      <c r="F391" s="1" t="s">
        <v>170</v>
      </c>
      <c r="G391" s="1" t="s">
        <v>552</v>
      </c>
      <c r="H391" s="1" t="s">
        <v>553</v>
      </c>
      <c r="I391" s="1" t="s">
        <v>1698</v>
      </c>
      <c r="J391" s="24">
        <v>45302</v>
      </c>
      <c r="K391" s="1" t="s">
        <v>1699</v>
      </c>
      <c r="L391" s="1" t="s">
        <v>249</v>
      </c>
      <c r="M391" s="1">
        <v>282.63</v>
      </c>
      <c r="N391" s="1">
        <v>3</v>
      </c>
      <c r="O391" s="1" t="s">
        <v>65</v>
      </c>
      <c r="P391" s="1">
        <v>5</v>
      </c>
      <c r="Q391" s="1">
        <v>66</v>
      </c>
      <c r="R391" s="24">
        <v>45307</v>
      </c>
      <c r="S391" s="1" t="s">
        <v>747</v>
      </c>
      <c r="T391" s="4">
        <f>Table1[[#This Row],[Delivery_Date]]-Table1[[#This Row],[Order_Date]]</f>
        <v>5</v>
      </c>
      <c r="U391" s="4">
        <f>Table1[[#This Row],[Price]]*Table1[[#This Row],[Quantity]]</f>
        <v>847.89</v>
      </c>
      <c r="V391" s="11">
        <f t="shared" si="6"/>
        <v>0</v>
      </c>
      <c r="W391" s="4">
        <f>Table1[[#This Row],[Amount]]-(Table1[[#This Row],[Amount]]*Table1[[#This Row],[Discount_Percent]])</f>
        <v>847.89</v>
      </c>
      <c r="X391" s="4">
        <f>IF(O391="DEL0", Table1[[#This Row],[Discounted_Amount]],Table1[[#This Row],[Discounted_Amount]]+Table1[[#This Row],[Delivery_Charge]])</f>
        <v>847.89</v>
      </c>
      <c r="Y391" s="4" t="str">
        <f>Table1[[#This Row],[First_Name]]&amp;" "&amp;Table1[[#This Row],[Last_Name]]</f>
        <v>Jodi Whitney</v>
      </c>
      <c r="Z391" s="4" t="str">
        <f>IF(T:T&gt;Table1[[#This Row],[Estimated_Days_to_Deliver]],"Late",IF(T:T=Table1[[#This Row],[Estimated_Days_to_Deliver]],"Intime","BeforeTime"))</f>
        <v>Intime</v>
      </c>
      <c r="AA391" s="4">
        <f>MONTH(Table1[[#This Row],[Order_Date]])</f>
        <v>1</v>
      </c>
      <c r="AB391" s="13">
        <f>Table1[[#This Row],[Amount]]*Table1[[#This Row],[Discount_Percent]]</f>
        <v>0</v>
      </c>
    </row>
    <row r="392" spans="1:28" ht="14.25" customHeight="1">
      <c r="A392" s="1" t="s">
        <v>1460</v>
      </c>
      <c r="B392" s="1" t="s">
        <v>276</v>
      </c>
      <c r="C392" s="1" t="s">
        <v>1461</v>
      </c>
      <c r="D392" s="1">
        <v>30</v>
      </c>
      <c r="E392" s="1" t="s">
        <v>31</v>
      </c>
      <c r="F392" s="1" t="s">
        <v>223</v>
      </c>
      <c r="G392" s="1" t="s">
        <v>1462</v>
      </c>
      <c r="H392" s="1" t="s">
        <v>1463</v>
      </c>
      <c r="I392" s="1" t="s">
        <v>1700</v>
      </c>
      <c r="J392" s="24">
        <v>45361</v>
      </c>
      <c r="K392" s="1" t="s">
        <v>1701</v>
      </c>
      <c r="L392" s="1" t="s">
        <v>347</v>
      </c>
      <c r="M392" s="1">
        <v>372.62</v>
      </c>
      <c r="N392" s="1">
        <v>5</v>
      </c>
      <c r="O392" s="1" t="s">
        <v>38</v>
      </c>
      <c r="P392" s="1">
        <v>5</v>
      </c>
      <c r="Q392" s="1">
        <v>66</v>
      </c>
      <c r="R392" s="24">
        <v>45364</v>
      </c>
      <c r="S392" s="1" t="s">
        <v>1702</v>
      </c>
      <c r="T392" s="4">
        <f>Table1[[#This Row],[Delivery_Date]]-Table1[[#This Row],[Order_Date]]</f>
        <v>3</v>
      </c>
      <c r="U392" s="4">
        <f>Table1[[#This Row],[Price]]*Table1[[#This Row],[Quantity]]</f>
        <v>1863.1</v>
      </c>
      <c r="V392" s="11">
        <f t="shared" si="6"/>
        <v>0.08</v>
      </c>
      <c r="W392" s="4">
        <f>Table1[[#This Row],[Amount]]-(Table1[[#This Row],[Amount]]*Table1[[#This Row],[Discount_Percent]])</f>
        <v>1714.0519999999999</v>
      </c>
      <c r="X392" s="4">
        <f>IF(O392="DEL0", Table1[[#This Row],[Discounted_Amount]],Table1[[#This Row],[Discounted_Amount]]+Table1[[#This Row],[Delivery_Charge]])</f>
        <v>1780.0519999999999</v>
      </c>
      <c r="Y392" s="4" t="str">
        <f>Table1[[#This Row],[First_Name]]&amp;" "&amp;Table1[[#This Row],[Last_Name]]</f>
        <v>Lauren Lane</v>
      </c>
      <c r="Z392" s="4" t="str">
        <f>IF(T:T&gt;Table1[[#This Row],[Estimated_Days_to_Deliver]],"Late",IF(T:T=Table1[[#This Row],[Estimated_Days_to_Deliver]],"Intime","BeforeTime"))</f>
        <v>BeforeTime</v>
      </c>
      <c r="AA392" s="4">
        <f>MONTH(Table1[[#This Row],[Order_Date]])</f>
        <v>3</v>
      </c>
      <c r="AB392" s="13">
        <f>Table1[[#This Row],[Amount]]*Table1[[#This Row],[Discount_Percent]]</f>
        <v>149.048</v>
      </c>
    </row>
    <row r="393" spans="1:28" ht="14.25" customHeight="1">
      <c r="A393" s="1" t="s">
        <v>178</v>
      </c>
      <c r="B393" s="1" t="s">
        <v>179</v>
      </c>
      <c r="C393" s="1" t="s">
        <v>180</v>
      </c>
      <c r="D393" s="1">
        <v>36</v>
      </c>
      <c r="E393" s="1" t="s">
        <v>54</v>
      </c>
      <c r="F393" s="1" t="s">
        <v>142</v>
      </c>
      <c r="G393" s="1" t="s">
        <v>181</v>
      </c>
      <c r="H393" s="1" t="s">
        <v>182</v>
      </c>
      <c r="I393" s="1" t="s">
        <v>1703</v>
      </c>
      <c r="J393" s="24">
        <v>45091</v>
      </c>
      <c r="K393" s="1" t="s">
        <v>1704</v>
      </c>
      <c r="L393" s="1" t="s">
        <v>689</v>
      </c>
      <c r="M393" s="1">
        <v>424.82</v>
      </c>
      <c r="N393" s="1">
        <v>4</v>
      </c>
      <c r="O393" s="1" t="s">
        <v>98</v>
      </c>
      <c r="P393" s="1">
        <v>5</v>
      </c>
      <c r="Q393" s="1">
        <v>58</v>
      </c>
      <c r="R393" s="24">
        <v>45098</v>
      </c>
      <c r="S393" s="1" t="s">
        <v>1705</v>
      </c>
      <c r="T393" s="4">
        <f>Table1[[#This Row],[Delivery_Date]]-Table1[[#This Row],[Order_Date]]</f>
        <v>7</v>
      </c>
      <c r="U393" s="4">
        <f>Table1[[#This Row],[Price]]*Table1[[#This Row],[Quantity]]</f>
        <v>1699.28</v>
      </c>
      <c r="V393" s="11">
        <f t="shared" si="6"/>
        <v>0.1</v>
      </c>
      <c r="W393" s="4">
        <f>Table1[[#This Row],[Amount]]-(Table1[[#This Row],[Amount]]*Table1[[#This Row],[Discount_Percent]])</f>
        <v>1529.3519999999999</v>
      </c>
      <c r="X393" s="4">
        <f>IF(O393="DEL0", Table1[[#This Row],[Discounted_Amount]],Table1[[#This Row],[Discounted_Amount]]+Table1[[#This Row],[Delivery_Charge]])</f>
        <v>1587.3519999999999</v>
      </c>
      <c r="Y393" s="4" t="str">
        <f>Table1[[#This Row],[First_Name]]&amp;" "&amp;Table1[[#This Row],[Last_Name]]</f>
        <v>Gina Moreno</v>
      </c>
      <c r="Z393" s="4" t="str">
        <f>IF(T:T&gt;Table1[[#This Row],[Estimated_Days_to_Deliver]],"Late",IF(T:T=Table1[[#This Row],[Estimated_Days_to_Deliver]],"Intime","BeforeTime"))</f>
        <v>Late</v>
      </c>
      <c r="AA393" s="4">
        <f>MONTH(Table1[[#This Row],[Order_Date]])</f>
        <v>6</v>
      </c>
      <c r="AB393" s="13">
        <f>Table1[[#This Row],[Amount]]*Table1[[#This Row],[Discount_Percent]]</f>
        <v>169.928</v>
      </c>
    </row>
    <row r="394" spans="1:28" ht="14.25" customHeight="1">
      <c r="A394" s="1" t="s">
        <v>404</v>
      </c>
      <c r="B394" s="1" t="s">
        <v>405</v>
      </c>
      <c r="C394" s="1" t="s">
        <v>406</v>
      </c>
      <c r="D394" s="1">
        <v>70</v>
      </c>
      <c r="E394" s="1" t="s">
        <v>31</v>
      </c>
      <c r="F394" s="1" t="s">
        <v>32</v>
      </c>
      <c r="G394" s="1" t="s">
        <v>407</v>
      </c>
      <c r="H394" s="1" t="s">
        <v>408</v>
      </c>
      <c r="I394" s="1" t="s">
        <v>1706</v>
      </c>
      <c r="J394" s="24">
        <v>45172</v>
      </c>
      <c r="K394" s="1" t="s">
        <v>1707</v>
      </c>
      <c r="L394" s="1" t="s">
        <v>498</v>
      </c>
      <c r="M394" s="1">
        <v>421.7</v>
      </c>
      <c r="N394" s="1">
        <v>3</v>
      </c>
      <c r="O394" s="1" t="s">
        <v>65</v>
      </c>
      <c r="P394" s="1">
        <v>5</v>
      </c>
      <c r="Q394" s="1">
        <v>56</v>
      </c>
      <c r="R394" s="24">
        <v>45177</v>
      </c>
      <c r="S394" s="1" t="s">
        <v>1708</v>
      </c>
      <c r="T394" s="4">
        <f>Table1[[#This Row],[Delivery_Date]]-Table1[[#This Row],[Order_Date]]</f>
        <v>5</v>
      </c>
      <c r="U394" s="4">
        <f>Table1[[#This Row],[Price]]*Table1[[#This Row],[Quantity]]</f>
        <v>1265.0999999999999</v>
      </c>
      <c r="V394" s="11">
        <f t="shared" si="6"/>
        <v>0</v>
      </c>
      <c r="W394" s="4">
        <f>Table1[[#This Row],[Amount]]-(Table1[[#This Row],[Amount]]*Table1[[#This Row],[Discount_Percent]])</f>
        <v>1265.0999999999999</v>
      </c>
      <c r="X394" s="4">
        <f>IF(O394="DEL0", Table1[[#This Row],[Discounted_Amount]],Table1[[#This Row],[Discounted_Amount]]+Table1[[#This Row],[Delivery_Charge]])</f>
        <v>1265.0999999999999</v>
      </c>
      <c r="Y394" s="4" t="str">
        <f>Table1[[#This Row],[First_Name]]&amp;" "&amp;Table1[[#This Row],[Last_Name]]</f>
        <v>Alexandra Smith</v>
      </c>
      <c r="Z394" s="4" t="str">
        <f>IF(T:T&gt;Table1[[#This Row],[Estimated_Days_to_Deliver]],"Late",IF(T:T=Table1[[#This Row],[Estimated_Days_to_Deliver]],"Intime","BeforeTime"))</f>
        <v>Intime</v>
      </c>
      <c r="AA394" s="4">
        <f>MONTH(Table1[[#This Row],[Order_Date]])</f>
        <v>9</v>
      </c>
      <c r="AB394" s="13">
        <f>Table1[[#This Row],[Amount]]*Table1[[#This Row],[Discount_Percent]]</f>
        <v>0</v>
      </c>
    </row>
    <row r="395" spans="1:28" ht="14.25" customHeight="1">
      <c r="A395" s="1" t="s">
        <v>719</v>
      </c>
      <c r="B395" s="1" t="s">
        <v>720</v>
      </c>
      <c r="C395" s="1" t="s">
        <v>721</v>
      </c>
      <c r="D395" s="1">
        <v>32</v>
      </c>
      <c r="E395" s="1" t="s">
        <v>43</v>
      </c>
      <c r="F395" s="1" t="s">
        <v>32</v>
      </c>
      <c r="G395" s="1" t="s">
        <v>722</v>
      </c>
      <c r="H395" s="1" t="s">
        <v>723</v>
      </c>
      <c r="I395" s="1" t="s">
        <v>1709</v>
      </c>
      <c r="J395" s="24">
        <v>45343</v>
      </c>
      <c r="K395" s="1" t="s">
        <v>1710</v>
      </c>
      <c r="L395" s="1" t="s">
        <v>874</v>
      </c>
      <c r="M395" s="1">
        <v>292.14999999999998</v>
      </c>
      <c r="N395" s="1">
        <v>2</v>
      </c>
      <c r="O395" s="1" t="s">
        <v>60</v>
      </c>
      <c r="P395" s="1">
        <v>5</v>
      </c>
      <c r="Q395" s="1">
        <v>60</v>
      </c>
      <c r="R395" s="24">
        <v>45348</v>
      </c>
      <c r="S395" s="1" t="s">
        <v>1711</v>
      </c>
      <c r="T395" s="4">
        <f>Table1[[#This Row],[Delivery_Date]]-Table1[[#This Row],[Order_Date]]</f>
        <v>5</v>
      </c>
      <c r="U395" s="4">
        <f>Table1[[#This Row],[Price]]*Table1[[#This Row],[Quantity]]</f>
        <v>584.29999999999995</v>
      </c>
      <c r="V395" s="11">
        <f t="shared" si="6"/>
        <v>0.15</v>
      </c>
      <c r="W395" s="4">
        <f>Table1[[#This Row],[Amount]]-(Table1[[#This Row],[Amount]]*Table1[[#This Row],[Discount_Percent]])</f>
        <v>496.65499999999997</v>
      </c>
      <c r="X395" s="4">
        <f>IF(O395="DEL0", Table1[[#This Row],[Discounted_Amount]],Table1[[#This Row],[Discounted_Amount]]+Table1[[#This Row],[Delivery_Charge]])</f>
        <v>556.65499999999997</v>
      </c>
      <c r="Y395" s="4" t="str">
        <f>Table1[[#This Row],[First_Name]]&amp;" "&amp;Table1[[#This Row],[Last_Name]]</f>
        <v>Bruce Allen</v>
      </c>
      <c r="Z395" s="4" t="str">
        <f>IF(T:T&gt;Table1[[#This Row],[Estimated_Days_to_Deliver]],"Late",IF(T:T=Table1[[#This Row],[Estimated_Days_to_Deliver]],"Intime","BeforeTime"))</f>
        <v>Intime</v>
      </c>
      <c r="AA395" s="4">
        <f>MONTH(Table1[[#This Row],[Order_Date]])</f>
        <v>2</v>
      </c>
      <c r="AB395" s="13">
        <f>Table1[[#This Row],[Amount]]*Table1[[#This Row],[Discount_Percent]]</f>
        <v>87.644999999999996</v>
      </c>
    </row>
    <row r="396" spans="1:28" ht="14.25" customHeight="1">
      <c r="A396" s="1" t="s">
        <v>220</v>
      </c>
      <c r="B396" s="1" t="s">
        <v>221</v>
      </c>
      <c r="C396" s="1" t="s">
        <v>222</v>
      </c>
      <c r="D396" s="1">
        <v>33</v>
      </c>
      <c r="E396" s="1" t="s">
        <v>54</v>
      </c>
      <c r="F396" s="1" t="s">
        <v>223</v>
      </c>
      <c r="G396" s="1" t="s">
        <v>224</v>
      </c>
      <c r="H396" s="1" t="s">
        <v>225</v>
      </c>
      <c r="I396" s="1" t="s">
        <v>1712</v>
      </c>
      <c r="J396" s="24">
        <v>45657</v>
      </c>
      <c r="K396" s="1" t="s">
        <v>1713</v>
      </c>
      <c r="L396" s="1" t="s">
        <v>347</v>
      </c>
      <c r="M396" s="1">
        <v>372.62</v>
      </c>
      <c r="N396" s="1">
        <v>1</v>
      </c>
      <c r="O396" s="1" t="s">
        <v>60</v>
      </c>
      <c r="P396" s="1">
        <v>5</v>
      </c>
      <c r="Q396" s="1">
        <v>50</v>
      </c>
      <c r="R396" s="24">
        <v>45661</v>
      </c>
      <c r="S396" s="1" t="s">
        <v>1714</v>
      </c>
      <c r="T396" s="4">
        <f>Table1[[#This Row],[Delivery_Date]]-Table1[[#This Row],[Order_Date]]</f>
        <v>4</v>
      </c>
      <c r="U396" s="4">
        <f>Table1[[#This Row],[Price]]*Table1[[#This Row],[Quantity]]</f>
        <v>372.62</v>
      </c>
      <c r="V396" s="11">
        <f t="shared" si="6"/>
        <v>0.15</v>
      </c>
      <c r="W396" s="4">
        <f>Table1[[#This Row],[Amount]]-(Table1[[#This Row],[Amount]]*Table1[[#This Row],[Discount_Percent]])</f>
        <v>316.72699999999998</v>
      </c>
      <c r="X396" s="4">
        <f>IF(O396="DEL0", Table1[[#This Row],[Discounted_Amount]],Table1[[#This Row],[Discounted_Amount]]+Table1[[#This Row],[Delivery_Charge]])</f>
        <v>366.72699999999998</v>
      </c>
      <c r="Y396" s="4" t="str">
        <f>Table1[[#This Row],[First_Name]]&amp;" "&amp;Table1[[#This Row],[Last_Name]]</f>
        <v>Mark Henderson</v>
      </c>
      <c r="Z396" s="4" t="str">
        <f>IF(T:T&gt;Table1[[#This Row],[Estimated_Days_to_Deliver]],"Late",IF(T:T=Table1[[#This Row],[Estimated_Days_to_Deliver]],"Intime","BeforeTime"))</f>
        <v>BeforeTime</v>
      </c>
      <c r="AA396" s="4">
        <f>MONTH(Table1[[#This Row],[Order_Date]])</f>
        <v>12</v>
      </c>
      <c r="AB396" s="13">
        <f>Table1[[#This Row],[Amount]]*Table1[[#This Row],[Discount_Percent]]</f>
        <v>55.893000000000001</v>
      </c>
    </row>
    <row r="397" spans="1:28" ht="14.25" customHeight="1">
      <c r="A397" s="1" t="s">
        <v>1617</v>
      </c>
      <c r="B397" s="1" t="s">
        <v>276</v>
      </c>
      <c r="C397" s="1" t="s">
        <v>1618</v>
      </c>
      <c r="D397" s="1">
        <v>62</v>
      </c>
      <c r="E397" s="1" t="s">
        <v>43</v>
      </c>
      <c r="F397" s="1" t="s">
        <v>44</v>
      </c>
      <c r="G397" s="1" t="s">
        <v>1619</v>
      </c>
      <c r="H397" s="1" t="s">
        <v>1620</v>
      </c>
      <c r="I397" s="1" t="s">
        <v>1715</v>
      </c>
      <c r="J397" s="24">
        <v>45340</v>
      </c>
      <c r="K397" s="1" t="s">
        <v>1716</v>
      </c>
      <c r="L397" s="1" t="s">
        <v>116</v>
      </c>
      <c r="M397" s="1">
        <v>48.45</v>
      </c>
      <c r="N397" s="1">
        <v>3</v>
      </c>
      <c r="O397" s="1" t="s">
        <v>60</v>
      </c>
      <c r="P397" s="1">
        <v>5</v>
      </c>
      <c r="Q397" s="1">
        <v>42</v>
      </c>
      <c r="R397" s="24">
        <v>45347</v>
      </c>
      <c r="S397" s="1" t="s">
        <v>1717</v>
      </c>
      <c r="T397" s="4">
        <f>Table1[[#This Row],[Delivery_Date]]-Table1[[#This Row],[Order_Date]]</f>
        <v>7</v>
      </c>
      <c r="U397" s="4">
        <f>Table1[[#This Row],[Price]]*Table1[[#This Row],[Quantity]]</f>
        <v>145.35000000000002</v>
      </c>
      <c r="V397" s="11">
        <f t="shared" si="6"/>
        <v>0.15</v>
      </c>
      <c r="W397" s="4">
        <f>Table1[[#This Row],[Amount]]-(Table1[[#This Row],[Amount]]*Table1[[#This Row],[Discount_Percent]])</f>
        <v>123.54750000000001</v>
      </c>
      <c r="X397" s="4">
        <f>IF(O397="DEL0", Table1[[#This Row],[Discounted_Amount]],Table1[[#This Row],[Discounted_Amount]]+Table1[[#This Row],[Delivery_Charge]])</f>
        <v>165.54750000000001</v>
      </c>
      <c r="Y397" s="4" t="str">
        <f>Table1[[#This Row],[First_Name]]&amp;" "&amp;Table1[[#This Row],[Last_Name]]</f>
        <v>Lauren Crane</v>
      </c>
      <c r="Z397" s="4" t="str">
        <f>IF(T:T&gt;Table1[[#This Row],[Estimated_Days_to_Deliver]],"Late",IF(T:T=Table1[[#This Row],[Estimated_Days_to_Deliver]],"Intime","BeforeTime"))</f>
        <v>Late</v>
      </c>
      <c r="AA397" s="4">
        <f>MONTH(Table1[[#This Row],[Order_Date]])</f>
        <v>2</v>
      </c>
      <c r="AB397" s="13">
        <f>Table1[[#This Row],[Amount]]*Table1[[#This Row],[Discount_Percent]]</f>
        <v>21.802500000000002</v>
      </c>
    </row>
    <row r="398" spans="1:28" ht="14.25" customHeight="1">
      <c r="A398" s="1" t="s">
        <v>674</v>
      </c>
      <c r="B398" s="1" t="s">
        <v>675</v>
      </c>
      <c r="C398" s="1" t="s">
        <v>676</v>
      </c>
      <c r="D398" s="1">
        <v>38</v>
      </c>
      <c r="E398" s="1" t="s">
        <v>43</v>
      </c>
      <c r="F398" s="1" t="s">
        <v>223</v>
      </c>
      <c r="G398" s="1" t="s">
        <v>677</v>
      </c>
      <c r="H398" s="1" t="s">
        <v>678</v>
      </c>
      <c r="I398" s="1" t="s">
        <v>1718</v>
      </c>
      <c r="J398" s="24">
        <v>45312</v>
      </c>
      <c r="K398" s="1" t="s">
        <v>1719</v>
      </c>
      <c r="L398" s="1" t="s">
        <v>147</v>
      </c>
      <c r="M398" s="1">
        <v>190.1</v>
      </c>
      <c r="N398" s="1">
        <v>3</v>
      </c>
      <c r="O398" s="1" t="s">
        <v>98</v>
      </c>
      <c r="P398" s="1">
        <v>5</v>
      </c>
      <c r="Q398" s="1">
        <v>41</v>
      </c>
      <c r="R398" s="24">
        <v>45315</v>
      </c>
      <c r="S398" s="1" t="s">
        <v>1720</v>
      </c>
      <c r="T398" s="4">
        <f>Table1[[#This Row],[Delivery_Date]]-Table1[[#This Row],[Order_Date]]</f>
        <v>3</v>
      </c>
      <c r="U398" s="4">
        <f>Table1[[#This Row],[Price]]*Table1[[#This Row],[Quantity]]</f>
        <v>570.29999999999995</v>
      </c>
      <c r="V398" s="11">
        <f t="shared" si="6"/>
        <v>0.1</v>
      </c>
      <c r="W398" s="4">
        <f>Table1[[#This Row],[Amount]]-(Table1[[#This Row],[Amount]]*Table1[[#This Row],[Discount_Percent]])</f>
        <v>513.27</v>
      </c>
      <c r="X398" s="4">
        <f>IF(O398="DEL0", Table1[[#This Row],[Discounted_Amount]],Table1[[#This Row],[Discounted_Amount]]+Table1[[#This Row],[Delivery_Charge]])</f>
        <v>554.27</v>
      </c>
      <c r="Y398" s="4" t="str">
        <f>Table1[[#This Row],[First_Name]]&amp;" "&amp;Table1[[#This Row],[Last_Name]]</f>
        <v>Christy Chang</v>
      </c>
      <c r="Z398" s="4" t="str">
        <f>IF(T:T&gt;Table1[[#This Row],[Estimated_Days_to_Deliver]],"Late",IF(T:T=Table1[[#This Row],[Estimated_Days_to_Deliver]],"Intime","BeforeTime"))</f>
        <v>BeforeTime</v>
      </c>
      <c r="AA398" s="4">
        <f>MONTH(Table1[[#This Row],[Order_Date]])</f>
        <v>1</v>
      </c>
      <c r="AB398" s="13">
        <f>Table1[[#This Row],[Amount]]*Table1[[#This Row],[Discount_Percent]]</f>
        <v>57.03</v>
      </c>
    </row>
    <row r="399" spans="1:28" ht="14.25" customHeight="1">
      <c r="A399" s="1" t="s">
        <v>1617</v>
      </c>
      <c r="B399" s="1" t="s">
        <v>276</v>
      </c>
      <c r="C399" s="1" t="s">
        <v>1618</v>
      </c>
      <c r="D399" s="1">
        <v>62</v>
      </c>
      <c r="E399" s="1" t="s">
        <v>43</v>
      </c>
      <c r="F399" s="1" t="s">
        <v>44</v>
      </c>
      <c r="G399" s="1" t="s">
        <v>1619</v>
      </c>
      <c r="H399" s="1" t="s">
        <v>1620</v>
      </c>
      <c r="I399" s="1" t="s">
        <v>1721</v>
      </c>
      <c r="J399" s="24">
        <v>45344</v>
      </c>
      <c r="K399" s="1" t="s">
        <v>1722</v>
      </c>
      <c r="L399" s="1" t="s">
        <v>228</v>
      </c>
      <c r="M399" s="1">
        <v>461.07</v>
      </c>
      <c r="N399" s="1">
        <v>4</v>
      </c>
      <c r="O399" s="1" t="s">
        <v>60</v>
      </c>
      <c r="P399" s="1">
        <v>5</v>
      </c>
      <c r="Q399" s="1">
        <v>66</v>
      </c>
      <c r="R399" s="24">
        <v>45346</v>
      </c>
      <c r="S399" s="1" t="s">
        <v>1723</v>
      </c>
      <c r="T399" s="4">
        <f>Table1[[#This Row],[Delivery_Date]]-Table1[[#This Row],[Order_Date]]</f>
        <v>2</v>
      </c>
      <c r="U399" s="4">
        <f>Table1[[#This Row],[Price]]*Table1[[#This Row],[Quantity]]</f>
        <v>1844.28</v>
      </c>
      <c r="V399" s="11">
        <f t="shared" si="6"/>
        <v>0.15</v>
      </c>
      <c r="W399" s="4">
        <f>Table1[[#This Row],[Amount]]-(Table1[[#This Row],[Amount]]*Table1[[#This Row],[Discount_Percent]])</f>
        <v>1567.6379999999999</v>
      </c>
      <c r="X399" s="4">
        <f>IF(O399="DEL0", Table1[[#This Row],[Discounted_Amount]],Table1[[#This Row],[Discounted_Amount]]+Table1[[#This Row],[Delivery_Charge]])</f>
        <v>1633.6379999999999</v>
      </c>
      <c r="Y399" s="4" t="str">
        <f>Table1[[#This Row],[First_Name]]&amp;" "&amp;Table1[[#This Row],[Last_Name]]</f>
        <v>Lauren Crane</v>
      </c>
      <c r="Z399" s="4" t="str">
        <f>IF(T:T&gt;Table1[[#This Row],[Estimated_Days_to_Deliver]],"Late",IF(T:T=Table1[[#This Row],[Estimated_Days_to_Deliver]],"Intime","BeforeTime"))</f>
        <v>BeforeTime</v>
      </c>
      <c r="AA399" s="4">
        <f>MONTH(Table1[[#This Row],[Order_Date]])</f>
        <v>2</v>
      </c>
      <c r="AB399" s="13">
        <f>Table1[[#This Row],[Amount]]*Table1[[#This Row],[Discount_Percent]]</f>
        <v>276.642</v>
      </c>
    </row>
    <row r="400" spans="1:28" ht="14.25" customHeight="1">
      <c r="A400" s="1" t="s">
        <v>328</v>
      </c>
      <c r="B400" s="1" t="s">
        <v>329</v>
      </c>
      <c r="C400" s="1" t="s">
        <v>330</v>
      </c>
      <c r="D400" s="1">
        <v>29</v>
      </c>
      <c r="E400" s="1" t="s">
        <v>54</v>
      </c>
      <c r="F400" s="1" t="s">
        <v>92</v>
      </c>
      <c r="G400" s="1" t="s">
        <v>331</v>
      </c>
      <c r="H400" s="1" t="s">
        <v>332</v>
      </c>
      <c r="I400" s="1" t="s">
        <v>1724</v>
      </c>
      <c r="J400" s="24">
        <v>45295</v>
      </c>
      <c r="K400" s="1" t="s">
        <v>1725</v>
      </c>
      <c r="L400" s="1" t="s">
        <v>290</v>
      </c>
      <c r="M400" s="1">
        <v>157.63999999999999</v>
      </c>
      <c r="N400" s="1">
        <v>5</v>
      </c>
      <c r="O400" s="1" t="s">
        <v>38</v>
      </c>
      <c r="P400" s="1">
        <v>5</v>
      </c>
      <c r="Q400" s="1">
        <v>46</v>
      </c>
      <c r="R400" s="24">
        <v>45301</v>
      </c>
      <c r="S400" s="1" t="s">
        <v>1726</v>
      </c>
      <c r="T400" s="4">
        <f>Table1[[#This Row],[Delivery_Date]]-Table1[[#This Row],[Order_Date]]</f>
        <v>6</v>
      </c>
      <c r="U400" s="4">
        <f>Table1[[#This Row],[Price]]*Table1[[#This Row],[Quantity]]</f>
        <v>788.19999999999993</v>
      </c>
      <c r="V400" s="11">
        <f t="shared" si="6"/>
        <v>0.08</v>
      </c>
      <c r="W400" s="4">
        <f>Table1[[#This Row],[Amount]]-(Table1[[#This Row],[Amount]]*Table1[[#This Row],[Discount_Percent]])</f>
        <v>725.14399999999989</v>
      </c>
      <c r="X400" s="4">
        <f>IF(O400="DEL0", Table1[[#This Row],[Discounted_Amount]],Table1[[#This Row],[Discounted_Amount]]+Table1[[#This Row],[Delivery_Charge]])</f>
        <v>771.14399999999989</v>
      </c>
      <c r="Y400" s="4" t="str">
        <f>Table1[[#This Row],[First_Name]]&amp;" "&amp;Table1[[#This Row],[Last_Name]]</f>
        <v>Courtney Parker</v>
      </c>
      <c r="Z400" s="4" t="str">
        <f>IF(T:T&gt;Table1[[#This Row],[Estimated_Days_to_Deliver]],"Late",IF(T:T=Table1[[#This Row],[Estimated_Days_to_Deliver]],"Intime","BeforeTime"))</f>
        <v>Late</v>
      </c>
      <c r="AA400" s="4">
        <f>MONTH(Table1[[#This Row],[Order_Date]])</f>
        <v>1</v>
      </c>
      <c r="AB400" s="13">
        <f>Table1[[#This Row],[Amount]]*Table1[[#This Row],[Discount_Percent]]</f>
        <v>63.055999999999997</v>
      </c>
    </row>
    <row r="401" spans="1:28" ht="14.25" customHeight="1">
      <c r="A401" s="1" t="s">
        <v>204</v>
      </c>
      <c r="B401" s="1" t="s">
        <v>205</v>
      </c>
      <c r="C401" s="1" t="s">
        <v>206</v>
      </c>
      <c r="D401" s="1">
        <v>23</v>
      </c>
      <c r="E401" s="1" t="s">
        <v>31</v>
      </c>
      <c r="F401" s="1" t="s">
        <v>92</v>
      </c>
      <c r="G401" s="1" t="s">
        <v>207</v>
      </c>
      <c r="H401" s="1" t="s">
        <v>208</v>
      </c>
      <c r="I401" s="1" t="s">
        <v>1727</v>
      </c>
      <c r="J401" s="24">
        <v>45477</v>
      </c>
      <c r="K401" s="1" t="s">
        <v>1728</v>
      </c>
      <c r="L401" s="1" t="s">
        <v>640</v>
      </c>
      <c r="M401" s="1">
        <v>445.81</v>
      </c>
      <c r="N401" s="1">
        <v>3</v>
      </c>
      <c r="O401" s="1" t="s">
        <v>38</v>
      </c>
      <c r="P401" s="1">
        <v>5</v>
      </c>
      <c r="Q401" s="1">
        <v>37</v>
      </c>
      <c r="R401" s="24">
        <v>45478</v>
      </c>
      <c r="S401" s="1" t="s">
        <v>1729</v>
      </c>
      <c r="T401" s="4">
        <f>Table1[[#This Row],[Delivery_Date]]-Table1[[#This Row],[Order_Date]]</f>
        <v>1</v>
      </c>
      <c r="U401" s="4">
        <f>Table1[[#This Row],[Price]]*Table1[[#This Row],[Quantity]]</f>
        <v>1337.43</v>
      </c>
      <c r="V401" s="11">
        <f t="shared" si="6"/>
        <v>0.08</v>
      </c>
      <c r="W401" s="4">
        <f>Table1[[#This Row],[Amount]]-(Table1[[#This Row],[Amount]]*Table1[[#This Row],[Discount_Percent]])</f>
        <v>1230.4356</v>
      </c>
      <c r="X401" s="4">
        <f>IF(O401="DEL0", Table1[[#This Row],[Discounted_Amount]],Table1[[#This Row],[Discounted_Amount]]+Table1[[#This Row],[Delivery_Charge]])</f>
        <v>1267.4356</v>
      </c>
      <c r="Y401" s="4" t="str">
        <f>Table1[[#This Row],[First_Name]]&amp;" "&amp;Table1[[#This Row],[Last_Name]]</f>
        <v>Deborah Bates</v>
      </c>
      <c r="Z401" s="4" t="str">
        <f>IF(T:T&gt;Table1[[#This Row],[Estimated_Days_to_Deliver]],"Late",IF(T:T=Table1[[#This Row],[Estimated_Days_to_Deliver]],"Intime","BeforeTime"))</f>
        <v>BeforeTime</v>
      </c>
      <c r="AA401" s="4">
        <f>MONTH(Table1[[#This Row],[Order_Date]])</f>
        <v>7</v>
      </c>
      <c r="AB401" s="13">
        <f>Table1[[#This Row],[Amount]]*Table1[[#This Row],[Discount_Percent]]</f>
        <v>106.99440000000001</v>
      </c>
    </row>
    <row r="402" spans="1:28" ht="14.25" customHeight="1">
      <c r="A402" s="1" t="s">
        <v>1730</v>
      </c>
      <c r="B402" s="1" t="s">
        <v>1731</v>
      </c>
      <c r="C402" s="1" t="s">
        <v>371</v>
      </c>
      <c r="D402" s="1">
        <v>34</v>
      </c>
      <c r="E402" s="1" t="s">
        <v>54</v>
      </c>
      <c r="F402" s="1" t="s">
        <v>161</v>
      </c>
      <c r="G402" s="1" t="s">
        <v>1732</v>
      </c>
      <c r="H402" s="1" t="s">
        <v>1733</v>
      </c>
      <c r="I402" s="1" t="s">
        <v>1734</v>
      </c>
      <c r="J402" s="24">
        <v>45646</v>
      </c>
      <c r="K402" s="1" t="s">
        <v>1735</v>
      </c>
      <c r="L402" s="1" t="s">
        <v>326</v>
      </c>
      <c r="M402" s="1">
        <v>481.48</v>
      </c>
      <c r="N402" s="1">
        <v>4</v>
      </c>
      <c r="O402" s="1" t="s">
        <v>60</v>
      </c>
      <c r="P402" s="1">
        <v>5</v>
      </c>
      <c r="Q402" s="1">
        <v>38</v>
      </c>
      <c r="R402" s="24">
        <v>45647</v>
      </c>
      <c r="S402" s="1" t="s">
        <v>1736</v>
      </c>
      <c r="T402" s="4">
        <f>Table1[[#This Row],[Delivery_Date]]-Table1[[#This Row],[Order_Date]]</f>
        <v>1</v>
      </c>
      <c r="U402" s="4">
        <f>Table1[[#This Row],[Price]]*Table1[[#This Row],[Quantity]]</f>
        <v>1925.92</v>
      </c>
      <c r="V402" s="11">
        <f t="shared" si="6"/>
        <v>0.15</v>
      </c>
      <c r="W402" s="4">
        <f>Table1[[#This Row],[Amount]]-(Table1[[#This Row],[Amount]]*Table1[[#This Row],[Discount_Percent]])</f>
        <v>1637.0320000000002</v>
      </c>
      <c r="X402" s="4">
        <f>IF(O402="DEL0", Table1[[#This Row],[Discounted_Amount]],Table1[[#This Row],[Discounted_Amount]]+Table1[[#This Row],[Delivery_Charge]])</f>
        <v>1675.0320000000002</v>
      </c>
      <c r="Y402" s="4" t="str">
        <f>Table1[[#This Row],[First_Name]]&amp;" "&amp;Table1[[#This Row],[Last_Name]]</f>
        <v>Katie Hicks</v>
      </c>
      <c r="Z402" s="4" t="str">
        <f>IF(T:T&gt;Table1[[#This Row],[Estimated_Days_to_Deliver]],"Late",IF(T:T=Table1[[#This Row],[Estimated_Days_to_Deliver]],"Intime","BeforeTime"))</f>
        <v>BeforeTime</v>
      </c>
      <c r="AA402" s="4">
        <f>MONTH(Table1[[#This Row],[Order_Date]])</f>
        <v>12</v>
      </c>
      <c r="AB402" s="13">
        <f>Table1[[#This Row],[Amount]]*Table1[[#This Row],[Discount_Percent]]</f>
        <v>288.88799999999998</v>
      </c>
    </row>
    <row r="403" spans="1:28" ht="14.25" customHeight="1">
      <c r="A403" s="1" t="s">
        <v>396</v>
      </c>
      <c r="B403" s="1" t="s">
        <v>397</v>
      </c>
      <c r="C403" s="1" t="s">
        <v>398</v>
      </c>
      <c r="D403" s="1">
        <v>40</v>
      </c>
      <c r="E403" s="1" t="s">
        <v>54</v>
      </c>
      <c r="F403" s="1" t="s">
        <v>170</v>
      </c>
      <c r="G403" s="1" t="s">
        <v>399</v>
      </c>
      <c r="H403" s="1" t="s">
        <v>400</v>
      </c>
      <c r="I403" s="1" t="s">
        <v>1737</v>
      </c>
      <c r="J403" s="24">
        <v>45033</v>
      </c>
      <c r="K403" s="1" t="s">
        <v>1738</v>
      </c>
      <c r="L403" s="1" t="s">
        <v>566</v>
      </c>
      <c r="M403" s="1">
        <v>133.62</v>
      </c>
      <c r="N403" s="1">
        <v>1</v>
      </c>
      <c r="O403" s="1" t="s">
        <v>60</v>
      </c>
      <c r="P403" s="1">
        <v>5</v>
      </c>
      <c r="Q403" s="1">
        <v>66</v>
      </c>
      <c r="R403" s="24">
        <v>45037</v>
      </c>
      <c r="S403" s="1" t="s">
        <v>1739</v>
      </c>
      <c r="T403" s="4">
        <f>Table1[[#This Row],[Delivery_Date]]-Table1[[#This Row],[Order_Date]]</f>
        <v>4</v>
      </c>
      <c r="U403" s="4">
        <f>Table1[[#This Row],[Price]]*Table1[[#This Row],[Quantity]]</f>
        <v>133.62</v>
      </c>
      <c r="V403" s="11">
        <f t="shared" si="6"/>
        <v>0.15</v>
      </c>
      <c r="W403" s="4">
        <f>Table1[[#This Row],[Amount]]-(Table1[[#This Row],[Amount]]*Table1[[#This Row],[Discount_Percent]])</f>
        <v>113.577</v>
      </c>
      <c r="X403" s="4">
        <f>IF(O403="DEL0", Table1[[#This Row],[Discounted_Amount]],Table1[[#This Row],[Discounted_Amount]]+Table1[[#This Row],[Delivery_Charge]])</f>
        <v>179.577</v>
      </c>
      <c r="Y403" s="4" t="str">
        <f>Table1[[#This Row],[First_Name]]&amp;" "&amp;Table1[[#This Row],[Last_Name]]</f>
        <v>Jason Lopez</v>
      </c>
      <c r="Z403" s="4" t="str">
        <f>IF(T:T&gt;Table1[[#This Row],[Estimated_Days_to_Deliver]],"Late",IF(T:T=Table1[[#This Row],[Estimated_Days_to_Deliver]],"Intime","BeforeTime"))</f>
        <v>BeforeTime</v>
      </c>
      <c r="AA403" s="4">
        <f>MONTH(Table1[[#This Row],[Order_Date]])</f>
        <v>4</v>
      </c>
      <c r="AB403" s="13">
        <f>Table1[[#This Row],[Amount]]*Table1[[#This Row],[Discount_Percent]]</f>
        <v>20.042999999999999</v>
      </c>
    </row>
    <row r="404" spans="1:28" ht="14.25" customHeight="1">
      <c r="A404" s="1" t="s">
        <v>1740</v>
      </c>
      <c r="B404" s="1" t="s">
        <v>1741</v>
      </c>
      <c r="C404" s="1" t="s">
        <v>1742</v>
      </c>
      <c r="D404" s="1">
        <v>47</v>
      </c>
      <c r="E404" s="1" t="s">
        <v>43</v>
      </c>
      <c r="F404" s="1" t="s">
        <v>32</v>
      </c>
      <c r="G404" s="1" t="s">
        <v>1743</v>
      </c>
      <c r="H404" s="1" t="s">
        <v>1744</v>
      </c>
      <c r="I404" s="1" t="s">
        <v>1745</v>
      </c>
      <c r="J404" s="24">
        <v>45327</v>
      </c>
      <c r="K404" s="1" t="s">
        <v>1746</v>
      </c>
      <c r="L404" s="1" t="s">
        <v>556</v>
      </c>
      <c r="M404" s="1">
        <v>425.59</v>
      </c>
      <c r="N404" s="1">
        <v>3</v>
      </c>
      <c r="O404" s="1" t="s">
        <v>98</v>
      </c>
      <c r="P404" s="1">
        <v>5</v>
      </c>
      <c r="Q404" s="1">
        <v>51</v>
      </c>
      <c r="R404" s="24">
        <v>45330</v>
      </c>
      <c r="S404" s="1" t="s">
        <v>1747</v>
      </c>
      <c r="T404" s="4">
        <f>Table1[[#This Row],[Delivery_Date]]-Table1[[#This Row],[Order_Date]]</f>
        <v>3</v>
      </c>
      <c r="U404" s="4">
        <f>Table1[[#This Row],[Price]]*Table1[[#This Row],[Quantity]]</f>
        <v>1276.77</v>
      </c>
      <c r="V404" s="11">
        <f t="shared" si="6"/>
        <v>0.1</v>
      </c>
      <c r="W404" s="4">
        <f>Table1[[#This Row],[Amount]]-(Table1[[#This Row],[Amount]]*Table1[[#This Row],[Discount_Percent]])</f>
        <v>1149.0930000000001</v>
      </c>
      <c r="X404" s="4">
        <f>IF(O404="DEL0", Table1[[#This Row],[Discounted_Amount]],Table1[[#This Row],[Discounted_Amount]]+Table1[[#This Row],[Delivery_Charge]])</f>
        <v>1200.0930000000001</v>
      </c>
      <c r="Y404" s="4" t="str">
        <f>Table1[[#This Row],[First_Name]]&amp;" "&amp;Table1[[#This Row],[Last_Name]]</f>
        <v>Regina Hawkins</v>
      </c>
      <c r="Z404" s="4" t="str">
        <f>IF(T:T&gt;Table1[[#This Row],[Estimated_Days_to_Deliver]],"Late",IF(T:T=Table1[[#This Row],[Estimated_Days_to_Deliver]],"Intime","BeforeTime"))</f>
        <v>BeforeTime</v>
      </c>
      <c r="AA404" s="4">
        <f>MONTH(Table1[[#This Row],[Order_Date]])</f>
        <v>2</v>
      </c>
      <c r="AB404" s="13">
        <f>Table1[[#This Row],[Amount]]*Table1[[#This Row],[Discount_Percent]]</f>
        <v>127.67700000000001</v>
      </c>
    </row>
    <row r="405" spans="1:28" ht="14.25" customHeight="1">
      <c r="A405" s="1" t="s">
        <v>1617</v>
      </c>
      <c r="B405" s="1" t="s">
        <v>276</v>
      </c>
      <c r="C405" s="1" t="s">
        <v>1618</v>
      </c>
      <c r="D405" s="1">
        <v>62</v>
      </c>
      <c r="E405" s="1" t="s">
        <v>43</v>
      </c>
      <c r="F405" s="1" t="s">
        <v>44</v>
      </c>
      <c r="G405" s="1" t="s">
        <v>1619</v>
      </c>
      <c r="H405" s="1" t="s">
        <v>1620</v>
      </c>
      <c r="I405" s="1" t="s">
        <v>1748</v>
      </c>
      <c r="J405" s="24">
        <v>45517</v>
      </c>
      <c r="K405" s="1" t="s">
        <v>1749</v>
      </c>
      <c r="L405" s="1" t="s">
        <v>576</v>
      </c>
      <c r="M405" s="1">
        <v>477.52</v>
      </c>
      <c r="N405" s="1">
        <v>5</v>
      </c>
      <c r="O405" s="1" t="s">
        <v>87</v>
      </c>
      <c r="P405" s="1">
        <v>5</v>
      </c>
      <c r="Q405" s="1">
        <v>60</v>
      </c>
      <c r="R405" s="24">
        <v>45520</v>
      </c>
      <c r="S405" s="1" t="s">
        <v>1750</v>
      </c>
      <c r="T405" s="4">
        <f>Table1[[#This Row],[Delivery_Date]]-Table1[[#This Row],[Order_Date]]</f>
        <v>3</v>
      </c>
      <c r="U405" s="4">
        <f>Table1[[#This Row],[Price]]*Table1[[#This Row],[Quantity]]</f>
        <v>2387.6</v>
      </c>
      <c r="V405" s="11">
        <f t="shared" si="6"/>
        <v>0.2</v>
      </c>
      <c r="W405" s="4">
        <f>Table1[[#This Row],[Amount]]-(Table1[[#This Row],[Amount]]*Table1[[#This Row],[Discount_Percent]])</f>
        <v>1910.08</v>
      </c>
      <c r="X405" s="4">
        <f>IF(O405="DEL0", Table1[[#This Row],[Discounted_Amount]],Table1[[#This Row],[Discounted_Amount]]+Table1[[#This Row],[Delivery_Charge]])</f>
        <v>1970.08</v>
      </c>
      <c r="Y405" s="4" t="str">
        <f>Table1[[#This Row],[First_Name]]&amp;" "&amp;Table1[[#This Row],[Last_Name]]</f>
        <v>Lauren Crane</v>
      </c>
      <c r="Z405" s="4" t="str">
        <f>IF(T:T&gt;Table1[[#This Row],[Estimated_Days_to_Deliver]],"Late",IF(T:T=Table1[[#This Row],[Estimated_Days_to_Deliver]],"Intime","BeforeTime"))</f>
        <v>BeforeTime</v>
      </c>
      <c r="AA405" s="4">
        <f>MONTH(Table1[[#This Row],[Order_Date]])</f>
        <v>8</v>
      </c>
      <c r="AB405" s="13">
        <f>Table1[[#This Row],[Amount]]*Table1[[#This Row],[Discount_Percent]]</f>
        <v>477.52</v>
      </c>
    </row>
    <row r="406" spans="1:28" ht="14.25" customHeight="1">
      <c r="A406" s="1" t="s">
        <v>423</v>
      </c>
      <c r="B406" s="1" t="s">
        <v>424</v>
      </c>
      <c r="C406" s="1" t="s">
        <v>425</v>
      </c>
      <c r="D406" s="1">
        <v>52</v>
      </c>
      <c r="E406" s="1" t="s">
        <v>54</v>
      </c>
      <c r="F406" s="1" t="s">
        <v>223</v>
      </c>
      <c r="G406" s="1" t="s">
        <v>426</v>
      </c>
      <c r="H406" s="1" t="s">
        <v>427</v>
      </c>
      <c r="I406" s="1" t="s">
        <v>1751</v>
      </c>
      <c r="J406" s="24">
        <v>45471</v>
      </c>
      <c r="K406" s="1" t="s">
        <v>1752</v>
      </c>
      <c r="L406" s="1" t="s">
        <v>249</v>
      </c>
      <c r="M406" s="1">
        <v>282.63</v>
      </c>
      <c r="N406" s="1">
        <v>3</v>
      </c>
      <c r="O406" s="1" t="s">
        <v>38</v>
      </c>
      <c r="P406" s="1">
        <v>5</v>
      </c>
      <c r="Q406" s="1">
        <v>36</v>
      </c>
      <c r="R406" s="24">
        <v>45478</v>
      </c>
      <c r="S406" s="1" t="s">
        <v>1753</v>
      </c>
      <c r="T406" s="4">
        <f>Table1[[#This Row],[Delivery_Date]]-Table1[[#This Row],[Order_Date]]</f>
        <v>7</v>
      </c>
      <c r="U406" s="4">
        <f>Table1[[#This Row],[Price]]*Table1[[#This Row],[Quantity]]</f>
        <v>847.89</v>
      </c>
      <c r="V406" s="11">
        <f t="shared" si="6"/>
        <v>0.08</v>
      </c>
      <c r="W406" s="4">
        <f>Table1[[#This Row],[Amount]]-(Table1[[#This Row],[Amount]]*Table1[[#This Row],[Discount_Percent]])</f>
        <v>780.05880000000002</v>
      </c>
      <c r="X406" s="4">
        <f>IF(O406="DEL0", Table1[[#This Row],[Discounted_Amount]],Table1[[#This Row],[Discounted_Amount]]+Table1[[#This Row],[Delivery_Charge]])</f>
        <v>816.05880000000002</v>
      </c>
      <c r="Y406" s="4" t="str">
        <f>Table1[[#This Row],[First_Name]]&amp;" "&amp;Table1[[#This Row],[Last_Name]]</f>
        <v>Amanda Howard</v>
      </c>
      <c r="Z406" s="4" t="str">
        <f>IF(T:T&gt;Table1[[#This Row],[Estimated_Days_to_Deliver]],"Late",IF(T:T=Table1[[#This Row],[Estimated_Days_to_Deliver]],"Intime","BeforeTime"))</f>
        <v>Late</v>
      </c>
      <c r="AA406" s="4">
        <f>MONTH(Table1[[#This Row],[Order_Date]])</f>
        <v>6</v>
      </c>
      <c r="AB406" s="13">
        <f>Table1[[#This Row],[Amount]]*Table1[[#This Row],[Discount_Percent]]</f>
        <v>67.831199999999995</v>
      </c>
    </row>
    <row r="407" spans="1:28" ht="14.25" customHeight="1">
      <c r="A407" s="1" t="s">
        <v>438</v>
      </c>
      <c r="B407" s="1" t="s">
        <v>439</v>
      </c>
      <c r="C407" s="1" t="s">
        <v>440</v>
      </c>
      <c r="D407" s="1">
        <v>28</v>
      </c>
      <c r="E407" s="1" t="s">
        <v>54</v>
      </c>
      <c r="F407" s="1" t="s">
        <v>78</v>
      </c>
      <c r="G407" s="1" t="s">
        <v>441</v>
      </c>
      <c r="H407" s="1" t="s">
        <v>442</v>
      </c>
      <c r="I407" s="1" t="s">
        <v>1754</v>
      </c>
      <c r="J407" s="24">
        <v>45350</v>
      </c>
      <c r="K407" s="1" t="s">
        <v>1755</v>
      </c>
      <c r="L407" s="1" t="s">
        <v>290</v>
      </c>
      <c r="M407" s="1">
        <v>157.63999999999999</v>
      </c>
      <c r="N407" s="1">
        <v>1</v>
      </c>
      <c r="O407" s="1" t="s">
        <v>87</v>
      </c>
      <c r="P407" s="1">
        <v>5</v>
      </c>
      <c r="Q407" s="1">
        <v>59</v>
      </c>
      <c r="R407" s="24">
        <v>45356</v>
      </c>
      <c r="S407" s="1" t="s">
        <v>1756</v>
      </c>
      <c r="T407" s="4">
        <f>Table1[[#This Row],[Delivery_Date]]-Table1[[#This Row],[Order_Date]]</f>
        <v>6</v>
      </c>
      <c r="U407" s="4">
        <f>Table1[[#This Row],[Price]]*Table1[[#This Row],[Quantity]]</f>
        <v>157.63999999999999</v>
      </c>
      <c r="V407" s="11">
        <f t="shared" si="6"/>
        <v>0.2</v>
      </c>
      <c r="W407" s="4">
        <f>Table1[[#This Row],[Amount]]-(Table1[[#This Row],[Amount]]*Table1[[#This Row],[Discount_Percent]])</f>
        <v>126.11199999999999</v>
      </c>
      <c r="X407" s="4">
        <f>IF(O407="DEL0", Table1[[#This Row],[Discounted_Amount]],Table1[[#This Row],[Discounted_Amount]]+Table1[[#This Row],[Delivery_Charge]])</f>
        <v>185.11199999999999</v>
      </c>
      <c r="Y407" s="4" t="str">
        <f>Table1[[#This Row],[First_Name]]&amp;" "&amp;Table1[[#This Row],[Last_Name]]</f>
        <v>Mary Knight</v>
      </c>
      <c r="Z407" s="4" t="str">
        <f>IF(T:T&gt;Table1[[#This Row],[Estimated_Days_to_Deliver]],"Late",IF(T:T=Table1[[#This Row],[Estimated_Days_to_Deliver]],"Intime","BeforeTime"))</f>
        <v>Late</v>
      </c>
      <c r="AA407" s="4">
        <f>MONTH(Table1[[#This Row],[Order_Date]])</f>
        <v>2</v>
      </c>
      <c r="AB407" s="13">
        <f>Table1[[#This Row],[Amount]]*Table1[[#This Row],[Discount_Percent]]</f>
        <v>31.527999999999999</v>
      </c>
    </row>
    <row r="408" spans="1:28" ht="14.25" customHeight="1">
      <c r="A408" s="1" t="s">
        <v>1730</v>
      </c>
      <c r="B408" s="1" t="s">
        <v>1731</v>
      </c>
      <c r="C408" s="1" t="s">
        <v>371</v>
      </c>
      <c r="D408" s="1">
        <v>34</v>
      </c>
      <c r="E408" s="1" t="s">
        <v>54</v>
      </c>
      <c r="F408" s="1" t="s">
        <v>161</v>
      </c>
      <c r="G408" s="1" t="s">
        <v>1732</v>
      </c>
      <c r="H408" s="1" t="s">
        <v>1733</v>
      </c>
      <c r="I408" s="1" t="s">
        <v>1757</v>
      </c>
      <c r="J408" s="24">
        <v>45449</v>
      </c>
      <c r="K408" s="1" t="s">
        <v>1758</v>
      </c>
      <c r="L408" s="1" t="s">
        <v>116</v>
      </c>
      <c r="M408" s="1">
        <v>48.45</v>
      </c>
      <c r="N408" s="1">
        <v>1</v>
      </c>
      <c r="O408" s="1" t="s">
        <v>98</v>
      </c>
      <c r="P408" s="1">
        <v>5</v>
      </c>
      <c r="Q408" s="1">
        <v>38</v>
      </c>
      <c r="R408" s="24">
        <v>45456</v>
      </c>
      <c r="S408" s="1" t="s">
        <v>1759</v>
      </c>
      <c r="T408" s="4">
        <f>Table1[[#This Row],[Delivery_Date]]-Table1[[#This Row],[Order_Date]]</f>
        <v>7</v>
      </c>
      <c r="U408" s="4">
        <f>Table1[[#This Row],[Price]]*Table1[[#This Row],[Quantity]]</f>
        <v>48.45</v>
      </c>
      <c r="V408" s="11">
        <f t="shared" si="6"/>
        <v>0.1</v>
      </c>
      <c r="W408" s="4">
        <f>Table1[[#This Row],[Amount]]-(Table1[[#This Row],[Amount]]*Table1[[#This Row],[Discount_Percent]])</f>
        <v>43.605000000000004</v>
      </c>
      <c r="X408" s="4">
        <f>IF(O408="DEL0", Table1[[#This Row],[Discounted_Amount]],Table1[[#This Row],[Discounted_Amount]]+Table1[[#This Row],[Delivery_Charge]])</f>
        <v>81.605000000000004</v>
      </c>
      <c r="Y408" s="4" t="str">
        <f>Table1[[#This Row],[First_Name]]&amp;" "&amp;Table1[[#This Row],[Last_Name]]</f>
        <v>Katie Hicks</v>
      </c>
      <c r="Z408" s="4" t="str">
        <f>IF(T:T&gt;Table1[[#This Row],[Estimated_Days_to_Deliver]],"Late",IF(T:T=Table1[[#This Row],[Estimated_Days_to_Deliver]],"Intime","BeforeTime"))</f>
        <v>Late</v>
      </c>
      <c r="AA408" s="4">
        <f>MONTH(Table1[[#This Row],[Order_Date]])</f>
        <v>6</v>
      </c>
      <c r="AB408" s="13">
        <f>Table1[[#This Row],[Amount]]*Table1[[#This Row],[Discount_Percent]]</f>
        <v>4.8450000000000006</v>
      </c>
    </row>
    <row r="409" spans="1:28" ht="14.25" customHeight="1">
      <c r="A409" s="1" t="s">
        <v>89</v>
      </c>
      <c r="B409" s="1" t="s">
        <v>90</v>
      </c>
      <c r="C409" s="1" t="s">
        <v>91</v>
      </c>
      <c r="D409" s="1">
        <v>26</v>
      </c>
      <c r="E409" s="1" t="s">
        <v>43</v>
      </c>
      <c r="F409" s="1" t="s">
        <v>92</v>
      </c>
      <c r="G409" s="1" t="s">
        <v>93</v>
      </c>
      <c r="H409" s="1" t="s">
        <v>94</v>
      </c>
      <c r="I409" s="1" t="s">
        <v>1760</v>
      </c>
      <c r="J409" s="24">
        <v>45359</v>
      </c>
      <c r="K409" s="1" t="s">
        <v>1761</v>
      </c>
      <c r="L409" s="1" t="s">
        <v>874</v>
      </c>
      <c r="M409" s="1">
        <v>292.14999999999998</v>
      </c>
      <c r="N409" s="1">
        <v>1</v>
      </c>
      <c r="O409" s="1" t="s">
        <v>87</v>
      </c>
      <c r="P409" s="1">
        <v>5</v>
      </c>
      <c r="Q409" s="1">
        <v>57</v>
      </c>
      <c r="R409" s="24">
        <v>45365</v>
      </c>
      <c r="S409" s="1" t="s">
        <v>1762</v>
      </c>
      <c r="T409" s="4">
        <f>Table1[[#This Row],[Delivery_Date]]-Table1[[#This Row],[Order_Date]]</f>
        <v>6</v>
      </c>
      <c r="U409" s="4">
        <f>Table1[[#This Row],[Price]]*Table1[[#This Row],[Quantity]]</f>
        <v>292.14999999999998</v>
      </c>
      <c r="V409" s="11">
        <f t="shared" si="6"/>
        <v>0.2</v>
      </c>
      <c r="W409" s="4">
        <f>Table1[[#This Row],[Amount]]-(Table1[[#This Row],[Amount]]*Table1[[#This Row],[Discount_Percent]])</f>
        <v>233.71999999999997</v>
      </c>
      <c r="X409" s="4">
        <f>IF(O409="DEL0", Table1[[#This Row],[Discounted_Amount]],Table1[[#This Row],[Discounted_Amount]]+Table1[[#This Row],[Delivery_Charge]])</f>
        <v>290.71999999999997</v>
      </c>
      <c r="Y409" s="4" t="str">
        <f>Table1[[#This Row],[First_Name]]&amp;" "&amp;Table1[[#This Row],[Last_Name]]</f>
        <v>David Delacruz</v>
      </c>
      <c r="Z409" s="4" t="str">
        <f>IF(T:T&gt;Table1[[#This Row],[Estimated_Days_to_Deliver]],"Late",IF(T:T=Table1[[#This Row],[Estimated_Days_to_Deliver]],"Intime","BeforeTime"))</f>
        <v>Late</v>
      </c>
      <c r="AA409" s="4">
        <f>MONTH(Table1[[#This Row],[Order_Date]])</f>
        <v>3</v>
      </c>
      <c r="AB409" s="13">
        <f>Table1[[#This Row],[Amount]]*Table1[[#This Row],[Discount_Percent]]</f>
        <v>58.43</v>
      </c>
    </row>
    <row r="410" spans="1:28" ht="14.25" customHeight="1">
      <c r="A410" s="1" t="s">
        <v>1763</v>
      </c>
      <c r="B410" s="1" t="s">
        <v>1764</v>
      </c>
      <c r="C410" s="1" t="s">
        <v>398</v>
      </c>
      <c r="D410" s="1">
        <v>57</v>
      </c>
      <c r="E410" s="1" t="s">
        <v>43</v>
      </c>
      <c r="F410" s="1" t="s">
        <v>92</v>
      </c>
      <c r="G410" s="1" t="s">
        <v>1765</v>
      </c>
      <c r="H410" s="1" t="s">
        <v>1766</v>
      </c>
      <c r="I410" s="1" t="s">
        <v>1767</v>
      </c>
      <c r="J410" s="24">
        <v>45333</v>
      </c>
      <c r="K410" s="1" t="s">
        <v>1768</v>
      </c>
      <c r="L410" s="1" t="s">
        <v>777</v>
      </c>
      <c r="M410" s="1">
        <v>20</v>
      </c>
      <c r="N410" s="1">
        <v>4</v>
      </c>
      <c r="O410" s="1" t="s">
        <v>87</v>
      </c>
      <c r="P410" s="1">
        <v>5</v>
      </c>
      <c r="Q410" s="1">
        <v>51</v>
      </c>
      <c r="R410" s="24">
        <v>45334</v>
      </c>
      <c r="S410" s="1" t="s">
        <v>1769</v>
      </c>
      <c r="T410" s="4">
        <f>Table1[[#This Row],[Delivery_Date]]-Table1[[#This Row],[Order_Date]]</f>
        <v>1</v>
      </c>
      <c r="U410" s="4">
        <f>Table1[[#This Row],[Price]]*Table1[[#This Row],[Quantity]]</f>
        <v>80</v>
      </c>
      <c r="V410" s="11">
        <f t="shared" si="6"/>
        <v>0.2</v>
      </c>
      <c r="W410" s="4">
        <f>Table1[[#This Row],[Amount]]-(Table1[[#This Row],[Amount]]*Table1[[#This Row],[Discount_Percent]])</f>
        <v>64</v>
      </c>
      <c r="X410" s="4">
        <f>IF(O410="DEL0", Table1[[#This Row],[Discounted_Amount]],Table1[[#This Row],[Discounted_Amount]]+Table1[[#This Row],[Delivery_Charge]])</f>
        <v>115</v>
      </c>
      <c r="Y410" s="4" t="str">
        <f>Table1[[#This Row],[First_Name]]&amp;" "&amp;Table1[[#This Row],[Last_Name]]</f>
        <v>Rachel Lopez</v>
      </c>
      <c r="Z410" s="4" t="str">
        <f>IF(T:T&gt;Table1[[#This Row],[Estimated_Days_to_Deliver]],"Late",IF(T:T=Table1[[#This Row],[Estimated_Days_to_Deliver]],"Intime","BeforeTime"))</f>
        <v>BeforeTime</v>
      </c>
      <c r="AA410" s="4">
        <f>MONTH(Table1[[#This Row],[Order_Date]])</f>
        <v>2</v>
      </c>
      <c r="AB410" s="13">
        <f>Table1[[#This Row],[Amount]]*Table1[[#This Row],[Discount_Percent]]</f>
        <v>16</v>
      </c>
    </row>
    <row r="411" spans="1:28" ht="14.25" customHeight="1">
      <c r="A411" s="1" t="s">
        <v>897</v>
      </c>
      <c r="B411" s="1" t="s">
        <v>150</v>
      </c>
      <c r="C411" s="1" t="s">
        <v>898</v>
      </c>
      <c r="D411" s="1">
        <v>29</v>
      </c>
      <c r="E411" s="1" t="s">
        <v>31</v>
      </c>
      <c r="F411" s="1" t="s">
        <v>44</v>
      </c>
      <c r="G411" s="1" t="s">
        <v>899</v>
      </c>
      <c r="H411" s="1" t="s">
        <v>900</v>
      </c>
      <c r="I411" s="1" t="s">
        <v>1770</v>
      </c>
      <c r="J411" s="24">
        <v>45681</v>
      </c>
      <c r="K411" s="1" t="s">
        <v>1771</v>
      </c>
      <c r="L411" s="1" t="s">
        <v>116</v>
      </c>
      <c r="M411" s="1">
        <v>48.45</v>
      </c>
      <c r="N411" s="1">
        <v>2</v>
      </c>
      <c r="O411" s="1" t="s">
        <v>60</v>
      </c>
      <c r="P411" s="1">
        <v>5</v>
      </c>
      <c r="Q411" s="1">
        <v>56</v>
      </c>
      <c r="R411" s="24">
        <v>45687</v>
      </c>
      <c r="S411" s="1" t="s">
        <v>1772</v>
      </c>
      <c r="T411" s="4">
        <f>Table1[[#This Row],[Delivery_Date]]-Table1[[#This Row],[Order_Date]]</f>
        <v>6</v>
      </c>
      <c r="U411" s="4">
        <f>Table1[[#This Row],[Price]]*Table1[[#This Row],[Quantity]]</f>
        <v>96.9</v>
      </c>
      <c r="V411" s="11">
        <f t="shared" si="6"/>
        <v>0.15</v>
      </c>
      <c r="W411" s="4">
        <f>Table1[[#This Row],[Amount]]-(Table1[[#This Row],[Amount]]*Table1[[#This Row],[Discount_Percent]])</f>
        <v>82.365000000000009</v>
      </c>
      <c r="X411" s="4">
        <f>IF(O411="DEL0", Table1[[#This Row],[Discounted_Amount]],Table1[[#This Row],[Discounted_Amount]]+Table1[[#This Row],[Delivery_Charge]])</f>
        <v>138.36500000000001</v>
      </c>
      <c r="Y411" s="4" t="str">
        <f>Table1[[#This Row],[First_Name]]&amp;" "&amp;Table1[[#This Row],[Last_Name]]</f>
        <v>Amy Griffin</v>
      </c>
      <c r="Z411" s="4" t="str">
        <f>IF(T:T&gt;Table1[[#This Row],[Estimated_Days_to_Deliver]],"Late",IF(T:T=Table1[[#This Row],[Estimated_Days_to_Deliver]],"Intime","BeforeTime"))</f>
        <v>Late</v>
      </c>
      <c r="AA411" s="4">
        <f>MONTH(Table1[[#This Row],[Order_Date]])</f>
        <v>1</v>
      </c>
      <c r="AB411" s="13">
        <f>Table1[[#This Row],[Amount]]*Table1[[#This Row],[Discount_Percent]]</f>
        <v>14.535</v>
      </c>
    </row>
    <row r="412" spans="1:28" ht="14.25" customHeight="1">
      <c r="A412" s="1" t="s">
        <v>649</v>
      </c>
      <c r="B412" s="1" t="s">
        <v>650</v>
      </c>
      <c r="C412" s="1" t="s">
        <v>651</v>
      </c>
      <c r="D412" s="1">
        <v>45</v>
      </c>
      <c r="E412" s="1" t="s">
        <v>54</v>
      </c>
      <c r="F412" s="1" t="s">
        <v>92</v>
      </c>
      <c r="G412" s="1" t="s">
        <v>652</v>
      </c>
      <c r="H412" s="1" t="s">
        <v>653</v>
      </c>
      <c r="I412" s="1" t="s">
        <v>1773</v>
      </c>
      <c r="J412" s="24">
        <v>45190</v>
      </c>
      <c r="K412" s="1" t="s">
        <v>1774</v>
      </c>
      <c r="L412" s="1" t="s">
        <v>245</v>
      </c>
      <c r="M412" s="1">
        <v>126.19</v>
      </c>
      <c r="N412" s="1">
        <v>2</v>
      </c>
      <c r="O412" s="1" t="s">
        <v>87</v>
      </c>
      <c r="P412" s="1">
        <v>5</v>
      </c>
      <c r="Q412" s="1">
        <v>67</v>
      </c>
      <c r="R412" s="24">
        <v>45196</v>
      </c>
      <c r="S412" s="1" t="s">
        <v>1775</v>
      </c>
      <c r="T412" s="4">
        <f>Table1[[#This Row],[Delivery_Date]]-Table1[[#This Row],[Order_Date]]</f>
        <v>6</v>
      </c>
      <c r="U412" s="4">
        <f>Table1[[#This Row],[Price]]*Table1[[#This Row],[Quantity]]</f>
        <v>252.38</v>
      </c>
      <c r="V412" s="11">
        <f t="shared" si="6"/>
        <v>0.2</v>
      </c>
      <c r="W412" s="4">
        <f>Table1[[#This Row],[Amount]]-(Table1[[#This Row],[Amount]]*Table1[[#This Row],[Discount_Percent]])</f>
        <v>201.904</v>
      </c>
      <c r="X412" s="4">
        <f>IF(O412="DEL0", Table1[[#This Row],[Discounted_Amount]],Table1[[#This Row],[Discounted_Amount]]+Table1[[#This Row],[Delivery_Charge]])</f>
        <v>268.904</v>
      </c>
      <c r="Y412" s="4" t="str">
        <f>Table1[[#This Row],[First_Name]]&amp;" "&amp;Table1[[#This Row],[Last_Name]]</f>
        <v>Beth Mason</v>
      </c>
      <c r="Z412" s="4" t="str">
        <f>IF(T:T&gt;Table1[[#This Row],[Estimated_Days_to_Deliver]],"Late",IF(T:T=Table1[[#This Row],[Estimated_Days_to_Deliver]],"Intime","BeforeTime"))</f>
        <v>Late</v>
      </c>
      <c r="AA412" s="4">
        <f>MONTH(Table1[[#This Row],[Order_Date]])</f>
        <v>9</v>
      </c>
      <c r="AB412" s="13">
        <f>Table1[[#This Row],[Amount]]*Table1[[#This Row],[Discount_Percent]]</f>
        <v>50.475999999999999</v>
      </c>
    </row>
    <row r="413" spans="1:28" ht="14.25" customHeight="1">
      <c r="A413" s="1" t="s">
        <v>1460</v>
      </c>
      <c r="B413" s="1" t="s">
        <v>276</v>
      </c>
      <c r="C413" s="1" t="s">
        <v>1461</v>
      </c>
      <c r="D413" s="1">
        <v>30</v>
      </c>
      <c r="E413" s="1" t="s">
        <v>31</v>
      </c>
      <c r="F413" s="1" t="s">
        <v>223</v>
      </c>
      <c r="G413" s="1" t="s">
        <v>1462</v>
      </c>
      <c r="H413" s="1" t="s">
        <v>1463</v>
      </c>
      <c r="I413" s="1" t="s">
        <v>1776</v>
      </c>
      <c r="J413" s="24">
        <v>45393</v>
      </c>
      <c r="K413" s="1" t="s">
        <v>1777</v>
      </c>
      <c r="L413" s="1" t="s">
        <v>245</v>
      </c>
      <c r="M413" s="1">
        <v>126.19</v>
      </c>
      <c r="N413" s="1">
        <v>4</v>
      </c>
      <c r="O413" s="1" t="s">
        <v>38</v>
      </c>
      <c r="P413" s="1">
        <v>5</v>
      </c>
      <c r="Q413" s="1">
        <v>69</v>
      </c>
      <c r="R413" s="24">
        <v>45396</v>
      </c>
      <c r="S413" s="1" t="s">
        <v>1778</v>
      </c>
      <c r="T413" s="4">
        <f>Table1[[#This Row],[Delivery_Date]]-Table1[[#This Row],[Order_Date]]</f>
        <v>3</v>
      </c>
      <c r="U413" s="4">
        <f>Table1[[#This Row],[Price]]*Table1[[#This Row],[Quantity]]</f>
        <v>504.76</v>
      </c>
      <c r="V413" s="11">
        <f t="shared" si="6"/>
        <v>0.08</v>
      </c>
      <c r="W413" s="4">
        <f>Table1[[#This Row],[Amount]]-(Table1[[#This Row],[Amount]]*Table1[[#This Row],[Discount_Percent]])</f>
        <v>464.37919999999997</v>
      </c>
      <c r="X413" s="4">
        <f>IF(O413="DEL0", Table1[[#This Row],[Discounted_Amount]],Table1[[#This Row],[Discounted_Amount]]+Table1[[#This Row],[Delivery_Charge]])</f>
        <v>533.37919999999997</v>
      </c>
      <c r="Y413" s="4" t="str">
        <f>Table1[[#This Row],[First_Name]]&amp;" "&amp;Table1[[#This Row],[Last_Name]]</f>
        <v>Lauren Lane</v>
      </c>
      <c r="Z413" s="4" t="str">
        <f>IF(T:T&gt;Table1[[#This Row],[Estimated_Days_to_Deliver]],"Late",IF(T:T=Table1[[#This Row],[Estimated_Days_to_Deliver]],"Intime","BeforeTime"))</f>
        <v>BeforeTime</v>
      </c>
      <c r="AA413" s="4">
        <f>MONTH(Table1[[#This Row],[Order_Date]])</f>
        <v>4</v>
      </c>
      <c r="AB413" s="13">
        <f>Table1[[#This Row],[Amount]]*Table1[[#This Row],[Discount_Percent]]</f>
        <v>40.380800000000001</v>
      </c>
    </row>
    <row r="414" spans="1:28" ht="14.25" customHeight="1">
      <c r="A414" s="1" t="s">
        <v>296</v>
      </c>
      <c r="B414" s="1" t="s">
        <v>297</v>
      </c>
      <c r="C414" s="1" t="s">
        <v>298</v>
      </c>
      <c r="D414" s="1">
        <v>48</v>
      </c>
      <c r="E414" s="1" t="s">
        <v>43</v>
      </c>
      <c r="F414" s="1" t="s">
        <v>92</v>
      </c>
      <c r="G414" s="1" t="s">
        <v>299</v>
      </c>
      <c r="H414" s="1" t="s">
        <v>300</v>
      </c>
      <c r="I414" s="1" t="s">
        <v>1779</v>
      </c>
      <c r="J414" s="24">
        <v>45399</v>
      </c>
      <c r="K414" s="1" t="s">
        <v>1780</v>
      </c>
      <c r="L414" s="1" t="s">
        <v>359</v>
      </c>
      <c r="M414" s="1">
        <v>496.59</v>
      </c>
      <c r="N414" s="1">
        <v>3</v>
      </c>
      <c r="O414" s="1" t="s">
        <v>65</v>
      </c>
      <c r="P414" s="1">
        <v>5</v>
      </c>
      <c r="Q414" s="1">
        <v>49</v>
      </c>
      <c r="R414" s="24">
        <v>45406</v>
      </c>
      <c r="S414" s="1" t="s">
        <v>1781</v>
      </c>
      <c r="T414" s="4">
        <f>Table1[[#This Row],[Delivery_Date]]-Table1[[#This Row],[Order_Date]]</f>
        <v>7</v>
      </c>
      <c r="U414" s="4">
        <f>Table1[[#This Row],[Price]]*Table1[[#This Row],[Quantity]]</f>
        <v>1489.77</v>
      </c>
      <c r="V414" s="11">
        <f t="shared" si="6"/>
        <v>0</v>
      </c>
      <c r="W414" s="4">
        <f>Table1[[#This Row],[Amount]]-(Table1[[#This Row],[Amount]]*Table1[[#This Row],[Discount_Percent]])</f>
        <v>1489.77</v>
      </c>
      <c r="X414" s="4">
        <f>IF(O414="DEL0", Table1[[#This Row],[Discounted_Amount]],Table1[[#This Row],[Discounted_Amount]]+Table1[[#This Row],[Delivery_Charge]])</f>
        <v>1489.77</v>
      </c>
      <c r="Y414" s="4" t="str">
        <f>Table1[[#This Row],[First_Name]]&amp;" "&amp;Table1[[#This Row],[Last_Name]]</f>
        <v>Heather Schneider</v>
      </c>
      <c r="Z414" s="4" t="str">
        <f>IF(T:T&gt;Table1[[#This Row],[Estimated_Days_to_Deliver]],"Late",IF(T:T=Table1[[#This Row],[Estimated_Days_to_Deliver]],"Intime","BeforeTime"))</f>
        <v>Late</v>
      </c>
      <c r="AA414" s="4">
        <f>MONTH(Table1[[#This Row],[Order_Date]])</f>
        <v>4</v>
      </c>
      <c r="AB414" s="13">
        <f>Table1[[#This Row],[Amount]]*Table1[[#This Row],[Discount_Percent]]</f>
        <v>0</v>
      </c>
    </row>
    <row r="415" spans="1:28" ht="14.25" customHeight="1">
      <c r="A415" s="1" t="s">
        <v>352</v>
      </c>
      <c r="B415" s="1" t="s">
        <v>353</v>
      </c>
      <c r="C415" s="1" t="s">
        <v>354</v>
      </c>
      <c r="D415" s="1">
        <v>70</v>
      </c>
      <c r="E415" s="1" t="s">
        <v>31</v>
      </c>
      <c r="F415" s="1" t="s">
        <v>170</v>
      </c>
      <c r="G415" s="1" t="s">
        <v>355</v>
      </c>
      <c r="H415" s="1" t="s">
        <v>356</v>
      </c>
      <c r="I415" s="1" t="s">
        <v>1782</v>
      </c>
      <c r="J415" s="24">
        <v>45396</v>
      </c>
      <c r="K415" s="1" t="s">
        <v>1783</v>
      </c>
      <c r="L415" s="1" t="s">
        <v>689</v>
      </c>
      <c r="M415" s="1">
        <v>424.82</v>
      </c>
      <c r="N415" s="1">
        <v>4</v>
      </c>
      <c r="O415" s="1" t="s">
        <v>60</v>
      </c>
      <c r="P415" s="1">
        <v>5</v>
      </c>
      <c r="Q415" s="1">
        <v>70</v>
      </c>
      <c r="R415" s="24">
        <v>45402</v>
      </c>
      <c r="S415" s="1" t="s">
        <v>1784</v>
      </c>
      <c r="T415" s="4">
        <f>Table1[[#This Row],[Delivery_Date]]-Table1[[#This Row],[Order_Date]]</f>
        <v>6</v>
      </c>
      <c r="U415" s="4">
        <f>Table1[[#This Row],[Price]]*Table1[[#This Row],[Quantity]]</f>
        <v>1699.28</v>
      </c>
      <c r="V415" s="11">
        <f t="shared" si="6"/>
        <v>0.15</v>
      </c>
      <c r="W415" s="4">
        <f>Table1[[#This Row],[Amount]]-(Table1[[#This Row],[Amount]]*Table1[[#This Row],[Discount_Percent]])</f>
        <v>1444.3879999999999</v>
      </c>
      <c r="X415" s="4">
        <f>IF(O415="DEL0", Table1[[#This Row],[Discounted_Amount]],Table1[[#This Row],[Discounted_Amount]]+Table1[[#This Row],[Delivery_Charge]])</f>
        <v>1514.3879999999999</v>
      </c>
      <c r="Y415" s="4" t="str">
        <f>Table1[[#This Row],[First_Name]]&amp;" "&amp;Table1[[#This Row],[Last_Name]]</f>
        <v>Donna Oneill</v>
      </c>
      <c r="Z415" s="4" t="str">
        <f>IF(T:T&gt;Table1[[#This Row],[Estimated_Days_to_Deliver]],"Late",IF(T:T=Table1[[#This Row],[Estimated_Days_to_Deliver]],"Intime","BeforeTime"))</f>
        <v>Late</v>
      </c>
      <c r="AA415" s="4">
        <f>MONTH(Table1[[#This Row],[Order_Date]])</f>
        <v>4</v>
      </c>
      <c r="AB415" s="13">
        <f>Table1[[#This Row],[Amount]]*Table1[[#This Row],[Discount_Percent]]</f>
        <v>254.892</v>
      </c>
    </row>
    <row r="416" spans="1:28" ht="14.25" customHeight="1">
      <c r="A416" s="1" t="s">
        <v>178</v>
      </c>
      <c r="B416" s="1" t="s">
        <v>179</v>
      </c>
      <c r="C416" s="1" t="s">
        <v>180</v>
      </c>
      <c r="D416" s="1">
        <v>36</v>
      </c>
      <c r="E416" s="1" t="s">
        <v>54</v>
      </c>
      <c r="F416" s="1" t="s">
        <v>142</v>
      </c>
      <c r="G416" s="1" t="s">
        <v>181</v>
      </c>
      <c r="H416" s="1" t="s">
        <v>182</v>
      </c>
      <c r="I416" s="1" t="s">
        <v>1785</v>
      </c>
      <c r="J416" s="24">
        <v>45194</v>
      </c>
      <c r="K416" s="1" t="s">
        <v>1786</v>
      </c>
      <c r="L416" s="1" t="s">
        <v>777</v>
      </c>
      <c r="M416" s="1">
        <v>20</v>
      </c>
      <c r="N416" s="1">
        <v>2</v>
      </c>
      <c r="O416" s="1" t="s">
        <v>98</v>
      </c>
      <c r="P416" s="1">
        <v>5</v>
      </c>
      <c r="Q416" s="1">
        <v>68</v>
      </c>
      <c r="R416" s="24">
        <v>45195</v>
      </c>
      <c r="S416" s="1" t="s">
        <v>1787</v>
      </c>
      <c r="T416" s="4">
        <f>Table1[[#This Row],[Delivery_Date]]-Table1[[#This Row],[Order_Date]]</f>
        <v>1</v>
      </c>
      <c r="U416" s="4">
        <f>Table1[[#This Row],[Price]]*Table1[[#This Row],[Quantity]]</f>
        <v>40</v>
      </c>
      <c r="V416" s="11">
        <f t="shared" si="6"/>
        <v>0.1</v>
      </c>
      <c r="W416" s="4">
        <f>Table1[[#This Row],[Amount]]-(Table1[[#This Row],[Amount]]*Table1[[#This Row],[Discount_Percent]])</f>
        <v>36</v>
      </c>
      <c r="X416" s="4">
        <f>IF(O416="DEL0", Table1[[#This Row],[Discounted_Amount]],Table1[[#This Row],[Discounted_Amount]]+Table1[[#This Row],[Delivery_Charge]])</f>
        <v>104</v>
      </c>
      <c r="Y416" s="4" t="str">
        <f>Table1[[#This Row],[First_Name]]&amp;" "&amp;Table1[[#This Row],[Last_Name]]</f>
        <v>Gina Moreno</v>
      </c>
      <c r="Z416" s="4" t="str">
        <f>IF(T:T&gt;Table1[[#This Row],[Estimated_Days_to_Deliver]],"Late",IF(T:T=Table1[[#This Row],[Estimated_Days_to_Deliver]],"Intime","BeforeTime"))</f>
        <v>BeforeTime</v>
      </c>
      <c r="AA416" s="4">
        <f>MONTH(Table1[[#This Row],[Order_Date]])</f>
        <v>9</v>
      </c>
      <c r="AB416" s="13">
        <f>Table1[[#This Row],[Amount]]*Table1[[#This Row],[Discount_Percent]]</f>
        <v>4</v>
      </c>
    </row>
    <row r="417" spans="1:28" ht="14.25" customHeight="1">
      <c r="A417" s="1" t="s">
        <v>1740</v>
      </c>
      <c r="B417" s="1" t="s">
        <v>1741</v>
      </c>
      <c r="C417" s="1" t="s">
        <v>1742</v>
      </c>
      <c r="D417" s="1">
        <v>47</v>
      </c>
      <c r="E417" s="1" t="s">
        <v>43</v>
      </c>
      <c r="F417" s="1" t="s">
        <v>32</v>
      </c>
      <c r="G417" s="1" t="s">
        <v>1743</v>
      </c>
      <c r="H417" s="1" t="s">
        <v>1744</v>
      </c>
      <c r="I417" s="1" t="s">
        <v>1788</v>
      </c>
      <c r="J417" s="24">
        <v>45216</v>
      </c>
      <c r="K417" s="1" t="s">
        <v>1789</v>
      </c>
      <c r="L417" s="1" t="s">
        <v>59</v>
      </c>
      <c r="M417" s="1">
        <v>202.54</v>
      </c>
      <c r="N417" s="1">
        <v>5</v>
      </c>
      <c r="O417" s="1" t="s">
        <v>98</v>
      </c>
      <c r="P417" s="1">
        <v>5</v>
      </c>
      <c r="Q417" s="1">
        <v>58</v>
      </c>
      <c r="R417" s="24">
        <v>45218</v>
      </c>
      <c r="S417" s="1" t="s">
        <v>1790</v>
      </c>
      <c r="T417" s="4">
        <f>Table1[[#This Row],[Delivery_Date]]-Table1[[#This Row],[Order_Date]]</f>
        <v>2</v>
      </c>
      <c r="U417" s="4">
        <f>Table1[[#This Row],[Price]]*Table1[[#This Row],[Quantity]]</f>
        <v>1012.6999999999999</v>
      </c>
      <c r="V417" s="11">
        <f t="shared" si="6"/>
        <v>0.1</v>
      </c>
      <c r="W417" s="4">
        <f>Table1[[#This Row],[Amount]]-(Table1[[#This Row],[Amount]]*Table1[[#This Row],[Discount_Percent]])</f>
        <v>911.43</v>
      </c>
      <c r="X417" s="4">
        <f>IF(O417="DEL0", Table1[[#This Row],[Discounted_Amount]],Table1[[#This Row],[Discounted_Amount]]+Table1[[#This Row],[Delivery_Charge]])</f>
        <v>969.43</v>
      </c>
      <c r="Y417" s="4" t="str">
        <f>Table1[[#This Row],[First_Name]]&amp;" "&amp;Table1[[#This Row],[Last_Name]]</f>
        <v>Regina Hawkins</v>
      </c>
      <c r="Z417" s="4" t="str">
        <f>IF(T:T&gt;Table1[[#This Row],[Estimated_Days_to_Deliver]],"Late",IF(T:T=Table1[[#This Row],[Estimated_Days_to_Deliver]],"Intime","BeforeTime"))</f>
        <v>BeforeTime</v>
      </c>
      <c r="AA417" s="4">
        <f>MONTH(Table1[[#This Row],[Order_Date]])</f>
        <v>10</v>
      </c>
      <c r="AB417" s="13">
        <f>Table1[[#This Row],[Amount]]*Table1[[#This Row],[Discount_Percent]]</f>
        <v>101.27</v>
      </c>
    </row>
    <row r="418" spans="1:28" ht="14.25" customHeight="1">
      <c r="A418" s="1" t="s">
        <v>178</v>
      </c>
      <c r="B418" s="1" t="s">
        <v>179</v>
      </c>
      <c r="C418" s="1" t="s">
        <v>180</v>
      </c>
      <c r="D418" s="1">
        <v>36</v>
      </c>
      <c r="E418" s="1" t="s">
        <v>54</v>
      </c>
      <c r="F418" s="1" t="s">
        <v>142</v>
      </c>
      <c r="G418" s="1" t="s">
        <v>181</v>
      </c>
      <c r="H418" s="1" t="s">
        <v>182</v>
      </c>
      <c r="I418" s="1" t="s">
        <v>1791</v>
      </c>
      <c r="J418" s="24">
        <v>45368</v>
      </c>
      <c r="K418" s="1" t="s">
        <v>1792</v>
      </c>
      <c r="L418" s="1" t="s">
        <v>517</v>
      </c>
      <c r="M418" s="1">
        <v>136.30000000000001</v>
      </c>
      <c r="N418" s="1">
        <v>4</v>
      </c>
      <c r="O418" s="1" t="s">
        <v>38</v>
      </c>
      <c r="P418" s="1">
        <v>5</v>
      </c>
      <c r="Q418" s="1">
        <v>52</v>
      </c>
      <c r="R418" s="24">
        <v>45371</v>
      </c>
      <c r="S418" s="1" t="s">
        <v>1793</v>
      </c>
      <c r="T418" s="4">
        <f>Table1[[#This Row],[Delivery_Date]]-Table1[[#This Row],[Order_Date]]</f>
        <v>3</v>
      </c>
      <c r="U418" s="4">
        <f>Table1[[#This Row],[Price]]*Table1[[#This Row],[Quantity]]</f>
        <v>545.20000000000005</v>
      </c>
      <c r="V418" s="11">
        <f t="shared" si="6"/>
        <v>0.08</v>
      </c>
      <c r="W418" s="4">
        <f>Table1[[#This Row],[Amount]]-(Table1[[#This Row],[Amount]]*Table1[[#This Row],[Discount_Percent]])</f>
        <v>501.58400000000006</v>
      </c>
      <c r="X418" s="4">
        <f>IF(O418="DEL0", Table1[[#This Row],[Discounted_Amount]],Table1[[#This Row],[Discounted_Amount]]+Table1[[#This Row],[Delivery_Charge]])</f>
        <v>553.58400000000006</v>
      </c>
      <c r="Y418" s="4" t="str">
        <f>Table1[[#This Row],[First_Name]]&amp;" "&amp;Table1[[#This Row],[Last_Name]]</f>
        <v>Gina Moreno</v>
      </c>
      <c r="Z418" s="4" t="str">
        <f>IF(T:T&gt;Table1[[#This Row],[Estimated_Days_to_Deliver]],"Late",IF(T:T=Table1[[#This Row],[Estimated_Days_to_Deliver]],"Intime","BeforeTime"))</f>
        <v>BeforeTime</v>
      </c>
      <c r="AA418" s="4">
        <f>MONTH(Table1[[#This Row],[Order_Date]])</f>
        <v>3</v>
      </c>
      <c r="AB418" s="13">
        <f>Table1[[#This Row],[Amount]]*Table1[[#This Row],[Discount_Percent]]</f>
        <v>43.616000000000007</v>
      </c>
    </row>
    <row r="419" spans="1:28" ht="14.25" customHeight="1">
      <c r="A419" s="1" t="s">
        <v>109</v>
      </c>
      <c r="B419" s="1" t="s">
        <v>110</v>
      </c>
      <c r="C419" s="1" t="s">
        <v>111</v>
      </c>
      <c r="D419" s="1">
        <v>48</v>
      </c>
      <c r="E419" s="1" t="s">
        <v>54</v>
      </c>
      <c r="F419" s="1" t="s">
        <v>44</v>
      </c>
      <c r="G419" s="1" t="s">
        <v>112</v>
      </c>
      <c r="H419" s="1" t="s">
        <v>113</v>
      </c>
      <c r="I419" s="1" t="s">
        <v>1794</v>
      </c>
      <c r="J419" s="24">
        <v>45661</v>
      </c>
      <c r="K419" s="1" t="s">
        <v>1010</v>
      </c>
      <c r="L419" s="1" t="s">
        <v>290</v>
      </c>
      <c r="M419" s="1">
        <v>157.63999999999999</v>
      </c>
      <c r="N419" s="1">
        <v>4</v>
      </c>
      <c r="O419" s="1" t="s">
        <v>65</v>
      </c>
      <c r="P419" s="1">
        <v>5</v>
      </c>
      <c r="Q419" s="1">
        <v>42</v>
      </c>
      <c r="R419" s="24">
        <v>45663</v>
      </c>
      <c r="S419" s="1" t="s">
        <v>1795</v>
      </c>
      <c r="T419" s="4">
        <f>Table1[[#This Row],[Delivery_Date]]-Table1[[#This Row],[Order_Date]]</f>
        <v>2</v>
      </c>
      <c r="U419" s="4">
        <f>Table1[[#This Row],[Price]]*Table1[[#This Row],[Quantity]]</f>
        <v>630.55999999999995</v>
      </c>
      <c r="V419" s="11">
        <f t="shared" si="6"/>
        <v>0</v>
      </c>
      <c r="W419" s="4">
        <f>Table1[[#This Row],[Amount]]-(Table1[[#This Row],[Amount]]*Table1[[#This Row],[Discount_Percent]])</f>
        <v>630.55999999999995</v>
      </c>
      <c r="X419" s="4">
        <f>IF(O419="DEL0", Table1[[#This Row],[Discounted_Amount]],Table1[[#This Row],[Discounted_Amount]]+Table1[[#This Row],[Delivery_Charge]])</f>
        <v>630.55999999999995</v>
      </c>
      <c r="Y419" s="4" t="str">
        <f>Table1[[#This Row],[First_Name]]&amp;" "&amp;Table1[[#This Row],[Last_Name]]</f>
        <v>Debra Rodriguez</v>
      </c>
      <c r="Z419" s="4" t="str">
        <f>IF(T:T&gt;Table1[[#This Row],[Estimated_Days_to_Deliver]],"Late",IF(T:T=Table1[[#This Row],[Estimated_Days_to_Deliver]],"Intime","BeforeTime"))</f>
        <v>BeforeTime</v>
      </c>
      <c r="AA419" s="4">
        <f>MONTH(Table1[[#This Row],[Order_Date]])</f>
        <v>1</v>
      </c>
      <c r="AB419" s="13">
        <f>Table1[[#This Row],[Amount]]*Table1[[#This Row],[Discount_Percent]]</f>
        <v>0</v>
      </c>
    </row>
    <row r="420" spans="1:28" ht="14.25" customHeight="1">
      <c r="A420" s="1" t="s">
        <v>510</v>
      </c>
      <c r="B420" s="1" t="s">
        <v>511</v>
      </c>
      <c r="C420" s="1" t="s">
        <v>512</v>
      </c>
      <c r="D420" s="1">
        <v>64</v>
      </c>
      <c r="E420" s="1" t="s">
        <v>31</v>
      </c>
      <c r="F420" s="1" t="s">
        <v>32</v>
      </c>
      <c r="G420" s="1" t="s">
        <v>513</v>
      </c>
      <c r="H420" s="1" t="s">
        <v>514</v>
      </c>
      <c r="I420" s="1" t="s">
        <v>1796</v>
      </c>
      <c r="J420" s="24">
        <v>45147</v>
      </c>
      <c r="K420" s="1" t="s">
        <v>1797</v>
      </c>
      <c r="L420" s="1" t="s">
        <v>944</v>
      </c>
      <c r="M420" s="1">
        <v>107.47</v>
      </c>
      <c r="N420" s="1">
        <v>5</v>
      </c>
      <c r="O420" s="1" t="s">
        <v>87</v>
      </c>
      <c r="P420" s="1">
        <v>5</v>
      </c>
      <c r="Q420" s="1">
        <v>47</v>
      </c>
      <c r="R420" s="24">
        <v>45149</v>
      </c>
      <c r="S420" s="1" t="s">
        <v>1798</v>
      </c>
      <c r="T420" s="4">
        <f>Table1[[#This Row],[Delivery_Date]]-Table1[[#This Row],[Order_Date]]</f>
        <v>2</v>
      </c>
      <c r="U420" s="4">
        <f>Table1[[#This Row],[Price]]*Table1[[#This Row],[Quantity]]</f>
        <v>537.35</v>
      </c>
      <c r="V420" s="11">
        <f t="shared" si="6"/>
        <v>0.2</v>
      </c>
      <c r="W420" s="4">
        <f>Table1[[#This Row],[Amount]]-(Table1[[#This Row],[Amount]]*Table1[[#This Row],[Discount_Percent]])</f>
        <v>429.88</v>
      </c>
      <c r="X420" s="4">
        <f>IF(O420="DEL0", Table1[[#This Row],[Discounted_Amount]],Table1[[#This Row],[Discounted_Amount]]+Table1[[#This Row],[Delivery_Charge]])</f>
        <v>476.88</v>
      </c>
      <c r="Y420" s="4" t="str">
        <f>Table1[[#This Row],[First_Name]]&amp;" "&amp;Table1[[#This Row],[Last_Name]]</f>
        <v>Sarah Butler</v>
      </c>
      <c r="Z420" s="4" t="str">
        <f>IF(T:T&gt;Table1[[#This Row],[Estimated_Days_to_Deliver]],"Late",IF(T:T=Table1[[#This Row],[Estimated_Days_to_Deliver]],"Intime","BeforeTime"))</f>
        <v>BeforeTime</v>
      </c>
      <c r="AA420" s="4">
        <f>MONTH(Table1[[#This Row],[Order_Date]])</f>
        <v>8</v>
      </c>
      <c r="AB420" s="13">
        <f>Table1[[#This Row],[Amount]]*Table1[[#This Row],[Discount_Percent]]</f>
        <v>107.47000000000001</v>
      </c>
    </row>
    <row r="421" spans="1:28" ht="14.25" customHeight="1">
      <c r="A421" s="1" t="s">
        <v>369</v>
      </c>
      <c r="B421" s="1" t="s">
        <v>370</v>
      </c>
      <c r="C421" s="1" t="s">
        <v>371</v>
      </c>
      <c r="D421" s="1">
        <v>31</v>
      </c>
      <c r="E421" s="1" t="s">
        <v>54</v>
      </c>
      <c r="F421" s="1" t="s">
        <v>142</v>
      </c>
      <c r="G421" s="1" t="s">
        <v>372</v>
      </c>
      <c r="H421" s="1" t="s">
        <v>373</v>
      </c>
      <c r="I421" s="1" t="s">
        <v>1799</v>
      </c>
      <c r="J421" s="24">
        <v>45653</v>
      </c>
      <c r="K421" s="1" t="s">
        <v>1800</v>
      </c>
      <c r="L421" s="1" t="s">
        <v>253</v>
      </c>
      <c r="M421" s="1">
        <v>128.13999999999999</v>
      </c>
      <c r="N421" s="1">
        <v>1</v>
      </c>
      <c r="O421" s="1" t="s">
        <v>65</v>
      </c>
      <c r="P421" s="1">
        <v>5</v>
      </c>
      <c r="Q421" s="1">
        <v>55</v>
      </c>
      <c r="R421" s="24">
        <v>45655</v>
      </c>
      <c r="S421" s="1" t="s">
        <v>1801</v>
      </c>
      <c r="T421" s="4">
        <f>Table1[[#This Row],[Delivery_Date]]-Table1[[#This Row],[Order_Date]]</f>
        <v>2</v>
      </c>
      <c r="U421" s="4">
        <f>Table1[[#This Row],[Price]]*Table1[[#This Row],[Quantity]]</f>
        <v>128.13999999999999</v>
      </c>
      <c r="V421" s="11">
        <f t="shared" si="6"/>
        <v>0</v>
      </c>
      <c r="W421" s="4">
        <f>Table1[[#This Row],[Amount]]-(Table1[[#This Row],[Amount]]*Table1[[#This Row],[Discount_Percent]])</f>
        <v>128.13999999999999</v>
      </c>
      <c r="X421" s="4">
        <f>IF(O421="DEL0", Table1[[#This Row],[Discounted_Amount]],Table1[[#This Row],[Discounted_Amount]]+Table1[[#This Row],[Delivery_Charge]])</f>
        <v>128.13999999999999</v>
      </c>
      <c r="Y421" s="4" t="str">
        <f>Table1[[#This Row],[First_Name]]&amp;" "&amp;Table1[[#This Row],[Last_Name]]</f>
        <v>Timothy Hicks</v>
      </c>
      <c r="Z421" s="4" t="str">
        <f>IF(T:T&gt;Table1[[#This Row],[Estimated_Days_to_Deliver]],"Late",IF(T:T=Table1[[#This Row],[Estimated_Days_to_Deliver]],"Intime","BeforeTime"))</f>
        <v>BeforeTime</v>
      </c>
      <c r="AA421" s="4">
        <f>MONTH(Table1[[#This Row],[Order_Date]])</f>
        <v>12</v>
      </c>
      <c r="AB421" s="13">
        <f>Table1[[#This Row],[Amount]]*Table1[[#This Row],[Discount_Percent]]</f>
        <v>0</v>
      </c>
    </row>
    <row r="422" spans="1:28" ht="14.25" customHeight="1">
      <c r="A422" s="1" t="s">
        <v>549</v>
      </c>
      <c r="B422" s="1" t="s">
        <v>550</v>
      </c>
      <c r="C422" s="1" t="s">
        <v>551</v>
      </c>
      <c r="D422" s="1">
        <v>33</v>
      </c>
      <c r="E422" s="1" t="s">
        <v>54</v>
      </c>
      <c r="F422" s="1" t="s">
        <v>170</v>
      </c>
      <c r="G422" s="1" t="s">
        <v>552</v>
      </c>
      <c r="H422" s="1" t="s">
        <v>553</v>
      </c>
      <c r="I422" s="1" t="s">
        <v>1802</v>
      </c>
      <c r="J422" s="24">
        <v>45351</v>
      </c>
      <c r="K422" s="1" t="s">
        <v>1803</v>
      </c>
      <c r="L422" s="1" t="s">
        <v>556</v>
      </c>
      <c r="M422" s="1">
        <v>425.59</v>
      </c>
      <c r="N422" s="1">
        <v>2</v>
      </c>
      <c r="O422" s="1" t="s">
        <v>98</v>
      </c>
      <c r="P422" s="1">
        <v>5</v>
      </c>
      <c r="Q422" s="1">
        <v>64</v>
      </c>
      <c r="R422" s="24">
        <v>45358</v>
      </c>
      <c r="S422" s="1" t="s">
        <v>1804</v>
      </c>
      <c r="T422" s="4">
        <f>Table1[[#This Row],[Delivery_Date]]-Table1[[#This Row],[Order_Date]]</f>
        <v>7</v>
      </c>
      <c r="U422" s="4">
        <f>Table1[[#This Row],[Price]]*Table1[[#This Row],[Quantity]]</f>
        <v>851.18</v>
      </c>
      <c r="V422" s="11">
        <f t="shared" si="6"/>
        <v>0.1</v>
      </c>
      <c r="W422" s="4">
        <f>Table1[[#This Row],[Amount]]-(Table1[[#This Row],[Amount]]*Table1[[#This Row],[Discount_Percent]])</f>
        <v>766.0619999999999</v>
      </c>
      <c r="X422" s="4">
        <f>IF(O422="DEL0", Table1[[#This Row],[Discounted_Amount]],Table1[[#This Row],[Discounted_Amount]]+Table1[[#This Row],[Delivery_Charge]])</f>
        <v>830.0619999999999</v>
      </c>
      <c r="Y422" s="4" t="str">
        <f>Table1[[#This Row],[First_Name]]&amp;" "&amp;Table1[[#This Row],[Last_Name]]</f>
        <v>Jodi Whitney</v>
      </c>
      <c r="Z422" s="4" t="str">
        <f>IF(T:T&gt;Table1[[#This Row],[Estimated_Days_to_Deliver]],"Late",IF(T:T=Table1[[#This Row],[Estimated_Days_to_Deliver]],"Intime","BeforeTime"))</f>
        <v>Late</v>
      </c>
      <c r="AA422" s="4">
        <f>MONTH(Table1[[#This Row],[Order_Date]])</f>
        <v>2</v>
      </c>
      <c r="AB422" s="13">
        <f>Table1[[#This Row],[Amount]]*Table1[[#This Row],[Discount_Percent]]</f>
        <v>85.117999999999995</v>
      </c>
    </row>
    <row r="423" spans="1:28" ht="14.25" customHeight="1">
      <c r="A423" s="1" t="s">
        <v>404</v>
      </c>
      <c r="B423" s="1" t="s">
        <v>405</v>
      </c>
      <c r="C423" s="1" t="s">
        <v>406</v>
      </c>
      <c r="D423" s="1">
        <v>70</v>
      </c>
      <c r="E423" s="1" t="s">
        <v>31</v>
      </c>
      <c r="F423" s="1" t="s">
        <v>32</v>
      </c>
      <c r="G423" s="1" t="s">
        <v>407</v>
      </c>
      <c r="H423" s="1" t="s">
        <v>408</v>
      </c>
      <c r="I423" s="1" t="s">
        <v>1805</v>
      </c>
      <c r="J423" s="24">
        <v>45622</v>
      </c>
      <c r="K423" s="1" t="s">
        <v>1806</v>
      </c>
      <c r="L423" s="1" t="s">
        <v>987</v>
      </c>
      <c r="M423" s="1">
        <v>33.49</v>
      </c>
      <c r="N423" s="1">
        <v>5</v>
      </c>
      <c r="O423" s="1" t="s">
        <v>87</v>
      </c>
      <c r="P423" s="1">
        <v>5</v>
      </c>
      <c r="Q423" s="1">
        <v>64</v>
      </c>
      <c r="R423" s="24">
        <v>45628</v>
      </c>
      <c r="S423" s="1" t="s">
        <v>1807</v>
      </c>
      <c r="T423" s="4">
        <f>Table1[[#This Row],[Delivery_Date]]-Table1[[#This Row],[Order_Date]]</f>
        <v>6</v>
      </c>
      <c r="U423" s="4">
        <f>Table1[[#This Row],[Price]]*Table1[[#This Row],[Quantity]]</f>
        <v>167.45000000000002</v>
      </c>
      <c r="V423" s="11">
        <f t="shared" si="6"/>
        <v>0.2</v>
      </c>
      <c r="W423" s="4">
        <f>Table1[[#This Row],[Amount]]-(Table1[[#This Row],[Amount]]*Table1[[#This Row],[Discount_Percent]])</f>
        <v>133.96</v>
      </c>
      <c r="X423" s="4">
        <f>IF(O423="DEL0", Table1[[#This Row],[Discounted_Amount]],Table1[[#This Row],[Discounted_Amount]]+Table1[[#This Row],[Delivery_Charge]])</f>
        <v>197.96</v>
      </c>
      <c r="Y423" s="4" t="str">
        <f>Table1[[#This Row],[First_Name]]&amp;" "&amp;Table1[[#This Row],[Last_Name]]</f>
        <v>Alexandra Smith</v>
      </c>
      <c r="Z423" s="4" t="str">
        <f>IF(T:T&gt;Table1[[#This Row],[Estimated_Days_to_Deliver]],"Late",IF(T:T=Table1[[#This Row],[Estimated_Days_to_Deliver]],"Intime","BeforeTime"))</f>
        <v>Late</v>
      </c>
      <c r="AA423" s="4">
        <f>MONTH(Table1[[#This Row],[Order_Date]])</f>
        <v>11</v>
      </c>
      <c r="AB423" s="13">
        <f>Table1[[#This Row],[Amount]]*Table1[[#This Row],[Discount_Percent]]</f>
        <v>33.49</v>
      </c>
    </row>
    <row r="424" spans="1:28" ht="14.25" customHeight="1">
      <c r="A424" s="1" t="s">
        <v>239</v>
      </c>
      <c r="B424" s="1" t="s">
        <v>68</v>
      </c>
      <c r="C424" s="1" t="s">
        <v>240</v>
      </c>
      <c r="D424" s="1">
        <v>52</v>
      </c>
      <c r="E424" s="1" t="s">
        <v>54</v>
      </c>
      <c r="F424" s="1" t="s">
        <v>44</v>
      </c>
      <c r="G424" s="1" t="s">
        <v>241</v>
      </c>
      <c r="H424" s="1" t="s">
        <v>242</v>
      </c>
      <c r="I424" s="1" t="s">
        <v>1808</v>
      </c>
      <c r="J424" s="24">
        <v>45269</v>
      </c>
      <c r="K424" s="1" t="s">
        <v>1809</v>
      </c>
      <c r="L424" s="1" t="s">
        <v>660</v>
      </c>
      <c r="M424" s="1">
        <v>235.63</v>
      </c>
      <c r="N424" s="1">
        <v>1</v>
      </c>
      <c r="O424" s="1" t="s">
        <v>65</v>
      </c>
      <c r="P424" s="1">
        <v>5</v>
      </c>
      <c r="Q424" s="1">
        <v>35</v>
      </c>
      <c r="R424" s="24">
        <v>45272</v>
      </c>
      <c r="S424" s="1" t="s">
        <v>1810</v>
      </c>
      <c r="T424" s="4">
        <f>Table1[[#This Row],[Delivery_Date]]-Table1[[#This Row],[Order_Date]]</f>
        <v>3</v>
      </c>
      <c r="U424" s="4">
        <f>Table1[[#This Row],[Price]]*Table1[[#This Row],[Quantity]]</f>
        <v>235.63</v>
      </c>
      <c r="V424" s="11">
        <f t="shared" si="6"/>
        <v>0</v>
      </c>
      <c r="W424" s="4">
        <f>Table1[[#This Row],[Amount]]-(Table1[[#This Row],[Amount]]*Table1[[#This Row],[Discount_Percent]])</f>
        <v>235.63</v>
      </c>
      <c r="X424" s="4">
        <f>IF(O424="DEL0", Table1[[#This Row],[Discounted_Amount]],Table1[[#This Row],[Discounted_Amount]]+Table1[[#This Row],[Delivery_Charge]])</f>
        <v>235.63</v>
      </c>
      <c r="Y424" s="4" t="str">
        <f>Table1[[#This Row],[First_Name]]&amp;" "&amp;Table1[[#This Row],[Last_Name]]</f>
        <v>Angela Evans</v>
      </c>
      <c r="Z424" s="4" t="str">
        <f>IF(T:T&gt;Table1[[#This Row],[Estimated_Days_to_Deliver]],"Late",IF(T:T=Table1[[#This Row],[Estimated_Days_to_Deliver]],"Intime","BeforeTime"))</f>
        <v>BeforeTime</v>
      </c>
      <c r="AA424" s="4">
        <f>MONTH(Table1[[#This Row],[Order_Date]])</f>
        <v>12</v>
      </c>
      <c r="AB424" s="13">
        <f>Table1[[#This Row],[Amount]]*Table1[[#This Row],[Discount_Percent]]</f>
        <v>0</v>
      </c>
    </row>
    <row r="425" spans="1:28" ht="14.25" customHeight="1">
      <c r="A425" s="1" t="s">
        <v>1460</v>
      </c>
      <c r="B425" s="1" t="s">
        <v>276</v>
      </c>
      <c r="C425" s="1" t="s">
        <v>1461</v>
      </c>
      <c r="D425" s="1">
        <v>30</v>
      </c>
      <c r="E425" s="1" t="s">
        <v>31</v>
      </c>
      <c r="F425" s="1" t="s">
        <v>223</v>
      </c>
      <c r="G425" s="1" t="s">
        <v>1462</v>
      </c>
      <c r="H425" s="1" t="s">
        <v>1463</v>
      </c>
      <c r="I425" s="1" t="s">
        <v>1811</v>
      </c>
      <c r="J425" s="24">
        <v>45695</v>
      </c>
      <c r="K425" s="1" t="s">
        <v>1812</v>
      </c>
      <c r="L425" s="1" t="s">
        <v>777</v>
      </c>
      <c r="M425" s="1">
        <v>20</v>
      </c>
      <c r="N425" s="1">
        <v>3</v>
      </c>
      <c r="O425" s="1" t="s">
        <v>98</v>
      </c>
      <c r="P425" s="1">
        <v>5</v>
      </c>
      <c r="Q425" s="1">
        <v>65</v>
      </c>
      <c r="R425" s="24">
        <v>45701</v>
      </c>
      <c r="S425" s="1" t="s">
        <v>1813</v>
      </c>
      <c r="T425" s="4">
        <f>Table1[[#This Row],[Delivery_Date]]-Table1[[#This Row],[Order_Date]]</f>
        <v>6</v>
      </c>
      <c r="U425" s="4">
        <f>Table1[[#This Row],[Price]]*Table1[[#This Row],[Quantity]]</f>
        <v>60</v>
      </c>
      <c r="V425" s="11">
        <f t="shared" si="6"/>
        <v>0.1</v>
      </c>
      <c r="W425" s="4">
        <f>Table1[[#This Row],[Amount]]-(Table1[[#This Row],[Amount]]*Table1[[#This Row],[Discount_Percent]])</f>
        <v>54</v>
      </c>
      <c r="X425" s="4">
        <f>IF(O425="DEL0", Table1[[#This Row],[Discounted_Amount]],Table1[[#This Row],[Discounted_Amount]]+Table1[[#This Row],[Delivery_Charge]])</f>
        <v>119</v>
      </c>
      <c r="Y425" s="4" t="str">
        <f>Table1[[#This Row],[First_Name]]&amp;" "&amp;Table1[[#This Row],[Last_Name]]</f>
        <v>Lauren Lane</v>
      </c>
      <c r="Z425" s="4" t="str">
        <f>IF(T:T&gt;Table1[[#This Row],[Estimated_Days_to_Deliver]],"Late",IF(T:T=Table1[[#This Row],[Estimated_Days_to_Deliver]],"Intime","BeforeTime"))</f>
        <v>Late</v>
      </c>
      <c r="AA425" s="4">
        <f>MONTH(Table1[[#This Row],[Order_Date]])</f>
        <v>2</v>
      </c>
      <c r="AB425" s="13">
        <f>Table1[[#This Row],[Amount]]*Table1[[#This Row],[Discount_Percent]]</f>
        <v>6</v>
      </c>
    </row>
    <row r="426" spans="1:28" ht="14.25" customHeight="1">
      <c r="A426" s="1" t="s">
        <v>734</v>
      </c>
      <c r="B426" s="1" t="s">
        <v>735</v>
      </c>
      <c r="C426" s="1" t="s">
        <v>736</v>
      </c>
      <c r="D426" s="1">
        <v>30</v>
      </c>
      <c r="E426" s="1" t="s">
        <v>31</v>
      </c>
      <c r="F426" s="1" t="s">
        <v>161</v>
      </c>
      <c r="G426" s="1" t="s">
        <v>737</v>
      </c>
      <c r="H426" s="1" t="s">
        <v>738</v>
      </c>
      <c r="I426" s="1" t="s">
        <v>1814</v>
      </c>
      <c r="J426" s="24">
        <v>45587</v>
      </c>
      <c r="K426" s="1" t="s">
        <v>1815</v>
      </c>
      <c r="L426" s="1" t="s">
        <v>987</v>
      </c>
      <c r="M426" s="1">
        <v>33.49</v>
      </c>
      <c r="N426" s="1">
        <v>5</v>
      </c>
      <c r="O426" s="1" t="s">
        <v>87</v>
      </c>
      <c r="P426" s="1">
        <v>5</v>
      </c>
      <c r="Q426" s="1">
        <v>58</v>
      </c>
      <c r="R426" s="24">
        <v>45589</v>
      </c>
      <c r="S426" s="1" t="s">
        <v>1816</v>
      </c>
      <c r="T426" s="4">
        <f>Table1[[#This Row],[Delivery_Date]]-Table1[[#This Row],[Order_Date]]</f>
        <v>2</v>
      </c>
      <c r="U426" s="4">
        <f>Table1[[#This Row],[Price]]*Table1[[#This Row],[Quantity]]</f>
        <v>167.45000000000002</v>
      </c>
      <c r="V426" s="11">
        <f t="shared" si="6"/>
        <v>0.2</v>
      </c>
      <c r="W426" s="4">
        <f>Table1[[#This Row],[Amount]]-(Table1[[#This Row],[Amount]]*Table1[[#This Row],[Discount_Percent]])</f>
        <v>133.96</v>
      </c>
      <c r="X426" s="4">
        <f>IF(O426="DEL0", Table1[[#This Row],[Discounted_Amount]],Table1[[#This Row],[Discounted_Amount]]+Table1[[#This Row],[Delivery_Charge]])</f>
        <v>191.96</v>
      </c>
      <c r="Y426" s="4" t="str">
        <f>Table1[[#This Row],[First_Name]]&amp;" "&amp;Table1[[#This Row],[Last_Name]]</f>
        <v>Melissa Levy</v>
      </c>
      <c r="Z426" s="4" t="str">
        <f>IF(T:T&gt;Table1[[#This Row],[Estimated_Days_to_Deliver]],"Late",IF(T:T=Table1[[#This Row],[Estimated_Days_to_Deliver]],"Intime","BeforeTime"))</f>
        <v>BeforeTime</v>
      </c>
      <c r="AA426" s="4">
        <f>MONTH(Table1[[#This Row],[Order_Date]])</f>
        <v>10</v>
      </c>
      <c r="AB426" s="13">
        <f>Table1[[#This Row],[Amount]]*Table1[[#This Row],[Discount_Percent]]</f>
        <v>33.49</v>
      </c>
    </row>
    <row r="427" spans="1:28" ht="14.25" customHeight="1">
      <c r="A427" s="1" t="s">
        <v>649</v>
      </c>
      <c r="B427" s="1" t="s">
        <v>650</v>
      </c>
      <c r="C427" s="1" t="s">
        <v>651</v>
      </c>
      <c r="D427" s="1">
        <v>45</v>
      </c>
      <c r="E427" s="1" t="s">
        <v>54</v>
      </c>
      <c r="F427" s="1" t="s">
        <v>92</v>
      </c>
      <c r="G427" s="1" t="s">
        <v>652</v>
      </c>
      <c r="H427" s="1" t="s">
        <v>653</v>
      </c>
      <c r="I427" s="1" t="s">
        <v>1817</v>
      </c>
      <c r="J427" s="24">
        <v>44987</v>
      </c>
      <c r="K427" s="1" t="s">
        <v>1818</v>
      </c>
      <c r="L427" s="1" t="s">
        <v>517</v>
      </c>
      <c r="M427" s="1">
        <v>136.30000000000001</v>
      </c>
      <c r="N427" s="1">
        <v>1</v>
      </c>
      <c r="O427" s="1" t="s">
        <v>38</v>
      </c>
      <c r="P427" s="1">
        <v>5</v>
      </c>
      <c r="Q427" s="1">
        <v>41</v>
      </c>
      <c r="R427" s="24">
        <v>44988</v>
      </c>
      <c r="S427" s="1" t="s">
        <v>1819</v>
      </c>
      <c r="T427" s="4">
        <f>Table1[[#This Row],[Delivery_Date]]-Table1[[#This Row],[Order_Date]]</f>
        <v>1</v>
      </c>
      <c r="U427" s="4">
        <f>Table1[[#This Row],[Price]]*Table1[[#This Row],[Quantity]]</f>
        <v>136.30000000000001</v>
      </c>
      <c r="V427" s="11">
        <f t="shared" si="6"/>
        <v>0.08</v>
      </c>
      <c r="W427" s="4">
        <f>Table1[[#This Row],[Amount]]-(Table1[[#This Row],[Amount]]*Table1[[#This Row],[Discount_Percent]])</f>
        <v>125.39600000000002</v>
      </c>
      <c r="X427" s="4">
        <f>IF(O427="DEL0", Table1[[#This Row],[Discounted_Amount]],Table1[[#This Row],[Discounted_Amount]]+Table1[[#This Row],[Delivery_Charge]])</f>
        <v>166.39600000000002</v>
      </c>
      <c r="Y427" s="4" t="str">
        <f>Table1[[#This Row],[First_Name]]&amp;" "&amp;Table1[[#This Row],[Last_Name]]</f>
        <v>Beth Mason</v>
      </c>
      <c r="Z427" s="4" t="str">
        <f>IF(T:T&gt;Table1[[#This Row],[Estimated_Days_to_Deliver]],"Late",IF(T:T=Table1[[#This Row],[Estimated_Days_to_Deliver]],"Intime","BeforeTime"))</f>
        <v>BeforeTime</v>
      </c>
      <c r="AA427" s="4">
        <f>MONTH(Table1[[#This Row],[Order_Date]])</f>
        <v>3</v>
      </c>
      <c r="AB427" s="13">
        <f>Table1[[#This Row],[Amount]]*Table1[[#This Row],[Discount_Percent]]</f>
        <v>10.904000000000002</v>
      </c>
    </row>
    <row r="428" spans="1:28" ht="14.25" customHeight="1">
      <c r="A428" s="1" t="s">
        <v>1820</v>
      </c>
      <c r="B428" s="1" t="s">
        <v>1821</v>
      </c>
      <c r="C428" s="1" t="s">
        <v>197</v>
      </c>
      <c r="D428" s="1">
        <v>29</v>
      </c>
      <c r="E428" s="1" t="s">
        <v>54</v>
      </c>
      <c r="F428" s="1" t="s">
        <v>92</v>
      </c>
      <c r="G428" s="1" t="s">
        <v>1822</v>
      </c>
      <c r="H428" s="1" t="s">
        <v>1823</v>
      </c>
      <c r="I428" s="1" t="s">
        <v>1824</v>
      </c>
      <c r="J428" s="24">
        <v>45537</v>
      </c>
      <c r="K428" s="1" t="s">
        <v>1825</v>
      </c>
      <c r="L428" s="1" t="s">
        <v>273</v>
      </c>
      <c r="M428" s="1">
        <v>62.42</v>
      </c>
      <c r="N428" s="1">
        <v>1</v>
      </c>
      <c r="O428" s="1" t="s">
        <v>38</v>
      </c>
      <c r="P428" s="1">
        <v>5</v>
      </c>
      <c r="Q428" s="1">
        <v>48</v>
      </c>
      <c r="R428" s="24">
        <v>45542</v>
      </c>
      <c r="S428" s="1" t="s">
        <v>1826</v>
      </c>
      <c r="T428" s="4">
        <f>Table1[[#This Row],[Delivery_Date]]-Table1[[#This Row],[Order_Date]]</f>
        <v>5</v>
      </c>
      <c r="U428" s="4">
        <f>Table1[[#This Row],[Price]]*Table1[[#This Row],[Quantity]]</f>
        <v>62.42</v>
      </c>
      <c r="V428" s="11">
        <f t="shared" si="6"/>
        <v>0.08</v>
      </c>
      <c r="W428" s="4">
        <f>Table1[[#This Row],[Amount]]-(Table1[[#This Row],[Amount]]*Table1[[#This Row],[Discount_Percent]])</f>
        <v>57.426400000000001</v>
      </c>
      <c r="X428" s="4">
        <f>IF(O428="DEL0", Table1[[#This Row],[Discounted_Amount]],Table1[[#This Row],[Discounted_Amount]]+Table1[[#This Row],[Delivery_Charge]])</f>
        <v>105.4264</v>
      </c>
      <c r="Y428" s="4" t="str">
        <f>Table1[[#This Row],[First_Name]]&amp;" "&amp;Table1[[#This Row],[Last_Name]]</f>
        <v>Scott Jones</v>
      </c>
      <c r="Z428" s="4" t="str">
        <f>IF(T:T&gt;Table1[[#This Row],[Estimated_Days_to_Deliver]],"Late",IF(T:T=Table1[[#This Row],[Estimated_Days_to_Deliver]],"Intime","BeforeTime"))</f>
        <v>Intime</v>
      </c>
      <c r="AA428" s="4">
        <f>MONTH(Table1[[#This Row],[Order_Date]])</f>
        <v>9</v>
      </c>
      <c r="AB428" s="13">
        <f>Table1[[#This Row],[Amount]]*Table1[[#This Row],[Discount_Percent]]</f>
        <v>4.9935999999999998</v>
      </c>
    </row>
    <row r="429" spans="1:28" ht="14.25" customHeight="1">
      <c r="A429" s="1" t="s">
        <v>523</v>
      </c>
      <c r="B429" s="1" t="s">
        <v>524</v>
      </c>
      <c r="C429" s="1" t="s">
        <v>525</v>
      </c>
      <c r="D429" s="1">
        <v>42</v>
      </c>
      <c r="E429" s="1" t="s">
        <v>54</v>
      </c>
      <c r="F429" s="1" t="s">
        <v>78</v>
      </c>
      <c r="G429" s="1" t="s">
        <v>526</v>
      </c>
      <c r="H429" s="1" t="s">
        <v>527</v>
      </c>
      <c r="I429" s="1" t="s">
        <v>1827</v>
      </c>
      <c r="J429" s="24">
        <v>45646</v>
      </c>
      <c r="K429" s="1" t="s">
        <v>1828</v>
      </c>
      <c r="L429" s="1" t="s">
        <v>556</v>
      </c>
      <c r="M429" s="1">
        <v>425.59</v>
      </c>
      <c r="N429" s="1">
        <v>5</v>
      </c>
      <c r="O429" s="1" t="s">
        <v>65</v>
      </c>
      <c r="P429" s="1">
        <v>5</v>
      </c>
      <c r="Q429" s="1">
        <v>47</v>
      </c>
      <c r="R429" s="24">
        <v>45652</v>
      </c>
      <c r="S429" s="1" t="s">
        <v>1829</v>
      </c>
      <c r="T429" s="4">
        <f>Table1[[#This Row],[Delivery_Date]]-Table1[[#This Row],[Order_Date]]</f>
        <v>6</v>
      </c>
      <c r="U429" s="4">
        <f>Table1[[#This Row],[Price]]*Table1[[#This Row],[Quantity]]</f>
        <v>2127.9499999999998</v>
      </c>
      <c r="V429" s="11">
        <f t="shared" si="6"/>
        <v>0</v>
      </c>
      <c r="W429" s="4">
        <f>Table1[[#This Row],[Amount]]-(Table1[[#This Row],[Amount]]*Table1[[#This Row],[Discount_Percent]])</f>
        <v>2127.9499999999998</v>
      </c>
      <c r="X429" s="4">
        <f>IF(O429="DEL0", Table1[[#This Row],[Discounted_Amount]],Table1[[#This Row],[Discounted_Amount]]+Table1[[#This Row],[Delivery_Charge]])</f>
        <v>2127.9499999999998</v>
      </c>
      <c r="Y429" s="4" t="str">
        <f>Table1[[#This Row],[First_Name]]&amp;" "&amp;Table1[[#This Row],[Last_Name]]</f>
        <v>Katherine Weber</v>
      </c>
      <c r="Z429" s="4" t="str">
        <f>IF(T:T&gt;Table1[[#This Row],[Estimated_Days_to_Deliver]],"Late",IF(T:T=Table1[[#This Row],[Estimated_Days_to_Deliver]],"Intime","BeforeTime"))</f>
        <v>Late</v>
      </c>
      <c r="AA429" s="4">
        <f>MONTH(Table1[[#This Row],[Order_Date]])</f>
        <v>12</v>
      </c>
      <c r="AB429" s="13">
        <f>Table1[[#This Row],[Amount]]*Table1[[#This Row],[Discount_Percent]]</f>
        <v>0</v>
      </c>
    </row>
    <row r="430" spans="1:28" ht="14.25" customHeight="1">
      <c r="A430" s="1" t="s">
        <v>195</v>
      </c>
      <c r="B430" s="1" t="s">
        <v>196</v>
      </c>
      <c r="C430" s="1" t="s">
        <v>197</v>
      </c>
      <c r="D430" s="1">
        <v>34</v>
      </c>
      <c r="E430" s="1" t="s">
        <v>31</v>
      </c>
      <c r="F430" s="1" t="s">
        <v>92</v>
      </c>
      <c r="G430" s="1" t="s">
        <v>198</v>
      </c>
      <c r="H430" s="1" t="s">
        <v>199</v>
      </c>
      <c r="I430" s="1" t="s">
        <v>1830</v>
      </c>
      <c r="J430" s="24">
        <v>45504</v>
      </c>
      <c r="K430" s="1" t="s">
        <v>1831</v>
      </c>
      <c r="L430" s="1" t="s">
        <v>944</v>
      </c>
      <c r="M430" s="1">
        <v>107.47</v>
      </c>
      <c r="N430" s="1">
        <v>5</v>
      </c>
      <c r="O430" s="1" t="s">
        <v>98</v>
      </c>
      <c r="P430" s="1">
        <v>5</v>
      </c>
      <c r="Q430" s="1">
        <v>48</v>
      </c>
      <c r="R430" s="24">
        <v>45505</v>
      </c>
      <c r="S430" s="1" t="s">
        <v>1832</v>
      </c>
      <c r="T430" s="4">
        <f>Table1[[#This Row],[Delivery_Date]]-Table1[[#This Row],[Order_Date]]</f>
        <v>1</v>
      </c>
      <c r="U430" s="4">
        <f>Table1[[#This Row],[Price]]*Table1[[#This Row],[Quantity]]</f>
        <v>537.35</v>
      </c>
      <c r="V430" s="11">
        <f t="shared" si="6"/>
        <v>0.1</v>
      </c>
      <c r="W430" s="4">
        <f>Table1[[#This Row],[Amount]]-(Table1[[#This Row],[Amount]]*Table1[[#This Row],[Discount_Percent]])</f>
        <v>483.61500000000001</v>
      </c>
      <c r="X430" s="4">
        <f>IF(O430="DEL0", Table1[[#This Row],[Discounted_Amount]],Table1[[#This Row],[Discounted_Amount]]+Table1[[#This Row],[Delivery_Charge]])</f>
        <v>531.61500000000001</v>
      </c>
      <c r="Y430" s="4" t="str">
        <f>Table1[[#This Row],[First_Name]]&amp;" "&amp;Table1[[#This Row],[Last_Name]]</f>
        <v>Traci Jones</v>
      </c>
      <c r="Z430" s="4" t="str">
        <f>IF(T:T&gt;Table1[[#This Row],[Estimated_Days_to_Deliver]],"Late",IF(T:T=Table1[[#This Row],[Estimated_Days_to_Deliver]],"Intime","BeforeTime"))</f>
        <v>BeforeTime</v>
      </c>
      <c r="AA430" s="4">
        <f>MONTH(Table1[[#This Row],[Order_Date]])</f>
        <v>7</v>
      </c>
      <c r="AB430" s="13">
        <f>Table1[[#This Row],[Amount]]*Table1[[#This Row],[Discount_Percent]]</f>
        <v>53.735000000000007</v>
      </c>
    </row>
    <row r="431" spans="1:28" ht="14.25" customHeight="1">
      <c r="A431" s="1" t="s">
        <v>139</v>
      </c>
      <c r="B431" s="1" t="s">
        <v>140</v>
      </c>
      <c r="C431" s="1" t="s">
        <v>141</v>
      </c>
      <c r="D431" s="1">
        <v>25</v>
      </c>
      <c r="E431" s="1" t="s">
        <v>54</v>
      </c>
      <c r="F431" s="1" t="s">
        <v>142</v>
      </c>
      <c r="G431" s="1" t="s">
        <v>143</v>
      </c>
      <c r="H431" s="1" t="s">
        <v>144</v>
      </c>
      <c r="I431" s="1" t="s">
        <v>1833</v>
      </c>
      <c r="J431" s="24">
        <v>45271</v>
      </c>
      <c r="K431" s="1" t="s">
        <v>1834</v>
      </c>
      <c r="L431" s="1" t="s">
        <v>290</v>
      </c>
      <c r="M431" s="1">
        <v>157.63999999999999</v>
      </c>
      <c r="N431" s="1">
        <v>2</v>
      </c>
      <c r="O431" s="1" t="s">
        <v>65</v>
      </c>
      <c r="P431" s="1">
        <v>5</v>
      </c>
      <c r="Q431" s="1">
        <v>57</v>
      </c>
      <c r="R431" s="24">
        <v>45277</v>
      </c>
      <c r="S431" s="1" t="s">
        <v>1835</v>
      </c>
      <c r="T431" s="4">
        <f>Table1[[#This Row],[Delivery_Date]]-Table1[[#This Row],[Order_Date]]</f>
        <v>6</v>
      </c>
      <c r="U431" s="4">
        <f>Table1[[#This Row],[Price]]*Table1[[#This Row],[Quantity]]</f>
        <v>315.27999999999997</v>
      </c>
      <c r="V431" s="11">
        <f t="shared" si="6"/>
        <v>0</v>
      </c>
      <c r="W431" s="4">
        <f>Table1[[#This Row],[Amount]]-(Table1[[#This Row],[Amount]]*Table1[[#This Row],[Discount_Percent]])</f>
        <v>315.27999999999997</v>
      </c>
      <c r="X431" s="4">
        <f>IF(O431="DEL0", Table1[[#This Row],[Discounted_Amount]],Table1[[#This Row],[Discounted_Amount]]+Table1[[#This Row],[Delivery_Charge]])</f>
        <v>315.27999999999997</v>
      </c>
      <c r="Y431" s="4" t="str">
        <f>Table1[[#This Row],[First_Name]]&amp;" "&amp;Table1[[#This Row],[Last_Name]]</f>
        <v>Kara Brennan</v>
      </c>
      <c r="Z431" s="4" t="str">
        <f>IF(T:T&gt;Table1[[#This Row],[Estimated_Days_to_Deliver]],"Late",IF(T:T=Table1[[#This Row],[Estimated_Days_to_Deliver]],"Intime","BeforeTime"))</f>
        <v>Late</v>
      </c>
      <c r="AA431" s="4">
        <f>MONTH(Table1[[#This Row],[Order_Date]])</f>
        <v>12</v>
      </c>
      <c r="AB431" s="13">
        <f>Table1[[#This Row],[Amount]]*Table1[[#This Row],[Discount_Percent]]</f>
        <v>0</v>
      </c>
    </row>
    <row r="432" spans="1:28" ht="14.25" customHeight="1">
      <c r="A432" s="1" t="s">
        <v>369</v>
      </c>
      <c r="B432" s="1" t="s">
        <v>370</v>
      </c>
      <c r="C432" s="1" t="s">
        <v>371</v>
      </c>
      <c r="D432" s="1">
        <v>31</v>
      </c>
      <c r="E432" s="1" t="s">
        <v>54</v>
      </c>
      <c r="F432" s="1" t="s">
        <v>142</v>
      </c>
      <c r="G432" s="1" t="s">
        <v>372</v>
      </c>
      <c r="H432" s="1" t="s">
        <v>373</v>
      </c>
      <c r="I432" s="1" t="s">
        <v>1836</v>
      </c>
      <c r="J432" s="24">
        <v>45398</v>
      </c>
      <c r="K432" s="1" t="s">
        <v>1837</v>
      </c>
      <c r="L432" s="1" t="s">
        <v>556</v>
      </c>
      <c r="M432" s="1">
        <v>425.59</v>
      </c>
      <c r="N432" s="1">
        <v>2</v>
      </c>
      <c r="O432" s="1" t="s">
        <v>60</v>
      </c>
      <c r="P432" s="1">
        <v>5</v>
      </c>
      <c r="Q432" s="1">
        <v>44</v>
      </c>
      <c r="R432" s="24">
        <v>45403</v>
      </c>
      <c r="S432" s="1" t="s">
        <v>1838</v>
      </c>
      <c r="T432" s="4">
        <f>Table1[[#This Row],[Delivery_Date]]-Table1[[#This Row],[Order_Date]]</f>
        <v>5</v>
      </c>
      <c r="U432" s="4">
        <f>Table1[[#This Row],[Price]]*Table1[[#This Row],[Quantity]]</f>
        <v>851.18</v>
      </c>
      <c r="V432" s="11">
        <f t="shared" si="6"/>
        <v>0.15</v>
      </c>
      <c r="W432" s="4">
        <f>Table1[[#This Row],[Amount]]-(Table1[[#This Row],[Amount]]*Table1[[#This Row],[Discount_Percent]])</f>
        <v>723.50299999999993</v>
      </c>
      <c r="X432" s="4">
        <f>IF(O432="DEL0", Table1[[#This Row],[Discounted_Amount]],Table1[[#This Row],[Discounted_Amount]]+Table1[[#This Row],[Delivery_Charge]])</f>
        <v>767.50299999999993</v>
      </c>
      <c r="Y432" s="4" t="str">
        <f>Table1[[#This Row],[First_Name]]&amp;" "&amp;Table1[[#This Row],[Last_Name]]</f>
        <v>Timothy Hicks</v>
      </c>
      <c r="Z432" s="4" t="str">
        <f>IF(T:T&gt;Table1[[#This Row],[Estimated_Days_to_Deliver]],"Late",IF(T:T=Table1[[#This Row],[Estimated_Days_to_Deliver]],"Intime","BeforeTime"))</f>
        <v>Intime</v>
      </c>
      <c r="AA432" s="4">
        <f>MONTH(Table1[[#This Row],[Order_Date]])</f>
        <v>4</v>
      </c>
      <c r="AB432" s="13">
        <f>Table1[[#This Row],[Amount]]*Table1[[#This Row],[Discount_Percent]]</f>
        <v>127.67699999999999</v>
      </c>
    </row>
    <row r="433" spans="1:28" ht="14.25" customHeight="1">
      <c r="A433" s="1" t="s">
        <v>753</v>
      </c>
      <c r="B433" s="1" t="s">
        <v>754</v>
      </c>
      <c r="C433" s="1" t="s">
        <v>755</v>
      </c>
      <c r="D433" s="1">
        <v>43</v>
      </c>
      <c r="E433" s="1" t="s">
        <v>54</v>
      </c>
      <c r="F433" s="1" t="s">
        <v>161</v>
      </c>
      <c r="G433" s="1" t="s">
        <v>756</v>
      </c>
      <c r="H433" s="1" t="s">
        <v>757</v>
      </c>
      <c r="I433" s="1" t="s">
        <v>1839</v>
      </c>
      <c r="J433" s="24">
        <v>45432</v>
      </c>
      <c r="K433" s="1" t="s">
        <v>1840</v>
      </c>
      <c r="L433" s="1" t="s">
        <v>228</v>
      </c>
      <c r="M433" s="1">
        <v>461.07</v>
      </c>
      <c r="N433" s="1">
        <v>1</v>
      </c>
      <c r="O433" s="1" t="s">
        <v>38</v>
      </c>
      <c r="P433" s="1">
        <v>5</v>
      </c>
      <c r="Q433" s="1">
        <v>42</v>
      </c>
      <c r="R433" s="24">
        <v>45433</v>
      </c>
      <c r="S433" s="1" t="s">
        <v>1841</v>
      </c>
      <c r="T433" s="4">
        <f>Table1[[#This Row],[Delivery_Date]]-Table1[[#This Row],[Order_Date]]</f>
        <v>1</v>
      </c>
      <c r="U433" s="4">
        <f>Table1[[#This Row],[Price]]*Table1[[#This Row],[Quantity]]</f>
        <v>461.07</v>
      </c>
      <c r="V433" s="11">
        <f t="shared" si="6"/>
        <v>0.08</v>
      </c>
      <c r="W433" s="4">
        <f>Table1[[#This Row],[Amount]]-(Table1[[#This Row],[Amount]]*Table1[[#This Row],[Discount_Percent]])</f>
        <v>424.18439999999998</v>
      </c>
      <c r="X433" s="4">
        <f>IF(O433="DEL0", Table1[[#This Row],[Discounted_Amount]],Table1[[#This Row],[Discounted_Amount]]+Table1[[#This Row],[Delivery_Charge]])</f>
        <v>466.18439999999998</v>
      </c>
      <c r="Y433" s="4" t="str">
        <f>Table1[[#This Row],[First_Name]]&amp;" "&amp;Table1[[#This Row],[Last_Name]]</f>
        <v>Barbara Fuller</v>
      </c>
      <c r="Z433" s="4" t="str">
        <f>IF(T:T&gt;Table1[[#This Row],[Estimated_Days_to_Deliver]],"Late",IF(T:T=Table1[[#This Row],[Estimated_Days_to_Deliver]],"Intime","BeforeTime"))</f>
        <v>BeforeTime</v>
      </c>
      <c r="AA433" s="4">
        <f>MONTH(Table1[[#This Row],[Order_Date]])</f>
        <v>5</v>
      </c>
      <c r="AB433" s="13">
        <f>Table1[[#This Row],[Amount]]*Table1[[#This Row],[Discount_Percent]]</f>
        <v>36.885600000000004</v>
      </c>
    </row>
    <row r="434" spans="1:28" ht="14.25" customHeight="1">
      <c r="A434" s="1" t="s">
        <v>89</v>
      </c>
      <c r="B434" s="1" t="s">
        <v>90</v>
      </c>
      <c r="C434" s="1" t="s">
        <v>91</v>
      </c>
      <c r="D434" s="1">
        <v>26</v>
      </c>
      <c r="E434" s="1" t="s">
        <v>43</v>
      </c>
      <c r="F434" s="1" t="s">
        <v>92</v>
      </c>
      <c r="G434" s="1" t="s">
        <v>93</v>
      </c>
      <c r="H434" s="1" t="s">
        <v>94</v>
      </c>
      <c r="I434" s="1" t="s">
        <v>1842</v>
      </c>
      <c r="J434" s="24">
        <v>45449</v>
      </c>
      <c r="K434" s="1" t="s">
        <v>1843</v>
      </c>
      <c r="L434" s="1" t="s">
        <v>660</v>
      </c>
      <c r="M434" s="1">
        <v>235.63</v>
      </c>
      <c r="N434" s="1">
        <v>1</v>
      </c>
      <c r="O434" s="1" t="s">
        <v>60</v>
      </c>
      <c r="P434" s="1">
        <v>5</v>
      </c>
      <c r="Q434" s="1">
        <v>55</v>
      </c>
      <c r="R434" s="24">
        <v>45455</v>
      </c>
      <c r="S434" s="1" t="s">
        <v>1844</v>
      </c>
      <c r="T434" s="4">
        <f>Table1[[#This Row],[Delivery_Date]]-Table1[[#This Row],[Order_Date]]</f>
        <v>6</v>
      </c>
      <c r="U434" s="4">
        <f>Table1[[#This Row],[Price]]*Table1[[#This Row],[Quantity]]</f>
        <v>235.63</v>
      </c>
      <c r="V434" s="11">
        <f t="shared" si="6"/>
        <v>0.15</v>
      </c>
      <c r="W434" s="4">
        <f>Table1[[#This Row],[Amount]]-(Table1[[#This Row],[Amount]]*Table1[[#This Row],[Discount_Percent]])</f>
        <v>200.28550000000001</v>
      </c>
      <c r="X434" s="4">
        <f>IF(O434="DEL0", Table1[[#This Row],[Discounted_Amount]],Table1[[#This Row],[Discounted_Amount]]+Table1[[#This Row],[Delivery_Charge]])</f>
        <v>255.28550000000001</v>
      </c>
      <c r="Y434" s="4" t="str">
        <f>Table1[[#This Row],[First_Name]]&amp;" "&amp;Table1[[#This Row],[Last_Name]]</f>
        <v>David Delacruz</v>
      </c>
      <c r="Z434" s="4" t="str">
        <f>IF(T:T&gt;Table1[[#This Row],[Estimated_Days_to_Deliver]],"Late",IF(T:T=Table1[[#This Row],[Estimated_Days_to_Deliver]],"Intime","BeforeTime"))</f>
        <v>Late</v>
      </c>
      <c r="AA434" s="4">
        <f>MONTH(Table1[[#This Row],[Order_Date]])</f>
        <v>6</v>
      </c>
      <c r="AB434" s="13">
        <f>Table1[[#This Row],[Amount]]*Table1[[#This Row],[Discount_Percent]]</f>
        <v>35.344499999999996</v>
      </c>
    </row>
    <row r="435" spans="1:28" ht="14.25" customHeight="1">
      <c r="A435" s="1" t="s">
        <v>606</v>
      </c>
      <c r="B435" s="1" t="s">
        <v>607</v>
      </c>
      <c r="C435" s="1" t="s">
        <v>406</v>
      </c>
      <c r="D435" s="1">
        <v>18</v>
      </c>
      <c r="E435" s="1" t="s">
        <v>43</v>
      </c>
      <c r="F435" s="1" t="s">
        <v>44</v>
      </c>
      <c r="G435" s="1" t="s">
        <v>608</v>
      </c>
      <c r="H435" s="1" t="s">
        <v>609</v>
      </c>
      <c r="I435" s="1" t="s">
        <v>1845</v>
      </c>
      <c r="J435" s="24">
        <v>45178</v>
      </c>
      <c r="K435" s="1" t="s">
        <v>1846</v>
      </c>
      <c r="L435" s="1" t="s">
        <v>566</v>
      </c>
      <c r="M435" s="1">
        <v>133.62</v>
      </c>
      <c r="N435" s="1">
        <v>2</v>
      </c>
      <c r="O435" s="1" t="s">
        <v>38</v>
      </c>
      <c r="P435" s="1">
        <v>5</v>
      </c>
      <c r="Q435" s="1">
        <v>48</v>
      </c>
      <c r="R435" s="24">
        <v>45184</v>
      </c>
      <c r="S435" s="1" t="s">
        <v>1847</v>
      </c>
      <c r="T435" s="4">
        <f>Table1[[#This Row],[Delivery_Date]]-Table1[[#This Row],[Order_Date]]</f>
        <v>6</v>
      </c>
      <c r="U435" s="4">
        <f>Table1[[#This Row],[Price]]*Table1[[#This Row],[Quantity]]</f>
        <v>267.24</v>
      </c>
      <c r="V435" s="11">
        <f t="shared" si="6"/>
        <v>0.08</v>
      </c>
      <c r="W435" s="4">
        <f>Table1[[#This Row],[Amount]]-(Table1[[#This Row],[Amount]]*Table1[[#This Row],[Discount_Percent]])</f>
        <v>245.86080000000001</v>
      </c>
      <c r="X435" s="4">
        <f>IF(O435="DEL0", Table1[[#This Row],[Discounted_Amount]],Table1[[#This Row],[Discounted_Amount]]+Table1[[#This Row],[Delivery_Charge]])</f>
        <v>293.86080000000004</v>
      </c>
      <c r="Y435" s="4" t="str">
        <f>Table1[[#This Row],[First_Name]]&amp;" "&amp;Table1[[#This Row],[Last_Name]]</f>
        <v>Kelli Smith</v>
      </c>
      <c r="Z435" s="4" t="str">
        <f>IF(T:T&gt;Table1[[#This Row],[Estimated_Days_to_Deliver]],"Late",IF(T:T=Table1[[#This Row],[Estimated_Days_to_Deliver]],"Intime","BeforeTime"))</f>
        <v>Late</v>
      </c>
      <c r="AA435" s="4">
        <f>MONTH(Table1[[#This Row],[Order_Date]])</f>
        <v>9</v>
      </c>
      <c r="AB435" s="13">
        <f>Table1[[#This Row],[Amount]]*Table1[[#This Row],[Discount_Percent]]</f>
        <v>21.379200000000001</v>
      </c>
    </row>
    <row r="436" spans="1:28" ht="14.25" customHeight="1">
      <c r="A436" s="1" t="s">
        <v>1241</v>
      </c>
      <c r="B436" s="1" t="s">
        <v>1242</v>
      </c>
      <c r="C436" s="1" t="s">
        <v>1243</v>
      </c>
      <c r="D436" s="1">
        <v>55</v>
      </c>
      <c r="E436" s="1" t="s">
        <v>43</v>
      </c>
      <c r="F436" s="1" t="s">
        <v>161</v>
      </c>
      <c r="G436" s="1" t="s">
        <v>1244</v>
      </c>
      <c r="H436" s="1" t="s">
        <v>1245</v>
      </c>
      <c r="I436" s="1" t="s">
        <v>1848</v>
      </c>
      <c r="J436" s="24">
        <v>45005</v>
      </c>
      <c r="K436" s="1" t="s">
        <v>1849</v>
      </c>
      <c r="L436" s="1" t="s">
        <v>185</v>
      </c>
      <c r="M436" s="1">
        <v>104.18</v>
      </c>
      <c r="N436" s="1">
        <v>1</v>
      </c>
      <c r="O436" s="1" t="s">
        <v>38</v>
      </c>
      <c r="P436" s="1">
        <v>5</v>
      </c>
      <c r="Q436" s="1">
        <v>37</v>
      </c>
      <c r="R436" s="24">
        <v>45007</v>
      </c>
      <c r="S436" s="1" t="s">
        <v>1850</v>
      </c>
      <c r="T436" s="4">
        <f>Table1[[#This Row],[Delivery_Date]]-Table1[[#This Row],[Order_Date]]</f>
        <v>2</v>
      </c>
      <c r="U436" s="4">
        <f>Table1[[#This Row],[Price]]*Table1[[#This Row],[Quantity]]</f>
        <v>104.18</v>
      </c>
      <c r="V436" s="11">
        <f t="shared" si="6"/>
        <v>0.08</v>
      </c>
      <c r="W436" s="4">
        <f>Table1[[#This Row],[Amount]]-(Table1[[#This Row],[Amount]]*Table1[[#This Row],[Discount_Percent]])</f>
        <v>95.845600000000005</v>
      </c>
      <c r="X436" s="4">
        <f>IF(O436="DEL0", Table1[[#This Row],[Discounted_Amount]],Table1[[#This Row],[Discounted_Amount]]+Table1[[#This Row],[Delivery_Charge]])</f>
        <v>132.84559999999999</v>
      </c>
      <c r="Y436" s="4" t="str">
        <f>Table1[[#This Row],[First_Name]]&amp;" "&amp;Table1[[#This Row],[Last_Name]]</f>
        <v>Hannah Gutierrez</v>
      </c>
      <c r="Z436" s="4" t="str">
        <f>IF(T:T&gt;Table1[[#This Row],[Estimated_Days_to_Deliver]],"Late",IF(T:T=Table1[[#This Row],[Estimated_Days_to_Deliver]],"Intime","BeforeTime"))</f>
        <v>BeforeTime</v>
      </c>
      <c r="AA436" s="4">
        <f>MONTH(Table1[[#This Row],[Order_Date]])</f>
        <v>3</v>
      </c>
      <c r="AB436" s="13">
        <f>Table1[[#This Row],[Amount]]*Table1[[#This Row],[Discount_Percent]]</f>
        <v>8.3344000000000005</v>
      </c>
    </row>
    <row r="437" spans="1:28" ht="14.25" customHeight="1">
      <c r="A437" s="1" t="s">
        <v>682</v>
      </c>
      <c r="B437" s="1" t="s">
        <v>683</v>
      </c>
      <c r="C437" s="1" t="s">
        <v>684</v>
      </c>
      <c r="D437" s="1">
        <v>68</v>
      </c>
      <c r="E437" s="1" t="s">
        <v>31</v>
      </c>
      <c r="F437" s="1" t="s">
        <v>223</v>
      </c>
      <c r="G437" s="1" t="s">
        <v>685</v>
      </c>
      <c r="H437" s="1" t="s">
        <v>686</v>
      </c>
      <c r="I437" s="1" t="s">
        <v>1851</v>
      </c>
      <c r="J437" s="24">
        <v>45536</v>
      </c>
      <c r="K437" s="1" t="s">
        <v>1852</v>
      </c>
      <c r="L437" s="1" t="s">
        <v>97</v>
      </c>
      <c r="M437" s="1">
        <v>363.64</v>
      </c>
      <c r="N437" s="1">
        <v>4</v>
      </c>
      <c r="O437" s="1" t="s">
        <v>87</v>
      </c>
      <c r="P437" s="1">
        <v>5</v>
      </c>
      <c r="Q437" s="1">
        <v>42</v>
      </c>
      <c r="R437" s="24">
        <v>45540</v>
      </c>
      <c r="S437" s="1" t="s">
        <v>1853</v>
      </c>
      <c r="T437" s="4">
        <f>Table1[[#This Row],[Delivery_Date]]-Table1[[#This Row],[Order_Date]]</f>
        <v>4</v>
      </c>
      <c r="U437" s="4">
        <f>Table1[[#This Row],[Price]]*Table1[[#This Row],[Quantity]]</f>
        <v>1454.56</v>
      </c>
      <c r="V437" s="11">
        <f t="shared" si="6"/>
        <v>0.2</v>
      </c>
      <c r="W437" s="4">
        <f>Table1[[#This Row],[Amount]]-(Table1[[#This Row],[Amount]]*Table1[[#This Row],[Discount_Percent]])</f>
        <v>1163.6479999999999</v>
      </c>
      <c r="X437" s="4">
        <f>IF(O437="DEL0", Table1[[#This Row],[Discounted_Amount]],Table1[[#This Row],[Discounted_Amount]]+Table1[[#This Row],[Delivery_Charge]])</f>
        <v>1205.6479999999999</v>
      </c>
      <c r="Y437" s="4" t="str">
        <f>Table1[[#This Row],[First_Name]]&amp;" "&amp;Table1[[#This Row],[Last_Name]]</f>
        <v>Troy Gomez</v>
      </c>
      <c r="Z437" s="4" t="str">
        <f>IF(T:T&gt;Table1[[#This Row],[Estimated_Days_to_Deliver]],"Late",IF(T:T=Table1[[#This Row],[Estimated_Days_to_Deliver]],"Intime","BeforeTime"))</f>
        <v>BeforeTime</v>
      </c>
      <c r="AA437" s="4">
        <f>MONTH(Table1[[#This Row],[Order_Date]])</f>
        <v>9</v>
      </c>
      <c r="AB437" s="13">
        <f>Table1[[#This Row],[Amount]]*Table1[[#This Row],[Discount_Percent]]</f>
        <v>290.91199999999998</v>
      </c>
    </row>
    <row r="438" spans="1:28" ht="14.25" customHeight="1">
      <c r="A438" s="1" t="s">
        <v>296</v>
      </c>
      <c r="B438" s="1" t="s">
        <v>297</v>
      </c>
      <c r="C438" s="1" t="s">
        <v>298</v>
      </c>
      <c r="D438" s="1">
        <v>48</v>
      </c>
      <c r="E438" s="1" t="s">
        <v>43</v>
      </c>
      <c r="F438" s="1" t="s">
        <v>92</v>
      </c>
      <c r="G438" s="1" t="s">
        <v>299</v>
      </c>
      <c r="H438" s="1" t="s">
        <v>300</v>
      </c>
      <c r="I438" s="1" t="s">
        <v>1854</v>
      </c>
      <c r="J438" s="24">
        <v>45310</v>
      </c>
      <c r="K438" s="1" t="s">
        <v>1855</v>
      </c>
      <c r="L438" s="1" t="s">
        <v>156</v>
      </c>
      <c r="M438" s="1">
        <v>220.27</v>
      </c>
      <c r="N438" s="1">
        <v>2</v>
      </c>
      <c r="O438" s="1" t="s">
        <v>60</v>
      </c>
      <c r="P438" s="1">
        <v>5</v>
      </c>
      <c r="Q438" s="1">
        <v>42</v>
      </c>
      <c r="R438" s="24">
        <v>45317</v>
      </c>
      <c r="S438" s="1" t="s">
        <v>1856</v>
      </c>
      <c r="T438" s="4">
        <f>Table1[[#This Row],[Delivery_Date]]-Table1[[#This Row],[Order_Date]]</f>
        <v>7</v>
      </c>
      <c r="U438" s="4">
        <f>Table1[[#This Row],[Price]]*Table1[[#This Row],[Quantity]]</f>
        <v>440.54</v>
      </c>
      <c r="V438" s="11">
        <f t="shared" si="6"/>
        <v>0.15</v>
      </c>
      <c r="W438" s="4">
        <f>Table1[[#This Row],[Amount]]-(Table1[[#This Row],[Amount]]*Table1[[#This Row],[Discount_Percent]])</f>
        <v>374.459</v>
      </c>
      <c r="X438" s="4">
        <f>IF(O438="DEL0", Table1[[#This Row],[Discounted_Amount]],Table1[[#This Row],[Discounted_Amount]]+Table1[[#This Row],[Delivery_Charge]])</f>
        <v>416.459</v>
      </c>
      <c r="Y438" s="4" t="str">
        <f>Table1[[#This Row],[First_Name]]&amp;" "&amp;Table1[[#This Row],[Last_Name]]</f>
        <v>Heather Schneider</v>
      </c>
      <c r="Z438" s="4" t="str">
        <f>IF(T:T&gt;Table1[[#This Row],[Estimated_Days_to_Deliver]],"Late",IF(T:T=Table1[[#This Row],[Estimated_Days_to_Deliver]],"Intime","BeforeTime"))</f>
        <v>Late</v>
      </c>
      <c r="AA438" s="4">
        <f>MONTH(Table1[[#This Row],[Order_Date]])</f>
        <v>1</v>
      </c>
      <c r="AB438" s="13">
        <f>Table1[[#This Row],[Amount]]*Table1[[#This Row],[Discount_Percent]]</f>
        <v>66.081000000000003</v>
      </c>
    </row>
    <row r="439" spans="1:28" ht="14.25" customHeight="1">
      <c r="A439" s="1" t="s">
        <v>691</v>
      </c>
      <c r="B439" s="1" t="s">
        <v>692</v>
      </c>
      <c r="C439" s="1" t="s">
        <v>693</v>
      </c>
      <c r="D439" s="1">
        <v>65</v>
      </c>
      <c r="E439" s="1" t="s">
        <v>43</v>
      </c>
      <c r="F439" s="1" t="s">
        <v>92</v>
      </c>
      <c r="G439" s="1" t="s">
        <v>694</v>
      </c>
      <c r="H439" s="1" t="s">
        <v>695</v>
      </c>
      <c r="I439" s="1" t="s">
        <v>1857</v>
      </c>
      <c r="J439" s="24">
        <v>45167</v>
      </c>
      <c r="K439" s="1" t="s">
        <v>1858</v>
      </c>
      <c r="L439" s="1" t="s">
        <v>987</v>
      </c>
      <c r="M439" s="1">
        <v>33.49</v>
      </c>
      <c r="N439" s="1">
        <v>3</v>
      </c>
      <c r="O439" s="1" t="s">
        <v>98</v>
      </c>
      <c r="P439" s="1">
        <v>5</v>
      </c>
      <c r="Q439" s="1">
        <v>50</v>
      </c>
      <c r="R439" s="24">
        <v>45172</v>
      </c>
      <c r="S439" s="1" t="s">
        <v>1859</v>
      </c>
      <c r="T439" s="4">
        <f>Table1[[#This Row],[Delivery_Date]]-Table1[[#This Row],[Order_Date]]</f>
        <v>5</v>
      </c>
      <c r="U439" s="4">
        <f>Table1[[#This Row],[Price]]*Table1[[#This Row],[Quantity]]</f>
        <v>100.47</v>
      </c>
      <c r="V439" s="11">
        <f t="shared" si="6"/>
        <v>0.1</v>
      </c>
      <c r="W439" s="4">
        <f>Table1[[#This Row],[Amount]]-(Table1[[#This Row],[Amount]]*Table1[[#This Row],[Discount_Percent]])</f>
        <v>90.423000000000002</v>
      </c>
      <c r="X439" s="4">
        <f>IF(O439="DEL0", Table1[[#This Row],[Discounted_Amount]],Table1[[#This Row],[Discounted_Amount]]+Table1[[#This Row],[Delivery_Charge]])</f>
        <v>140.423</v>
      </c>
      <c r="Y439" s="4" t="str">
        <f>Table1[[#This Row],[First_Name]]&amp;" "&amp;Table1[[#This Row],[Last_Name]]</f>
        <v>Kim Blevins</v>
      </c>
      <c r="Z439" s="4" t="str">
        <f>IF(T:T&gt;Table1[[#This Row],[Estimated_Days_to_Deliver]],"Late",IF(T:T=Table1[[#This Row],[Estimated_Days_to_Deliver]],"Intime","BeforeTime"))</f>
        <v>Intime</v>
      </c>
      <c r="AA439" s="4">
        <f>MONTH(Table1[[#This Row],[Order_Date]])</f>
        <v>8</v>
      </c>
      <c r="AB439" s="13">
        <f>Table1[[#This Row],[Amount]]*Table1[[#This Row],[Discount_Percent]]</f>
        <v>10.047000000000001</v>
      </c>
    </row>
    <row r="440" spans="1:28" ht="14.25" customHeight="1">
      <c r="A440" s="1" t="s">
        <v>352</v>
      </c>
      <c r="B440" s="1" t="s">
        <v>353</v>
      </c>
      <c r="C440" s="1" t="s">
        <v>354</v>
      </c>
      <c r="D440" s="1">
        <v>70</v>
      </c>
      <c r="E440" s="1" t="s">
        <v>31</v>
      </c>
      <c r="F440" s="1" t="s">
        <v>170</v>
      </c>
      <c r="G440" s="1" t="s">
        <v>355</v>
      </c>
      <c r="H440" s="1" t="s">
        <v>356</v>
      </c>
      <c r="I440" s="1" t="s">
        <v>1860</v>
      </c>
      <c r="J440" s="24">
        <v>45145</v>
      </c>
      <c r="K440" s="1" t="s">
        <v>1861</v>
      </c>
      <c r="L440" s="1" t="s">
        <v>290</v>
      </c>
      <c r="M440" s="1">
        <v>157.63999999999999</v>
      </c>
      <c r="N440" s="1">
        <v>2</v>
      </c>
      <c r="O440" s="1" t="s">
        <v>98</v>
      </c>
      <c r="P440" s="1">
        <v>5</v>
      </c>
      <c r="Q440" s="1">
        <v>65</v>
      </c>
      <c r="R440" s="24">
        <v>45148</v>
      </c>
      <c r="S440" s="1" t="s">
        <v>1862</v>
      </c>
      <c r="T440" s="4">
        <f>Table1[[#This Row],[Delivery_Date]]-Table1[[#This Row],[Order_Date]]</f>
        <v>3</v>
      </c>
      <c r="U440" s="4">
        <f>Table1[[#This Row],[Price]]*Table1[[#This Row],[Quantity]]</f>
        <v>315.27999999999997</v>
      </c>
      <c r="V440" s="11">
        <f t="shared" si="6"/>
        <v>0.1</v>
      </c>
      <c r="W440" s="4">
        <f>Table1[[#This Row],[Amount]]-(Table1[[#This Row],[Amount]]*Table1[[#This Row],[Discount_Percent]])</f>
        <v>283.75199999999995</v>
      </c>
      <c r="X440" s="4">
        <f>IF(O440="DEL0", Table1[[#This Row],[Discounted_Amount]],Table1[[#This Row],[Discounted_Amount]]+Table1[[#This Row],[Delivery_Charge]])</f>
        <v>348.75199999999995</v>
      </c>
      <c r="Y440" s="4" t="str">
        <f>Table1[[#This Row],[First_Name]]&amp;" "&amp;Table1[[#This Row],[Last_Name]]</f>
        <v>Donna Oneill</v>
      </c>
      <c r="Z440" s="4" t="str">
        <f>IF(T:T&gt;Table1[[#This Row],[Estimated_Days_to_Deliver]],"Late",IF(T:T=Table1[[#This Row],[Estimated_Days_to_Deliver]],"Intime","BeforeTime"))</f>
        <v>BeforeTime</v>
      </c>
      <c r="AA440" s="4">
        <f>MONTH(Table1[[#This Row],[Order_Date]])</f>
        <v>8</v>
      </c>
      <c r="AB440" s="13">
        <f>Table1[[#This Row],[Amount]]*Table1[[#This Row],[Discount_Percent]]</f>
        <v>31.527999999999999</v>
      </c>
    </row>
    <row r="441" spans="1:28" ht="14.25" customHeight="1">
      <c r="A441" s="1" t="s">
        <v>167</v>
      </c>
      <c r="B441" s="1" t="s">
        <v>168</v>
      </c>
      <c r="C441" s="1" t="s">
        <v>169</v>
      </c>
      <c r="D441" s="1">
        <v>46</v>
      </c>
      <c r="E441" s="1" t="s">
        <v>31</v>
      </c>
      <c r="F441" s="1" t="s">
        <v>170</v>
      </c>
      <c r="G441" s="1" t="s">
        <v>171</v>
      </c>
      <c r="H441" s="1" t="s">
        <v>172</v>
      </c>
      <c r="I441" s="1" t="s">
        <v>1863</v>
      </c>
      <c r="J441" s="24">
        <v>45010</v>
      </c>
      <c r="K441" s="1" t="s">
        <v>1864</v>
      </c>
      <c r="L441" s="1" t="s">
        <v>521</v>
      </c>
      <c r="M441" s="1">
        <v>441.03</v>
      </c>
      <c r="N441" s="1">
        <v>5</v>
      </c>
      <c r="O441" s="1" t="s">
        <v>87</v>
      </c>
      <c r="P441" s="1">
        <v>5</v>
      </c>
      <c r="Q441" s="1">
        <v>36</v>
      </c>
      <c r="R441" s="24">
        <v>45016</v>
      </c>
      <c r="S441" s="1" t="s">
        <v>1865</v>
      </c>
      <c r="T441" s="4">
        <f>Table1[[#This Row],[Delivery_Date]]-Table1[[#This Row],[Order_Date]]</f>
        <v>6</v>
      </c>
      <c r="U441" s="4">
        <f>Table1[[#This Row],[Price]]*Table1[[#This Row],[Quantity]]</f>
        <v>2205.1499999999996</v>
      </c>
      <c r="V441" s="11">
        <f t="shared" si="6"/>
        <v>0.2</v>
      </c>
      <c r="W441" s="4">
        <f>Table1[[#This Row],[Amount]]-(Table1[[#This Row],[Amount]]*Table1[[#This Row],[Discount_Percent]])</f>
        <v>1764.1199999999997</v>
      </c>
      <c r="X441" s="4">
        <f>IF(O441="DEL0", Table1[[#This Row],[Discounted_Amount]],Table1[[#This Row],[Discounted_Amount]]+Table1[[#This Row],[Delivery_Charge]])</f>
        <v>1800.1199999999997</v>
      </c>
      <c r="Y441" s="4" t="str">
        <f>Table1[[#This Row],[First_Name]]&amp;" "&amp;Table1[[#This Row],[Last_Name]]</f>
        <v>Erin Miller</v>
      </c>
      <c r="Z441" s="4" t="str">
        <f>IF(T:T&gt;Table1[[#This Row],[Estimated_Days_to_Deliver]],"Late",IF(T:T=Table1[[#This Row],[Estimated_Days_to_Deliver]],"Intime","BeforeTime"))</f>
        <v>Late</v>
      </c>
      <c r="AA441" s="4">
        <f>MONTH(Table1[[#This Row],[Order_Date]])</f>
        <v>3</v>
      </c>
      <c r="AB441" s="13">
        <f>Table1[[#This Row],[Amount]]*Table1[[#This Row],[Discount_Percent]]</f>
        <v>441.03</v>
      </c>
    </row>
    <row r="442" spans="1:28" ht="14.25" customHeight="1">
      <c r="A442" s="1" t="s">
        <v>549</v>
      </c>
      <c r="B442" s="1" t="s">
        <v>550</v>
      </c>
      <c r="C442" s="1" t="s">
        <v>551</v>
      </c>
      <c r="D442" s="1">
        <v>33</v>
      </c>
      <c r="E442" s="1" t="s">
        <v>54</v>
      </c>
      <c r="F442" s="1" t="s">
        <v>170</v>
      </c>
      <c r="G442" s="1" t="s">
        <v>552</v>
      </c>
      <c r="H442" s="1" t="s">
        <v>553</v>
      </c>
      <c r="I442" s="1" t="s">
        <v>1866</v>
      </c>
      <c r="J442" s="24">
        <v>45628</v>
      </c>
      <c r="K442" s="1" t="s">
        <v>1867</v>
      </c>
      <c r="L442" s="1" t="s">
        <v>433</v>
      </c>
      <c r="M442" s="1">
        <v>369.03</v>
      </c>
      <c r="N442" s="1">
        <v>4</v>
      </c>
      <c r="O442" s="1" t="s">
        <v>38</v>
      </c>
      <c r="P442" s="1">
        <v>5</v>
      </c>
      <c r="Q442" s="1">
        <v>48</v>
      </c>
      <c r="R442" s="24">
        <v>45629</v>
      </c>
      <c r="S442" s="1" t="s">
        <v>1868</v>
      </c>
      <c r="T442" s="4">
        <f>Table1[[#This Row],[Delivery_Date]]-Table1[[#This Row],[Order_Date]]</f>
        <v>1</v>
      </c>
      <c r="U442" s="4">
        <f>Table1[[#This Row],[Price]]*Table1[[#This Row],[Quantity]]</f>
        <v>1476.12</v>
      </c>
      <c r="V442" s="11">
        <f t="shared" si="6"/>
        <v>0.08</v>
      </c>
      <c r="W442" s="4">
        <f>Table1[[#This Row],[Amount]]-(Table1[[#This Row],[Amount]]*Table1[[#This Row],[Discount_Percent]])</f>
        <v>1358.0303999999999</v>
      </c>
      <c r="X442" s="4">
        <f>IF(O442="DEL0", Table1[[#This Row],[Discounted_Amount]],Table1[[#This Row],[Discounted_Amount]]+Table1[[#This Row],[Delivery_Charge]])</f>
        <v>1406.0303999999999</v>
      </c>
      <c r="Y442" s="4" t="str">
        <f>Table1[[#This Row],[First_Name]]&amp;" "&amp;Table1[[#This Row],[Last_Name]]</f>
        <v>Jodi Whitney</v>
      </c>
      <c r="Z442" s="4" t="str">
        <f>IF(T:T&gt;Table1[[#This Row],[Estimated_Days_to_Deliver]],"Late",IF(T:T=Table1[[#This Row],[Estimated_Days_to_Deliver]],"Intime","BeforeTime"))</f>
        <v>BeforeTime</v>
      </c>
      <c r="AA442" s="4">
        <f>MONTH(Table1[[#This Row],[Order_Date]])</f>
        <v>12</v>
      </c>
      <c r="AB442" s="13">
        <f>Table1[[#This Row],[Amount]]*Table1[[#This Row],[Discount_Percent]]</f>
        <v>118.08959999999999</v>
      </c>
    </row>
    <row r="443" spans="1:28" ht="14.25" customHeight="1">
      <c r="A443" s="1" t="s">
        <v>388</v>
      </c>
      <c r="B443" s="1" t="s">
        <v>389</v>
      </c>
      <c r="C443" s="1" t="s">
        <v>390</v>
      </c>
      <c r="D443" s="1">
        <v>47</v>
      </c>
      <c r="E443" s="1" t="s">
        <v>43</v>
      </c>
      <c r="F443" s="1" t="s">
        <v>92</v>
      </c>
      <c r="G443" s="1" t="s">
        <v>391</v>
      </c>
      <c r="H443" s="1" t="s">
        <v>392</v>
      </c>
      <c r="I443" s="1" t="s">
        <v>1869</v>
      </c>
      <c r="J443" s="24">
        <v>45529</v>
      </c>
      <c r="K443" s="1" t="s">
        <v>1870</v>
      </c>
      <c r="L443" s="1" t="s">
        <v>311</v>
      </c>
      <c r="M443" s="1">
        <v>129.75</v>
      </c>
      <c r="N443" s="1">
        <v>2</v>
      </c>
      <c r="O443" s="1" t="s">
        <v>87</v>
      </c>
      <c r="P443" s="1">
        <v>5</v>
      </c>
      <c r="Q443" s="1">
        <v>47</v>
      </c>
      <c r="R443" s="24">
        <v>45532</v>
      </c>
      <c r="S443" s="1" t="s">
        <v>1871</v>
      </c>
      <c r="T443" s="4">
        <f>Table1[[#This Row],[Delivery_Date]]-Table1[[#This Row],[Order_Date]]</f>
        <v>3</v>
      </c>
      <c r="U443" s="4">
        <f>Table1[[#This Row],[Price]]*Table1[[#This Row],[Quantity]]</f>
        <v>259.5</v>
      </c>
      <c r="V443" s="11">
        <f t="shared" si="6"/>
        <v>0.2</v>
      </c>
      <c r="W443" s="4">
        <f>Table1[[#This Row],[Amount]]-(Table1[[#This Row],[Amount]]*Table1[[#This Row],[Discount_Percent]])</f>
        <v>207.6</v>
      </c>
      <c r="X443" s="4">
        <f>IF(O443="DEL0", Table1[[#This Row],[Discounted_Amount]],Table1[[#This Row],[Discounted_Amount]]+Table1[[#This Row],[Delivery_Charge]])</f>
        <v>254.6</v>
      </c>
      <c r="Y443" s="4" t="str">
        <f>Table1[[#This Row],[First_Name]]&amp;" "&amp;Table1[[#This Row],[Last_Name]]</f>
        <v>Aaron Thompson</v>
      </c>
      <c r="Z443" s="4" t="str">
        <f>IF(T:T&gt;Table1[[#This Row],[Estimated_Days_to_Deliver]],"Late",IF(T:T=Table1[[#This Row],[Estimated_Days_to_Deliver]],"Intime","BeforeTime"))</f>
        <v>BeforeTime</v>
      </c>
      <c r="AA443" s="4">
        <f>MONTH(Table1[[#This Row],[Order_Date]])</f>
        <v>8</v>
      </c>
      <c r="AB443" s="13">
        <f>Table1[[#This Row],[Amount]]*Table1[[#This Row],[Discount_Percent]]</f>
        <v>51.900000000000006</v>
      </c>
    </row>
    <row r="444" spans="1:28" ht="14.25" customHeight="1">
      <c r="A444" s="1" t="s">
        <v>1249</v>
      </c>
      <c r="B444" s="1" t="s">
        <v>68</v>
      </c>
      <c r="C444" s="1" t="s">
        <v>1250</v>
      </c>
      <c r="D444" s="1">
        <v>40</v>
      </c>
      <c r="E444" s="1" t="s">
        <v>31</v>
      </c>
      <c r="F444" s="1" t="s">
        <v>78</v>
      </c>
      <c r="G444" s="1" t="s">
        <v>1251</v>
      </c>
      <c r="H444" s="1" t="s">
        <v>1252</v>
      </c>
      <c r="I444" s="1" t="s">
        <v>1872</v>
      </c>
      <c r="J444" s="24">
        <v>45175</v>
      </c>
      <c r="K444" s="1" t="s">
        <v>1873</v>
      </c>
      <c r="L444" s="1" t="s">
        <v>202</v>
      </c>
      <c r="M444" s="1">
        <v>20.7</v>
      </c>
      <c r="N444" s="1">
        <v>2</v>
      </c>
      <c r="O444" s="1" t="s">
        <v>38</v>
      </c>
      <c r="P444" s="1">
        <v>5</v>
      </c>
      <c r="Q444" s="1">
        <v>61</v>
      </c>
      <c r="R444" s="24">
        <v>45177</v>
      </c>
      <c r="S444" s="1" t="s">
        <v>1874</v>
      </c>
      <c r="T444" s="4">
        <f>Table1[[#This Row],[Delivery_Date]]-Table1[[#This Row],[Order_Date]]</f>
        <v>2</v>
      </c>
      <c r="U444" s="4">
        <f>Table1[[#This Row],[Price]]*Table1[[#This Row],[Quantity]]</f>
        <v>41.4</v>
      </c>
      <c r="V444" s="11">
        <f t="shared" si="6"/>
        <v>0.08</v>
      </c>
      <c r="W444" s="4">
        <f>Table1[[#This Row],[Amount]]-(Table1[[#This Row],[Amount]]*Table1[[#This Row],[Discount_Percent]])</f>
        <v>38.088000000000001</v>
      </c>
      <c r="X444" s="4">
        <f>IF(O444="DEL0", Table1[[#This Row],[Discounted_Amount]],Table1[[#This Row],[Discounted_Amount]]+Table1[[#This Row],[Delivery_Charge]])</f>
        <v>99.087999999999994</v>
      </c>
      <c r="Y444" s="4" t="str">
        <f>Table1[[#This Row],[First_Name]]&amp;" "&amp;Table1[[#This Row],[Last_Name]]</f>
        <v>Angela Casey</v>
      </c>
      <c r="Z444" s="4" t="str">
        <f>IF(T:T&gt;Table1[[#This Row],[Estimated_Days_to_Deliver]],"Late",IF(T:T=Table1[[#This Row],[Estimated_Days_to_Deliver]],"Intime","BeforeTime"))</f>
        <v>BeforeTime</v>
      </c>
      <c r="AA444" s="4">
        <f>MONTH(Table1[[#This Row],[Order_Date]])</f>
        <v>9</v>
      </c>
      <c r="AB444" s="13">
        <f>Table1[[#This Row],[Amount]]*Table1[[#This Row],[Discount_Percent]]</f>
        <v>3.3119999999999998</v>
      </c>
    </row>
    <row r="445" spans="1:28" ht="14.25" customHeight="1">
      <c r="A445" s="1" t="s">
        <v>727</v>
      </c>
      <c r="B445" s="1" t="s">
        <v>728</v>
      </c>
      <c r="C445" s="1" t="s">
        <v>169</v>
      </c>
      <c r="D445" s="1">
        <v>70</v>
      </c>
      <c r="E445" s="1" t="s">
        <v>43</v>
      </c>
      <c r="F445" s="1" t="s">
        <v>92</v>
      </c>
      <c r="G445" s="1" t="s">
        <v>729</v>
      </c>
      <c r="H445" s="1" t="s">
        <v>730</v>
      </c>
      <c r="I445" s="1" t="s">
        <v>1875</v>
      </c>
      <c r="J445" s="24">
        <v>45379</v>
      </c>
      <c r="K445" s="1" t="s">
        <v>1876</v>
      </c>
      <c r="L445" s="1" t="s">
        <v>347</v>
      </c>
      <c r="M445" s="1">
        <v>372.62</v>
      </c>
      <c r="N445" s="1">
        <v>2</v>
      </c>
      <c r="O445" s="1" t="s">
        <v>98</v>
      </c>
      <c r="P445" s="1">
        <v>5</v>
      </c>
      <c r="Q445" s="1">
        <v>57</v>
      </c>
      <c r="R445" s="24">
        <v>45382</v>
      </c>
      <c r="S445" s="1" t="s">
        <v>1877</v>
      </c>
      <c r="T445" s="4">
        <f>Table1[[#This Row],[Delivery_Date]]-Table1[[#This Row],[Order_Date]]</f>
        <v>3</v>
      </c>
      <c r="U445" s="4">
        <f>Table1[[#This Row],[Price]]*Table1[[#This Row],[Quantity]]</f>
        <v>745.24</v>
      </c>
      <c r="V445" s="11">
        <f t="shared" si="6"/>
        <v>0.1</v>
      </c>
      <c r="W445" s="4">
        <f>Table1[[#This Row],[Amount]]-(Table1[[#This Row],[Amount]]*Table1[[#This Row],[Discount_Percent]])</f>
        <v>670.71600000000001</v>
      </c>
      <c r="X445" s="4">
        <f>IF(O445="DEL0", Table1[[#This Row],[Discounted_Amount]],Table1[[#This Row],[Discounted_Amount]]+Table1[[#This Row],[Delivery_Charge]])</f>
        <v>727.71600000000001</v>
      </c>
      <c r="Y445" s="4" t="str">
        <f>Table1[[#This Row],[First_Name]]&amp;" "&amp;Table1[[#This Row],[Last_Name]]</f>
        <v>Lisa Miller</v>
      </c>
      <c r="Z445" s="4" t="str">
        <f>IF(T:T&gt;Table1[[#This Row],[Estimated_Days_to_Deliver]],"Late",IF(T:T=Table1[[#This Row],[Estimated_Days_to_Deliver]],"Intime","BeforeTime"))</f>
        <v>BeforeTime</v>
      </c>
      <c r="AA445" s="4">
        <f>MONTH(Table1[[#This Row],[Order_Date]])</f>
        <v>3</v>
      </c>
      <c r="AB445" s="13">
        <f>Table1[[#This Row],[Amount]]*Table1[[#This Row],[Discount_Percent]]</f>
        <v>74.524000000000001</v>
      </c>
    </row>
    <row r="446" spans="1:28" ht="14.25" customHeight="1">
      <c r="A446" s="1" t="s">
        <v>1878</v>
      </c>
      <c r="B446" s="1" t="s">
        <v>1107</v>
      </c>
      <c r="C446" s="1" t="s">
        <v>1879</v>
      </c>
      <c r="D446" s="1">
        <v>64</v>
      </c>
      <c r="E446" s="1" t="s">
        <v>43</v>
      </c>
      <c r="F446" s="1" t="s">
        <v>78</v>
      </c>
      <c r="G446" s="1" t="s">
        <v>1880</v>
      </c>
      <c r="H446" s="1" t="s">
        <v>1881</v>
      </c>
      <c r="I446" s="1" t="s">
        <v>1882</v>
      </c>
      <c r="J446" s="24">
        <v>45633</v>
      </c>
      <c r="K446" s="1" t="s">
        <v>1883</v>
      </c>
      <c r="L446" s="1" t="s">
        <v>944</v>
      </c>
      <c r="M446" s="1">
        <v>107.47</v>
      </c>
      <c r="N446" s="1">
        <v>4</v>
      </c>
      <c r="O446" s="1" t="s">
        <v>87</v>
      </c>
      <c r="P446" s="1">
        <v>5</v>
      </c>
      <c r="Q446" s="1">
        <v>42</v>
      </c>
      <c r="R446" s="24">
        <v>45637</v>
      </c>
      <c r="S446" s="1" t="s">
        <v>1884</v>
      </c>
      <c r="T446" s="4">
        <f>Table1[[#This Row],[Delivery_Date]]-Table1[[#This Row],[Order_Date]]</f>
        <v>4</v>
      </c>
      <c r="U446" s="4">
        <f>Table1[[#This Row],[Price]]*Table1[[#This Row],[Quantity]]</f>
        <v>429.88</v>
      </c>
      <c r="V446" s="11">
        <f t="shared" si="6"/>
        <v>0.2</v>
      </c>
      <c r="W446" s="4">
        <f>Table1[[#This Row],[Amount]]-(Table1[[#This Row],[Amount]]*Table1[[#This Row],[Discount_Percent]])</f>
        <v>343.904</v>
      </c>
      <c r="X446" s="4">
        <f>IF(O446="DEL0", Table1[[#This Row],[Discounted_Amount]],Table1[[#This Row],[Discounted_Amount]]+Table1[[#This Row],[Delivery_Charge]])</f>
        <v>385.904</v>
      </c>
      <c r="Y446" s="4" t="str">
        <f>Table1[[#This Row],[First_Name]]&amp;" "&amp;Table1[[#This Row],[Last_Name]]</f>
        <v>Gary Jacobs</v>
      </c>
      <c r="Z446" s="4" t="str">
        <f>IF(T:T&gt;Table1[[#This Row],[Estimated_Days_to_Deliver]],"Late",IF(T:T=Table1[[#This Row],[Estimated_Days_to_Deliver]],"Intime","BeforeTime"))</f>
        <v>BeforeTime</v>
      </c>
      <c r="AA446" s="4">
        <f>MONTH(Table1[[#This Row],[Order_Date]])</f>
        <v>12</v>
      </c>
      <c r="AB446" s="13">
        <f>Table1[[#This Row],[Amount]]*Table1[[#This Row],[Discount_Percent]]</f>
        <v>85.975999999999999</v>
      </c>
    </row>
    <row r="447" spans="1:28" ht="14.25" customHeight="1">
      <c r="A447" s="1" t="s">
        <v>1878</v>
      </c>
      <c r="B447" s="1" t="s">
        <v>1107</v>
      </c>
      <c r="C447" s="1" t="s">
        <v>1879</v>
      </c>
      <c r="D447" s="1">
        <v>64</v>
      </c>
      <c r="E447" s="1" t="s">
        <v>43</v>
      </c>
      <c r="F447" s="1" t="s">
        <v>78</v>
      </c>
      <c r="G447" s="1" t="s">
        <v>1880</v>
      </c>
      <c r="H447" s="1" t="s">
        <v>1881</v>
      </c>
      <c r="I447" s="1" t="s">
        <v>1885</v>
      </c>
      <c r="J447" s="24">
        <v>45539</v>
      </c>
      <c r="K447" s="1" t="s">
        <v>1886</v>
      </c>
      <c r="L447" s="1" t="s">
        <v>37</v>
      </c>
      <c r="M447" s="1">
        <v>308.88</v>
      </c>
      <c r="N447" s="1">
        <v>2</v>
      </c>
      <c r="O447" s="1" t="s">
        <v>87</v>
      </c>
      <c r="P447" s="1">
        <v>5</v>
      </c>
      <c r="Q447" s="1">
        <v>55</v>
      </c>
      <c r="R447" s="24">
        <v>45541</v>
      </c>
      <c r="S447" s="1" t="s">
        <v>1887</v>
      </c>
      <c r="T447" s="4">
        <f>Table1[[#This Row],[Delivery_Date]]-Table1[[#This Row],[Order_Date]]</f>
        <v>2</v>
      </c>
      <c r="U447" s="4">
        <f>Table1[[#This Row],[Price]]*Table1[[#This Row],[Quantity]]</f>
        <v>617.76</v>
      </c>
      <c r="V447" s="11">
        <f t="shared" si="6"/>
        <v>0.2</v>
      </c>
      <c r="W447" s="4">
        <f>Table1[[#This Row],[Amount]]-(Table1[[#This Row],[Amount]]*Table1[[#This Row],[Discount_Percent]])</f>
        <v>494.20799999999997</v>
      </c>
      <c r="X447" s="4">
        <f>IF(O447="DEL0", Table1[[#This Row],[Discounted_Amount]],Table1[[#This Row],[Discounted_Amount]]+Table1[[#This Row],[Delivery_Charge]])</f>
        <v>549.20799999999997</v>
      </c>
      <c r="Y447" s="4" t="str">
        <f>Table1[[#This Row],[First_Name]]&amp;" "&amp;Table1[[#This Row],[Last_Name]]</f>
        <v>Gary Jacobs</v>
      </c>
      <c r="Z447" s="4" t="str">
        <f>IF(T:T&gt;Table1[[#This Row],[Estimated_Days_to_Deliver]],"Late",IF(T:T=Table1[[#This Row],[Estimated_Days_to_Deliver]],"Intime","BeforeTime"))</f>
        <v>BeforeTime</v>
      </c>
      <c r="AA447" s="4">
        <f>MONTH(Table1[[#This Row],[Order_Date]])</f>
        <v>9</v>
      </c>
      <c r="AB447" s="13">
        <f>Table1[[#This Row],[Amount]]*Table1[[#This Row],[Discount_Percent]]</f>
        <v>123.55200000000001</v>
      </c>
    </row>
    <row r="448" spans="1:28" ht="14.25" customHeight="1">
      <c r="A448" s="1" t="s">
        <v>40</v>
      </c>
      <c r="B448" s="1" t="s">
        <v>41</v>
      </c>
      <c r="C448" s="1" t="s">
        <v>42</v>
      </c>
      <c r="D448" s="1">
        <v>53</v>
      </c>
      <c r="E448" s="1" t="s">
        <v>43</v>
      </c>
      <c r="F448" s="1" t="s">
        <v>44</v>
      </c>
      <c r="G448" s="1" t="s">
        <v>45</v>
      </c>
      <c r="H448" s="1" t="s">
        <v>46</v>
      </c>
      <c r="I448" s="1" t="s">
        <v>1888</v>
      </c>
      <c r="J448" s="24">
        <v>45684</v>
      </c>
      <c r="K448" s="1" t="s">
        <v>1889</v>
      </c>
      <c r="L448" s="1" t="s">
        <v>273</v>
      </c>
      <c r="M448" s="1">
        <v>62.42</v>
      </c>
      <c r="N448" s="1">
        <v>5</v>
      </c>
      <c r="O448" s="1" t="s">
        <v>60</v>
      </c>
      <c r="P448" s="1">
        <v>5</v>
      </c>
      <c r="Q448" s="1">
        <v>69</v>
      </c>
      <c r="R448" s="24">
        <v>45690</v>
      </c>
      <c r="S448" s="1" t="s">
        <v>1890</v>
      </c>
      <c r="T448" s="4">
        <f>Table1[[#This Row],[Delivery_Date]]-Table1[[#This Row],[Order_Date]]</f>
        <v>6</v>
      </c>
      <c r="U448" s="4">
        <f>Table1[[#This Row],[Price]]*Table1[[#This Row],[Quantity]]</f>
        <v>312.10000000000002</v>
      </c>
      <c r="V448" s="11">
        <f t="shared" si="6"/>
        <v>0.15</v>
      </c>
      <c r="W448" s="4">
        <f>Table1[[#This Row],[Amount]]-(Table1[[#This Row],[Amount]]*Table1[[#This Row],[Discount_Percent]])</f>
        <v>265.28500000000003</v>
      </c>
      <c r="X448" s="4">
        <f>IF(O448="DEL0", Table1[[#This Row],[Discounted_Amount]],Table1[[#This Row],[Discounted_Amount]]+Table1[[#This Row],[Delivery_Charge]])</f>
        <v>334.28500000000003</v>
      </c>
      <c r="Y448" s="4" t="str">
        <f>Table1[[#This Row],[First_Name]]&amp;" "&amp;Table1[[#This Row],[Last_Name]]</f>
        <v>Anthony Thomas</v>
      </c>
      <c r="Z448" s="4" t="str">
        <f>IF(T:T&gt;Table1[[#This Row],[Estimated_Days_to_Deliver]],"Late",IF(T:T=Table1[[#This Row],[Estimated_Days_to_Deliver]],"Intime","BeforeTime"))</f>
        <v>Late</v>
      </c>
      <c r="AA448" s="4">
        <f>MONTH(Table1[[#This Row],[Order_Date]])</f>
        <v>1</v>
      </c>
      <c r="AB448" s="13">
        <f>Table1[[#This Row],[Amount]]*Table1[[#This Row],[Discount_Percent]]</f>
        <v>46.815000000000005</v>
      </c>
    </row>
    <row r="449" spans="1:28" ht="14.25" customHeight="1">
      <c r="A449" s="1" t="s">
        <v>1617</v>
      </c>
      <c r="B449" s="1" t="s">
        <v>276</v>
      </c>
      <c r="C449" s="1" t="s">
        <v>1618</v>
      </c>
      <c r="D449" s="1">
        <v>62</v>
      </c>
      <c r="E449" s="1" t="s">
        <v>43</v>
      </c>
      <c r="F449" s="1" t="s">
        <v>44</v>
      </c>
      <c r="G449" s="1" t="s">
        <v>1619</v>
      </c>
      <c r="H449" s="1" t="s">
        <v>1620</v>
      </c>
      <c r="I449" s="1" t="s">
        <v>1891</v>
      </c>
      <c r="J449" s="24">
        <v>45429</v>
      </c>
      <c r="K449" s="1" t="s">
        <v>1892</v>
      </c>
      <c r="L449" s="1" t="s">
        <v>476</v>
      </c>
      <c r="M449" s="1">
        <v>286.07</v>
      </c>
      <c r="N449" s="1">
        <v>1</v>
      </c>
      <c r="O449" s="1" t="s">
        <v>65</v>
      </c>
      <c r="P449" s="1">
        <v>5</v>
      </c>
      <c r="Q449" s="1">
        <v>43</v>
      </c>
      <c r="R449" s="24">
        <v>45434</v>
      </c>
      <c r="S449" s="1" t="s">
        <v>1893</v>
      </c>
      <c r="T449" s="4">
        <f>Table1[[#This Row],[Delivery_Date]]-Table1[[#This Row],[Order_Date]]</f>
        <v>5</v>
      </c>
      <c r="U449" s="4">
        <f>Table1[[#This Row],[Price]]*Table1[[#This Row],[Quantity]]</f>
        <v>286.07</v>
      </c>
      <c r="V449" s="11">
        <f t="shared" si="6"/>
        <v>0</v>
      </c>
      <c r="W449" s="4">
        <f>Table1[[#This Row],[Amount]]-(Table1[[#This Row],[Amount]]*Table1[[#This Row],[Discount_Percent]])</f>
        <v>286.07</v>
      </c>
      <c r="X449" s="4">
        <f>IF(O449="DEL0", Table1[[#This Row],[Discounted_Amount]],Table1[[#This Row],[Discounted_Amount]]+Table1[[#This Row],[Delivery_Charge]])</f>
        <v>286.07</v>
      </c>
      <c r="Y449" s="4" t="str">
        <f>Table1[[#This Row],[First_Name]]&amp;" "&amp;Table1[[#This Row],[Last_Name]]</f>
        <v>Lauren Crane</v>
      </c>
      <c r="Z449" s="4" t="str">
        <f>IF(T:T&gt;Table1[[#This Row],[Estimated_Days_to_Deliver]],"Late",IF(T:T=Table1[[#This Row],[Estimated_Days_to_Deliver]],"Intime","BeforeTime"))</f>
        <v>Intime</v>
      </c>
      <c r="AA449" s="4">
        <f>MONTH(Table1[[#This Row],[Order_Date]])</f>
        <v>5</v>
      </c>
      <c r="AB449" s="13">
        <f>Table1[[#This Row],[Amount]]*Table1[[#This Row],[Discount_Percent]]</f>
        <v>0</v>
      </c>
    </row>
    <row r="450" spans="1:28" ht="14.25" customHeight="1">
      <c r="A450" s="1" t="s">
        <v>1878</v>
      </c>
      <c r="B450" s="1" t="s">
        <v>1107</v>
      </c>
      <c r="C450" s="1" t="s">
        <v>1879</v>
      </c>
      <c r="D450" s="1">
        <v>64</v>
      </c>
      <c r="E450" s="1" t="s">
        <v>43</v>
      </c>
      <c r="F450" s="1" t="s">
        <v>78</v>
      </c>
      <c r="G450" s="1" t="s">
        <v>1880</v>
      </c>
      <c r="H450" s="1" t="s">
        <v>1881</v>
      </c>
      <c r="I450" s="1" t="s">
        <v>1894</v>
      </c>
      <c r="J450" s="24">
        <v>45379</v>
      </c>
      <c r="K450" s="1" t="s">
        <v>1895</v>
      </c>
      <c r="L450" s="1" t="s">
        <v>49</v>
      </c>
      <c r="M450" s="1">
        <v>166.28</v>
      </c>
      <c r="N450" s="1">
        <v>2</v>
      </c>
      <c r="O450" s="1" t="s">
        <v>87</v>
      </c>
      <c r="P450" s="1">
        <v>5</v>
      </c>
      <c r="Q450" s="1">
        <v>40</v>
      </c>
      <c r="R450" s="24">
        <v>45384</v>
      </c>
      <c r="S450" s="1" t="s">
        <v>1896</v>
      </c>
      <c r="T450" s="4">
        <f>Table1[[#This Row],[Delivery_Date]]-Table1[[#This Row],[Order_Date]]</f>
        <v>5</v>
      </c>
      <c r="U450" s="4">
        <f>Table1[[#This Row],[Price]]*Table1[[#This Row],[Quantity]]</f>
        <v>332.56</v>
      </c>
      <c r="V450" s="11">
        <f t="shared" ref="V450:V501" si="7">IF(O450="FLAT8",8%,IF(O450="FLAT10",10%,IF(O450="FLAT15",15%,IF(O450="FLAT20",20%,0))))</f>
        <v>0.2</v>
      </c>
      <c r="W450" s="4">
        <f>Table1[[#This Row],[Amount]]-(Table1[[#This Row],[Amount]]*Table1[[#This Row],[Discount_Percent]])</f>
        <v>266.048</v>
      </c>
      <c r="X450" s="4">
        <f>IF(O450="DEL0", Table1[[#This Row],[Discounted_Amount]],Table1[[#This Row],[Discounted_Amount]]+Table1[[#This Row],[Delivery_Charge]])</f>
        <v>306.048</v>
      </c>
      <c r="Y450" s="4" t="str">
        <f>Table1[[#This Row],[First_Name]]&amp;" "&amp;Table1[[#This Row],[Last_Name]]</f>
        <v>Gary Jacobs</v>
      </c>
      <c r="Z450" s="4" t="str">
        <f>IF(T:T&gt;Table1[[#This Row],[Estimated_Days_to_Deliver]],"Late",IF(T:T=Table1[[#This Row],[Estimated_Days_to_Deliver]],"Intime","BeforeTime"))</f>
        <v>Intime</v>
      </c>
      <c r="AA450" s="4">
        <f>MONTH(Table1[[#This Row],[Order_Date]])</f>
        <v>3</v>
      </c>
      <c r="AB450" s="13">
        <f>Table1[[#This Row],[Amount]]*Table1[[#This Row],[Discount_Percent]]</f>
        <v>66.512</v>
      </c>
    </row>
    <row r="451" spans="1:28" ht="14.25" customHeight="1">
      <c r="A451" s="1" t="s">
        <v>595</v>
      </c>
      <c r="B451" s="1" t="s">
        <v>596</v>
      </c>
      <c r="C451" s="1" t="s">
        <v>597</v>
      </c>
      <c r="D451" s="1">
        <v>21</v>
      </c>
      <c r="E451" s="1" t="s">
        <v>31</v>
      </c>
      <c r="F451" s="1" t="s">
        <v>44</v>
      </c>
      <c r="G451" s="1" t="s">
        <v>598</v>
      </c>
      <c r="H451" s="1" t="s">
        <v>599</v>
      </c>
      <c r="I451" s="1" t="s">
        <v>1897</v>
      </c>
      <c r="J451" s="24">
        <v>45638</v>
      </c>
      <c r="K451" s="1" t="s">
        <v>1898</v>
      </c>
      <c r="L451" s="1" t="s">
        <v>656</v>
      </c>
      <c r="M451" s="1">
        <v>433.62</v>
      </c>
      <c r="N451" s="1">
        <v>2</v>
      </c>
      <c r="O451" s="1" t="s">
        <v>98</v>
      </c>
      <c r="P451" s="1">
        <v>5</v>
      </c>
      <c r="Q451" s="1">
        <v>39</v>
      </c>
      <c r="R451" s="24">
        <v>45644</v>
      </c>
      <c r="S451" s="1" t="s">
        <v>1899</v>
      </c>
      <c r="T451" s="4">
        <f>Table1[[#This Row],[Delivery_Date]]-Table1[[#This Row],[Order_Date]]</f>
        <v>6</v>
      </c>
      <c r="U451" s="4">
        <f>Table1[[#This Row],[Price]]*Table1[[#This Row],[Quantity]]</f>
        <v>867.24</v>
      </c>
      <c r="V451" s="11">
        <f t="shared" si="7"/>
        <v>0.1</v>
      </c>
      <c r="W451" s="4">
        <f>Table1[[#This Row],[Amount]]-(Table1[[#This Row],[Amount]]*Table1[[#This Row],[Discount_Percent]])</f>
        <v>780.51599999999996</v>
      </c>
      <c r="X451" s="4">
        <f>IF(O451="DEL0", Table1[[#This Row],[Discounted_Amount]],Table1[[#This Row],[Discounted_Amount]]+Table1[[#This Row],[Delivery_Charge]])</f>
        <v>819.51599999999996</v>
      </c>
      <c r="Y451" s="4" t="str">
        <f>Table1[[#This Row],[First_Name]]&amp;" "&amp;Table1[[#This Row],[Last_Name]]</f>
        <v>William Mann</v>
      </c>
      <c r="Z451" s="4" t="str">
        <f>IF(T:T&gt;Table1[[#This Row],[Estimated_Days_to_Deliver]],"Late",IF(T:T=Table1[[#This Row],[Estimated_Days_to_Deliver]],"Intime","BeforeTime"))</f>
        <v>Late</v>
      </c>
      <c r="AA451" s="4">
        <f>MONTH(Table1[[#This Row],[Order_Date]])</f>
        <v>12</v>
      </c>
      <c r="AB451" s="13">
        <f>Table1[[#This Row],[Amount]]*Table1[[#This Row],[Discount_Percent]]</f>
        <v>86.724000000000004</v>
      </c>
    </row>
    <row r="452" spans="1:28" ht="14.25" customHeight="1">
      <c r="A452" s="1" t="s">
        <v>377</v>
      </c>
      <c r="B452" s="1" t="s">
        <v>42</v>
      </c>
      <c r="C452" s="1" t="s">
        <v>378</v>
      </c>
      <c r="D452" s="1">
        <v>50</v>
      </c>
      <c r="E452" s="1" t="s">
        <v>54</v>
      </c>
      <c r="F452" s="1" t="s">
        <v>142</v>
      </c>
      <c r="G452" s="1" t="s">
        <v>379</v>
      </c>
      <c r="H452" s="1" t="s">
        <v>380</v>
      </c>
      <c r="I452" s="1" t="s">
        <v>1900</v>
      </c>
      <c r="J452" s="24">
        <v>45149</v>
      </c>
      <c r="K452" s="1" t="s">
        <v>1901</v>
      </c>
      <c r="L452" s="1" t="s">
        <v>64</v>
      </c>
      <c r="M452" s="1">
        <v>405</v>
      </c>
      <c r="N452" s="1">
        <v>3</v>
      </c>
      <c r="O452" s="1" t="s">
        <v>98</v>
      </c>
      <c r="P452" s="1">
        <v>5</v>
      </c>
      <c r="Q452" s="1">
        <v>36</v>
      </c>
      <c r="R452" s="24">
        <v>45153</v>
      </c>
      <c r="S452" s="1" t="s">
        <v>1902</v>
      </c>
      <c r="T452" s="4">
        <f>Table1[[#This Row],[Delivery_Date]]-Table1[[#This Row],[Order_Date]]</f>
        <v>4</v>
      </c>
      <c r="U452" s="4">
        <f>Table1[[#This Row],[Price]]*Table1[[#This Row],[Quantity]]</f>
        <v>1215</v>
      </c>
      <c r="V452" s="11">
        <f t="shared" si="7"/>
        <v>0.1</v>
      </c>
      <c r="W452" s="4">
        <f>Table1[[#This Row],[Amount]]-(Table1[[#This Row],[Amount]]*Table1[[#This Row],[Discount_Percent]])</f>
        <v>1093.5</v>
      </c>
      <c r="X452" s="4">
        <f>IF(O452="DEL0", Table1[[#This Row],[Discounted_Amount]],Table1[[#This Row],[Discounted_Amount]]+Table1[[#This Row],[Delivery_Charge]])</f>
        <v>1129.5</v>
      </c>
      <c r="Y452" s="4" t="str">
        <f>Table1[[#This Row],[First_Name]]&amp;" "&amp;Table1[[#This Row],[Last_Name]]</f>
        <v>Thomas Andersen</v>
      </c>
      <c r="Z452" s="4" t="str">
        <f>IF(T:T&gt;Table1[[#This Row],[Estimated_Days_to_Deliver]],"Late",IF(T:T=Table1[[#This Row],[Estimated_Days_to_Deliver]],"Intime","BeforeTime"))</f>
        <v>BeforeTime</v>
      </c>
      <c r="AA452" s="4">
        <f>MONTH(Table1[[#This Row],[Order_Date]])</f>
        <v>8</v>
      </c>
      <c r="AB452" s="13">
        <f>Table1[[#This Row],[Amount]]*Table1[[#This Row],[Discount_Percent]]</f>
        <v>121.5</v>
      </c>
    </row>
    <row r="453" spans="1:28" ht="14.25" customHeight="1">
      <c r="A453" s="1" t="s">
        <v>40</v>
      </c>
      <c r="B453" s="1" t="s">
        <v>41</v>
      </c>
      <c r="C453" s="1" t="s">
        <v>42</v>
      </c>
      <c r="D453" s="1">
        <v>53</v>
      </c>
      <c r="E453" s="1" t="s">
        <v>43</v>
      </c>
      <c r="F453" s="1" t="s">
        <v>44</v>
      </c>
      <c r="G453" s="1" t="s">
        <v>45</v>
      </c>
      <c r="H453" s="1" t="s">
        <v>46</v>
      </c>
      <c r="I453" s="1" t="s">
        <v>1903</v>
      </c>
      <c r="J453" s="24">
        <v>45076</v>
      </c>
      <c r="K453" s="1" t="s">
        <v>1904</v>
      </c>
      <c r="L453" s="1" t="s">
        <v>83</v>
      </c>
      <c r="M453" s="1">
        <v>330.11</v>
      </c>
      <c r="N453" s="1">
        <v>3</v>
      </c>
      <c r="O453" s="1" t="s">
        <v>87</v>
      </c>
      <c r="P453" s="1">
        <v>5</v>
      </c>
      <c r="Q453" s="1">
        <v>40</v>
      </c>
      <c r="R453" s="24">
        <v>45080</v>
      </c>
      <c r="S453" s="1" t="s">
        <v>1905</v>
      </c>
      <c r="T453" s="4">
        <f>Table1[[#This Row],[Delivery_Date]]-Table1[[#This Row],[Order_Date]]</f>
        <v>4</v>
      </c>
      <c r="U453" s="4">
        <f>Table1[[#This Row],[Price]]*Table1[[#This Row],[Quantity]]</f>
        <v>990.33</v>
      </c>
      <c r="V453" s="11">
        <f t="shared" si="7"/>
        <v>0.2</v>
      </c>
      <c r="W453" s="4">
        <f>Table1[[#This Row],[Amount]]-(Table1[[#This Row],[Amount]]*Table1[[#This Row],[Discount_Percent]])</f>
        <v>792.26400000000001</v>
      </c>
      <c r="X453" s="4">
        <f>IF(O453="DEL0", Table1[[#This Row],[Discounted_Amount]],Table1[[#This Row],[Discounted_Amount]]+Table1[[#This Row],[Delivery_Charge]])</f>
        <v>832.26400000000001</v>
      </c>
      <c r="Y453" s="4" t="str">
        <f>Table1[[#This Row],[First_Name]]&amp;" "&amp;Table1[[#This Row],[Last_Name]]</f>
        <v>Anthony Thomas</v>
      </c>
      <c r="Z453" s="4" t="str">
        <f>IF(T:T&gt;Table1[[#This Row],[Estimated_Days_to_Deliver]],"Late",IF(T:T=Table1[[#This Row],[Estimated_Days_to_Deliver]],"Intime","BeforeTime"))</f>
        <v>BeforeTime</v>
      </c>
      <c r="AA453" s="4">
        <f>MONTH(Table1[[#This Row],[Order_Date]])</f>
        <v>5</v>
      </c>
      <c r="AB453" s="13">
        <f>Table1[[#This Row],[Amount]]*Table1[[#This Row],[Discount_Percent]]</f>
        <v>198.06600000000003</v>
      </c>
    </row>
    <row r="454" spans="1:28" ht="14.25" customHeight="1">
      <c r="A454" s="1" t="s">
        <v>1740</v>
      </c>
      <c r="B454" s="1" t="s">
        <v>1741</v>
      </c>
      <c r="C454" s="1" t="s">
        <v>1742</v>
      </c>
      <c r="D454" s="1">
        <v>47</v>
      </c>
      <c r="E454" s="1" t="s">
        <v>43</v>
      </c>
      <c r="F454" s="1" t="s">
        <v>32</v>
      </c>
      <c r="G454" s="1" t="s">
        <v>1743</v>
      </c>
      <c r="H454" s="1" t="s">
        <v>1744</v>
      </c>
      <c r="I454" s="1" t="s">
        <v>1906</v>
      </c>
      <c r="J454" s="24">
        <v>45380</v>
      </c>
      <c r="K454" s="1" t="s">
        <v>1907</v>
      </c>
      <c r="L454" s="1" t="s">
        <v>83</v>
      </c>
      <c r="M454" s="1">
        <v>330.11</v>
      </c>
      <c r="N454" s="1">
        <v>1</v>
      </c>
      <c r="O454" s="1" t="s">
        <v>98</v>
      </c>
      <c r="P454" s="1">
        <v>5</v>
      </c>
      <c r="Q454" s="1">
        <v>39</v>
      </c>
      <c r="R454" s="24">
        <v>45384</v>
      </c>
      <c r="S454" s="1" t="s">
        <v>1908</v>
      </c>
      <c r="T454" s="4">
        <f>Table1[[#This Row],[Delivery_Date]]-Table1[[#This Row],[Order_Date]]</f>
        <v>4</v>
      </c>
      <c r="U454" s="4">
        <f>Table1[[#This Row],[Price]]*Table1[[#This Row],[Quantity]]</f>
        <v>330.11</v>
      </c>
      <c r="V454" s="11">
        <f t="shared" si="7"/>
        <v>0.1</v>
      </c>
      <c r="W454" s="4">
        <f>Table1[[#This Row],[Amount]]-(Table1[[#This Row],[Amount]]*Table1[[#This Row],[Discount_Percent]])</f>
        <v>297.09899999999999</v>
      </c>
      <c r="X454" s="4">
        <f>IF(O454="DEL0", Table1[[#This Row],[Discounted_Amount]],Table1[[#This Row],[Discounted_Amount]]+Table1[[#This Row],[Delivery_Charge]])</f>
        <v>336.09899999999999</v>
      </c>
      <c r="Y454" s="4" t="str">
        <f>Table1[[#This Row],[First_Name]]&amp;" "&amp;Table1[[#This Row],[Last_Name]]</f>
        <v>Regina Hawkins</v>
      </c>
      <c r="Z454" s="4" t="str">
        <f>IF(T:T&gt;Table1[[#This Row],[Estimated_Days_to_Deliver]],"Late",IF(T:T=Table1[[#This Row],[Estimated_Days_to_Deliver]],"Intime","BeforeTime"))</f>
        <v>BeforeTime</v>
      </c>
      <c r="AA454" s="4">
        <f>MONTH(Table1[[#This Row],[Order_Date]])</f>
        <v>3</v>
      </c>
      <c r="AB454" s="13">
        <f>Table1[[#This Row],[Amount]]*Table1[[#This Row],[Discount_Percent]]</f>
        <v>33.011000000000003</v>
      </c>
    </row>
    <row r="455" spans="1:28" ht="14.25" customHeight="1">
      <c r="A455" s="1" t="s">
        <v>1909</v>
      </c>
      <c r="B455" s="1" t="s">
        <v>1910</v>
      </c>
      <c r="C455" s="1" t="s">
        <v>1911</v>
      </c>
      <c r="D455" s="1">
        <v>43</v>
      </c>
      <c r="E455" s="1" t="s">
        <v>31</v>
      </c>
      <c r="F455" s="1" t="s">
        <v>44</v>
      </c>
      <c r="G455" s="1" t="s">
        <v>1912</v>
      </c>
      <c r="H455" s="1" t="s">
        <v>1913</v>
      </c>
      <c r="I455" s="1" t="s">
        <v>1914</v>
      </c>
      <c r="J455" s="24">
        <v>45571</v>
      </c>
      <c r="K455" s="1" t="s">
        <v>1915</v>
      </c>
      <c r="L455" s="1" t="s">
        <v>640</v>
      </c>
      <c r="M455" s="1">
        <v>445.81</v>
      </c>
      <c r="N455" s="1">
        <v>2</v>
      </c>
      <c r="O455" s="1" t="s">
        <v>60</v>
      </c>
      <c r="P455" s="1">
        <v>5</v>
      </c>
      <c r="Q455" s="1">
        <v>59</v>
      </c>
      <c r="R455" s="24">
        <v>45576</v>
      </c>
      <c r="S455" s="1" t="s">
        <v>1916</v>
      </c>
      <c r="T455" s="4">
        <f>Table1[[#This Row],[Delivery_Date]]-Table1[[#This Row],[Order_Date]]</f>
        <v>5</v>
      </c>
      <c r="U455" s="4">
        <f>Table1[[#This Row],[Price]]*Table1[[#This Row],[Quantity]]</f>
        <v>891.62</v>
      </c>
      <c r="V455" s="11">
        <f t="shared" si="7"/>
        <v>0.15</v>
      </c>
      <c r="W455" s="4">
        <f>Table1[[#This Row],[Amount]]-(Table1[[#This Row],[Amount]]*Table1[[#This Row],[Discount_Percent]])</f>
        <v>757.87699999999995</v>
      </c>
      <c r="X455" s="4">
        <f>IF(O455="DEL0", Table1[[#This Row],[Discounted_Amount]],Table1[[#This Row],[Discounted_Amount]]+Table1[[#This Row],[Delivery_Charge]])</f>
        <v>816.87699999999995</v>
      </c>
      <c r="Y455" s="4" t="str">
        <f>Table1[[#This Row],[First_Name]]&amp;" "&amp;Table1[[#This Row],[Last_Name]]</f>
        <v>Janice Gordon</v>
      </c>
      <c r="Z455" s="4" t="str">
        <f>IF(T:T&gt;Table1[[#This Row],[Estimated_Days_to_Deliver]],"Late",IF(T:T=Table1[[#This Row],[Estimated_Days_to_Deliver]],"Intime","BeforeTime"))</f>
        <v>Intime</v>
      </c>
      <c r="AA455" s="4">
        <f>MONTH(Table1[[#This Row],[Order_Date]])</f>
        <v>10</v>
      </c>
      <c r="AB455" s="13">
        <f>Table1[[#This Row],[Amount]]*Table1[[#This Row],[Discount_Percent]]</f>
        <v>133.74299999999999</v>
      </c>
    </row>
    <row r="456" spans="1:28" ht="14.25" customHeight="1">
      <c r="A456" s="1" t="s">
        <v>1617</v>
      </c>
      <c r="B456" s="1" t="s">
        <v>276</v>
      </c>
      <c r="C456" s="1" t="s">
        <v>1618</v>
      </c>
      <c r="D456" s="1">
        <v>62</v>
      </c>
      <c r="E456" s="1" t="s">
        <v>43</v>
      </c>
      <c r="F456" s="1" t="s">
        <v>44</v>
      </c>
      <c r="G456" s="1" t="s">
        <v>1619</v>
      </c>
      <c r="H456" s="1" t="s">
        <v>1620</v>
      </c>
      <c r="I456" s="1" t="s">
        <v>1917</v>
      </c>
      <c r="J456" s="24">
        <v>45380</v>
      </c>
      <c r="K456" s="1" t="s">
        <v>1918</v>
      </c>
      <c r="L456" s="1" t="s">
        <v>987</v>
      </c>
      <c r="M456" s="1">
        <v>33.49</v>
      </c>
      <c r="N456" s="1">
        <v>1</v>
      </c>
      <c r="O456" s="1" t="s">
        <v>65</v>
      </c>
      <c r="P456" s="1">
        <v>5</v>
      </c>
      <c r="Q456" s="1">
        <v>69</v>
      </c>
      <c r="R456" s="24">
        <v>45385</v>
      </c>
      <c r="S456" s="1" t="s">
        <v>1919</v>
      </c>
      <c r="T456" s="4">
        <f>Table1[[#This Row],[Delivery_Date]]-Table1[[#This Row],[Order_Date]]</f>
        <v>5</v>
      </c>
      <c r="U456" s="4">
        <f>Table1[[#This Row],[Price]]*Table1[[#This Row],[Quantity]]</f>
        <v>33.49</v>
      </c>
      <c r="V456" s="11">
        <f t="shared" si="7"/>
        <v>0</v>
      </c>
      <c r="W456" s="4">
        <f>Table1[[#This Row],[Amount]]-(Table1[[#This Row],[Amount]]*Table1[[#This Row],[Discount_Percent]])</f>
        <v>33.49</v>
      </c>
      <c r="X456" s="4">
        <f>IF(O456="DEL0", Table1[[#This Row],[Discounted_Amount]],Table1[[#This Row],[Discounted_Amount]]+Table1[[#This Row],[Delivery_Charge]])</f>
        <v>33.49</v>
      </c>
      <c r="Y456" s="4" t="str">
        <f>Table1[[#This Row],[First_Name]]&amp;" "&amp;Table1[[#This Row],[Last_Name]]</f>
        <v>Lauren Crane</v>
      </c>
      <c r="Z456" s="4" t="str">
        <f>IF(T:T&gt;Table1[[#This Row],[Estimated_Days_to_Deliver]],"Late",IF(T:T=Table1[[#This Row],[Estimated_Days_to_Deliver]],"Intime","BeforeTime"))</f>
        <v>Intime</v>
      </c>
      <c r="AA456" s="4">
        <f>MONTH(Table1[[#This Row],[Order_Date]])</f>
        <v>3</v>
      </c>
      <c r="AB456" s="13">
        <f>Table1[[#This Row],[Amount]]*Table1[[#This Row],[Discount_Percent]]</f>
        <v>0</v>
      </c>
    </row>
    <row r="457" spans="1:28" ht="14.25" customHeight="1">
      <c r="A457" s="1" t="s">
        <v>369</v>
      </c>
      <c r="B457" s="1" t="s">
        <v>370</v>
      </c>
      <c r="C457" s="1" t="s">
        <v>371</v>
      </c>
      <c r="D457" s="1">
        <v>31</v>
      </c>
      <c r="E457" s="1" t="s">
        <v>54</v>
      </c>
      <c r="F457" s="1" t="s">
        <v>142</v>
      </c>
      <c r="G457" s="1" t="s">
        <v>372</v>
      </c>
      <c r="H457" s="1" t="s">
        <v>373</v>
      </c>
      <c r="I457" s="1" t="s">
        <v>1920</v>
      </c>
      <c r="J457" s="24">
        <v>45525</v>
      </c>
      <c r="K457" s="1" t="s">
        <v>1921</v>
      </c>
      <c r="L457" s="1" t="s">
        <v>290</v>
      </c>
      <c r="M457" s="1">
        <v>157.63999999999999</v>
      </c>
      <c r="N457" s="1">
        <v>1</v>
      </c>
      <c r="O457" s="1" t="s">
        <v>87</v>
      </c>
      <c r="P457" s="1">
        <v>5</v>
      </c>
      <c r="Q457" s="1">
        <v>46</v>
      </c>
      <c r="R457" s="24">
        <v>45527</v>
      </c>
      <c r="S457" s="1" t="s">
        <v>1922</v>
      </c>
      <c r="T457" s="4">
        <f>Table1[[#This Row],[Delivery_Date]]-Table1[[#This Row],[Order_Date]]</f>
        <v>2</v>
      </c>
      <c r="U457" s="4">
        <f>Table1[[#This Row],[Price]]*Table1[[#This Row],[Quantity]]</f>
        <v>157.63999999999999</v>
      </c>
      <c r="V457" s="11">
        <f t="shared" si="7"/>
        <v>0.2</v>
      </c>
      <c r="W457" s="4">
        <f>Table1[[#This Row],[Amount]]-(Table1[[#This Row],[Amount]]*Table1[[#This Row],[Discount_Percent]])</f>
        <v>126.11199999999999</v>
      </c>
      <c r="X457" s="4">
        <f>IF(O457="DEL0", Table1[[#This Row],[Discounted_Amount]],Table1[[#This Row],[Discounted_Amount]]+Table1[[#This Row],[Delivery_Charge]])</f>
        <v>172.11199999999999</v>
      </c>
      <c r="Y457" s="4" t="str">
        <f>Table1[[#This Row],[First_Name]]&amp;" "&amp;Table1[[#This Row],[Last_Name]]</f>
        <v>Timothy Hicks</v>
      </c>
      <c r="Z457" s="4" t="str">
        <f>IF(T:T&gt;Table1[[#This Row],[Estimated_Days_to_Deliver]],"Late",IF(T:T=Table1[[#This Row],[Estimated_Days_to_Deliver]],"Intime","BeforeTime"))</f>
        <v>BeforeTime</v>
      </c>
      <c r="AA457" s="4">
        <f>MONTH(Table1[[#This Row],[Order_Date]])</f>
        <v>8</v>
      </c>
      <c r="AB457" s="13">
        <f>Table1[[#This Row],[Amount]]*Table1[[#This Row],[Discount_Percent]]</f>
        <v>31.527999999999999</v>
      </c>
    </row>
    <row r="458" spans="1:28" ht="14.25" customHeight="1">
      <c r="A458" s="1" t="s">
        <v>361</v>
      </c>
      <c r="B458" s="1" t="s">
        <v>362</v>
      </c>
      <c r="C458" s="1" t="s">
        <v>363</v>
      </c>
      <c r="D458" s="1">
        <v>32</v>
      </c>
      <c r="E458" s="1" t="s">
        <v>43</v>
      </c>
      <c r="F458" s="1" t="s">
        <v>170</v>
      </c>
      <c r="G458" s="1" t="s">
        <v>364</v>
      </c>
      <c r="H458" s="1" t="s">
        <v>365</v>
      </c>
      <c r="I458" s="1" t="s">
        <v>1923</v>
      </c>
      <c r="J458" s="24">
        <v>45257</v>
      </c>
      <c r="K458" s="1" t="s">
        <v>1924</v>
      </c>
      <c r="L458" s="1" t="s">
        <v>128</v>
      </c>
      <c r="M458" s="1">
        <v>257.06</v>
      </c>
      <c r="N458" s="1">
        <v>1</v>
      </c>
      <c r="O458" s="1" t="s">
        <v>38</v>
      </c>
      <c r="P458" s="1">
        <v>5</v>
      </c>
      <c r="Q458" s="1">
        <v>47</v>
      </c>
      <c r="R458" s="24">
        <v>45259</v>
      </c>
      <c r="S458" s="1" t="s">
        <v>1925</v>
      </c>
      <c r="T458" s="4">
        <f>Table1[[#This Row],[Delivery_Date]]-Table1[[#This Row],[Order_Date]]</f>
        <v>2</v>
      </c>
      <c r="U458" s="4">
        <f>Table1[[#This Row],[Price]]*Table1[[#This Row],[Quantity]]</f>
        <v>257.06</v>
      </c>
      <c r="V458" s="11">
        <f t="shared" si="7"/>
        <v>0.08</v>
      </c>
      <c r="W458" s="4">
        <f>Table1[[#This Row],[Amount]]-(Table1[[#This Row],[Amount]]*Table1[[#This Row],[Discount_Percent]])</f>
        <v>236.49520000000001</v>
      </c>
      <c r="X458" s="4">
        <f>IF(O458="DEL0", Table1[[#This Row],[Discounted_Amount]],Table1[[#This Row],[Discounted_Amount]]+Table1[[#This Row],[Delivery_Charge]])</f>
        <v>283.49520000000001</v>
      </c>
      <c r="Y458" s="4" t="str">
        <f>Table1[[#This Row],[First_Name]]&amp;" "&amp;Table1[[#This Row],[Last_Name]]</f>
        <v>Robert Castillo</v>
      </c>
      <c r="Z458" s="4" t="str">
        <f>IF(T:T&gt;Table1[[#This Row],[Estimated_Days_to_Deliver]],"Late",IF(T:T=Table1[[#This Row],[Estimated_Days_to_Deliver]],"Intime","BeforeTime"))</f>
        <v>BeforeTime</v>
      </c>
      <c r="AA458" s="4">
        <f>MONTH(Table1[[#This Row],[Order_Date]])</f>
        <v>11</v>
      </c>
      <c r="AB458" s="13">
        <f>Table1[[#This Row],[Amount]]*Table1[[#This Row],[Discount_Percent]]</f>
        <v>20.564800000000002</v>
      </c>
    </row>
    <row r="459" spans="1:28" ht="14.25" customHeight="1">
      <c r="A459" s="1" t="s">
        <v>1045</v>
      </c>
      <c r="B459" s="1" t="s">
        <v>76</v>
      </c>
      <c r="C459" s="1" t="s">
        <v>1046</v>
      </c>
      <c r="D459" s="1">
        <v>46</v>
      </c>
      <c r="E459" s="1" t="s">
        <v>31</v>
      </c>
      <c r="F459" s="1" t="s">
        <v>32</v>
      </c>
      <c r="G459" s="1" t="s">
        <v>1047</v>
      </c>
      <c r="H459" s="1" t="s">
        <v>1048</v>
      </c>
      <c r="I459" s="1" t="s">
        <v>1926</v>
      </c>
      <c r="J459" s="24">
        <v>44980</v>
      </c>
      <c r="K459" s="1" t="s">
        <v>1927</v>
      </c>
      <c r="L459" s="1" t="s">
        <v>386</v>
      </c>
      <c r="M459" s="1">
        <v>431.44</v>
      </c>
      <c r="N459" s="1">
        <v>3</v>
      </c>
      <c r="O459" s="1" t="s">
        <v>38</v>
      </c>
      <c r="P459" s="1">
        <v>5</v>
      </c>
      <c r="Q459" s="1">
        <v>70</v>
      </c>
      <c r="R459" s="24">
        <v>44983</v>
      </c>
      <c r="S459" s="1" t="s">
        <v>1928</v>
      </c>
      <c r="T459" s="4">
        <f>Table1[[#This Row],[Delivery_Date]]-Table1[[#This Row],[Order_Date]]</f>
        <v>3</v>
      </c>
      <c r="U459" s="4">
        <f>Table1[[#This Row],[Price]]*Table1[[#This Row],[Quantity]]</f>
        <v>1294.32</v>
      </c>
      <c r="V459" s="11">
        <f t="shared" si="7"/>
        <v>0.08</v>
      </c>
      <c r="W459" s="4">
        <f>Table1[[#This Row],[Amount]]-(Table1[[#This Row],[Amount]]*Table1[[#This Row],[Discount_Percent]])</f>
        <v>1190.7744</v>
      </c>
      <c r="X459" s="4">
        <f>IF(O459="DEL0", Table1[[#This Row],[Discounted_Amount]],Table1[[#This Row],[Discounted_Amount]]+Table1[[#This Row],[Delivery_Charge]])</f>
        <v>1260.7744</v>
      </c>
      <c r="Y459" s="4" t="str">
        <f>Table1[[#This Row],[First_Name]]&amp;" "&amp;Table1[[#This Row],[Last_Name]]</f>
        <v>Christine Aguilar</v>
      </c>
      <c r="Z459" s="4" t="str">
        <f>IF(T:T&gt;Table1[[#This Row],[Estimated_Days_to_Deliver]],"Late",IF(T:T=Table1[[#This Row],[Estimated_Days_to_Deliver]],"Intime","BeforeTime"))</f>
        <v>BeforeTime</v>
      </c>
      <c r="AA459" s="4">
        <f>MONTH(Table1[[#This Row],[Order_Date]])</f>
        <v>2</v>
      </c>
      <c r="AB459" s="13">
        <f>Table1[[#This Row],[Amount]]*Table1[[#This Row],[Discount_Percent]]</f>
        <v>103.54559999999999</v>
      </c>
    </row>
    <row r="460" spans="1:28" ht="14.25" customHeight="1">
      <c r="A460" s="1" t="s">
        <v>1740</v>
      </c>
      <c r="B460" s="1" t="s">
        <v>1741</v>
      </c>
      <c r="C460" s="1" t="s">
        <v>1742</v>
      </c>
      <c r="D460" s="1">
        <v>47</v>
      </c>
      <c r="E460" s="1" t="s">
        <v>43</v>
      </c>
      <c r="F460" s="1" t="s">
        <v>32</v>
      </c>
      <c r="G460" s="1" t="s">
        <v>1743</v>
      </c>
      <c r="H460" s="1" t="s">
        <v>1744</v>
      </c>
      <c r="I460" s="1" t="s">
        <v>1929</v>
      </c>
      <c r="J460" s="24">
        <v>45183</v>
      </c>
      <c r="K460" s="1" t="s">
        <v>1930</v>
      </c>
      <c r="L460" s="1" t="s">
        <v>237</v>
      </c>
      <c r="M460" s="1">
        <v>132.97</v>
      </c>
      <c r="N460" s="1">
        <v>1</v>
      </c>
      <c r="O460" s="1" t="s">
        <v>60</v>
      </c>
      <c r="P460" s="1">
        <v>5</v>
      </c>
      <c r="Q460" s="1">
        <v>37</v>
      </c>
      <c r="R460" s="24">
        <v>45190</v>
      </c>
      <c r="S460" s="1" t="s">
        <v>1931</v>
      </c>
      <c r="T460" s="4">
        <f>Table1[[#This Row],[Delivery_Date]]-Table1[[#This Row],[Order_Date]]</f>
        <v>7</v>
      </c>
      <c r="U460" s="4">
        <f>Table1[[#This Row],[Price]]*Table1[[#This Row],[Quantity]]</f>
        <v>132.97</v>
      </c>
      <c r="V460" s="11">
        <f t="shared" si="7"/>
        <v>0.15</v>
      </c>
      <c r="W460" s="4">
        <f>Table1[[#This Row],[Amount]]-(Table1[[#This Row],[Amount]]*Table1[[#This Row],[Discount_Percent]])</f>
        <v>113.0245</v>
      </c>
      <c r="X460" s="4">
        <f>IF(O460="DEL0", Table1[[#This Row],[Discounted_Amount]],Table1[[#This Row],[Discounted_Amount]]+Table1[[#This Row],[Delivery_Charge]])</f>
        <v>150.02449999999999</v>
      </c>
      <c r="Y460" s="4" t="str">
        <f>Table1[[#This Row],[First_Name]]&amp;" "&amp;Table1[[#This Row],[Last_Name]]</f>
        <v>Regina Hawkins</v>
      </c>
      <c r="Z460" s="4" t="str">
        <f>IF(T:T&gt;Table1[[#This Row],[Estimated_Days_to_Deliver]],"Late",IF(T:T=Table1[[#This Row],[Estimated_Days_to_Deliver]],"Intime","BeforeTime"))</f>
        <v>Late</v>
      </c>
      <c r="AA460" s="4">
        <f>MONTH(Table1[[#This Row],[Order_Date]])</f>
        <v>9</v>
      </c>
      <c r="AB460" s="13">
        <f>Table1[[#This Row],[Amount]]*Table1[[#This Row],[Discount_Percent]]</f>
        <v>19.945499999999999</v>
      </c>
    </row>
    <row r="461" spans="1:28" ht="14.25" customHeight="1">
      <c r="A461" s="1" t="s">
        <v>1740</v>
      </c>
      <c r="B461" s="1" t="s">
        <v>1741</v>
      </c>
      <c r="C461" s="1" t="s">
        <v>1742</v>
      </c>
      <c r="D461" s="1">
        <v>47</v>
      </c>
      <c r="E461" s="1" t="s">
        <v>43</v>
      </c>
      <c r="F461" s="1" t="s">
        <v>32</v>
      </c>
      <c r="G461" s="1" t="s">
        <v>1743</v>
      </c>
      <c r="H461" s="1" t="s">
        <v>1744</v>
      </c>
      <c r="I461" s="1" t="s">
        <v>1932</v>
      </c>
      <c r="J461" s="24">
        <v>45015</v>
      </c>
      <c r="K461" s="1" t="s">
        <v>1933</v>
      </c>
      <c r="L461" s="1" t="s">
        <v>326</v>
      </c>
      <c r="M461" s="1">
        <v>481.48</v>
      </c>
      <c r="N461" s="1">
        <v>2</v>
      </c>
      <c r="O461" s="1" t="s">
        <v>65</v>
      </c>
      <c r="P461" s="1">
        <v>5</v>
      </c>
      <c r="Q461" s="1">
        <v>45</v>
      </c>
      <c r="R461" s="24">
        <v>45017</v>
      </c>
      <c r="S461" s="1" t="s">
        <v>1934</v>
      </c>
      <c r="T461" s="4">
        <f>Table1[[#This Row],[Delivery_Date]]-Table1[[#This Row],[Order_Date]]</f>
        <v>2</v>
      </c>
      <c r="U461" s="4">
        <f>Table1[[#This Row],[Price]]*Table1[[#This Row],[Quantity]]</f>
        <v>962.96</v>
      </c>
      <c r="V461" s="11">
        <f t="shared" si="7"/>
        <v>0</v>
      </c>
      <c r="W461" s="4">
        <f>Table1[[#This Row],[Amount]]-(Table1[[#This Row],[Amount]]*Table1[[#This Row],[Discount_Percent]])</f>
        <v>962.96</v>
      </c>
      <c r="X461" s="4">
        <f>IF(O461="DEL0", Table1[[#This Row],[Discounted_Amount]],Table1[[#This Row],[Discounted_Amount]]+Table1[[#This Row],[Delivery_Charge]])</f>
        <v>962.96</v>
      </c>
      <c r="Y461" s="4" t="str">
        <f>Table1[[#This Row],[First_Name]]&amp;" "&amp;Table1[[#This Row],[Last_Name]]</f>
        <v>Regina Hawkins</v>
      </c>
      <c r="Z461" s="4" t="str">
        <f>IF(T:T&gt;Table1[[#This Row],[Estimated_Days_to_Deliver]],"Late",IF(T:T=Table1[[#This Row],[Estimated_Days_to_Deliver]],"Intime","BeforeTime"))</f>
        <v>BeforeTime</v>
      </c>
      <c r="AA461" s="4">
        <f>MONTH(Table1[[#This Row],[Order_Date]])</f>
        <v>3</v>
      </c>
      <c r="AB461" s="13">
        <f>Table1[[#This Row],[Amount]]*Table1[[#This Row],[Discount_Percent]]</f>
        <v>0</v>
      </c>
    </row>
    <row r="462" spans="1:28" ht="14.25" customHeight="1">
      <c r="A462" s="1" t="s">
        <v>1935</v>
      </c>
      <c r="B462" s="1" t="s">
        <v>1936</v>
      </c>
      <c r="C462" s="1" t="s">
        <v>1937</v>
      </c>
      <c r="D462" s="1">
        <v>54</v>
      </c>
      <c r="E462" s="1" t="s">
        <v>43</v>
      </c>
      <c r="F462" s="1" t="s">
        <v>78</v>
      </c>
      <c r="G462" s="1" t="s">
        <v>1938</v>
      </c>
      <c r="H462" s="1" t="s">
        <v>1939</v>
      </c>
      <c r="I462" s="1" t="s">
        <v>1940</v>
      </c>
      <c r="J462" s="24">
        <v>45587</v>
      </c>
      <c r="K462" s="1" t="s">
        <v>1941</v>
      </c>
      <c r="L462" s="1" t="s">
        <v>484</v>
      </c>
      <c r="M462" s="1">
        <v>87.09</v>
      </c>
      <c r="N462" s="1">
        <v>5</v>
      </c>
      <c r="O462" s="1" t="s">
        <v>60</v>
      </c>
      <c r="P462" s="1">
        <v>5</v>
      </c>
      <c r="Q462" s="1">
        <v>40</v>
      </c>
      <c r="R462" s="24">
        <v>45589</v>
      </c>
      <c r="S462" s="1" t="s">
        <v>1942</v>
      </c>
      <c r="T462" s="4">
        <f>Table1[[#This Row],[Delivery_Date]]-Table1[[#This Row],[Order_Date]]</f>
        <v>2</v>
      </c>
      <c r="U462" s="4">
        <f>Table1[[#This Row],[Price]]*Table1[[#This Row],[Quantity]]</f>
        <v>435.45000000000005</v>
      </c>
      <c r="V462" s="11">
        <f t="shared" si="7"/>
        <v>0.15</v>
      </c>
      <c r="W462" s="4">
        <f>Table1[[#This Row],[Amount]]-(Table1[[#This Row],[Amount]]*Table1[[#This Row],[Discount_Percent]])</f>
        <v>370.13250000000005</v>
      </c>
      <c r="X462" s="4">
        <f>IF(O462="DEL0", Table1[[#This Row],[Discounted_Amount]],Table1[[#This Row],[Discounted_Amount]]+Table1[[#This Row],[Delivery_Charge]])</f>
        <v>410.13250000000005</v>
      </c>
      <c r="Y462" s="4" t="str">
        <f>Table1[[#This Row],[First_Name]]&amp;" "&amp;Table1[[#This Row],[Last_Name]]</f>
        <v>Diana French</v>
      </c>
      <c r="Z462" s="4" t="str">
        <f>IF(T:T&gt;Table1[[#This Row],[Estimated_Days_to_Deliver]],"Late",IF(T:T=Table1[[#This Row],[Estimated_Days_to_Deliver]],"Intime","BeforeTime"))</f>
        <v>BeforeTime</v>
      </c>
      <c r="AA462" s="4">
        <f>MONTH(Table1[[#This Row],[Order_Date]])</f>
        <v>10</v>
      </c>
      <c r="AB462" s="13">
        <f>Table1[[#This Row],[Amount]]*Table1[[#This Row],[Discount_Percent]]</f>
        <v>65.31750000000001</v>
      </c>
    </row>
    <row r="463" spans="1:28" ht="14.25" customHeight="1">
      <c r="A463" s="1" t="s">
        <v>826</v>
      </c>
      <c r="B463" s="1" t="s">
        <v>827</v>
      </c>
      <c r="C463" s="1" t="s">
        <v>828</v>
      </c>
      <c r="D463" s="1">
        <v>42</v>
      </c>
      <c r="E463" s="1" t="s">
        <v>31</v>
      </c>
      <c r="F463" s="1" t="s">
        <v>78</v>
      </c>
      <c r="G463" s="1" t="s">
        <v>829</v>
      </c>
      <c r="H463" s="1" t="s">
        <v>830</v>
      </c>
      <c r="I463" s="1" t="s">
        <v>1943</v>
      </c>
      <c r="J463" s="24">
        <v>45596</v>
      </c>
      <c r="K463" s="1" t="s">
        <v>1944</v>
      </c>
      <c r="L463" s="1" t="s">
        <v>751</v>
      </c>
      <c r="M463" s="1">
        <v>381.73</v>
      </c>
      <c r="N463" s="1">
        <v>5</v>
      </c>
      <c r="O463" s="1" t="s">
        <v>60</v>
      </c>
      <c r="P463" s="1">
        <v>5</v>
      </c>
      <c r="Q463" s="1">
        <v>53</v>
      </c>
      <c r="R463" s="24">
        <v>45603</v>
      </c>
      <c r="S463" s="1" t="s">
        <v>1945</v>
      </c>
      <c r="T463" s="4">
        <f>Table1[[#This Row],[Delivery_Date]]-Table1[[#This Row],[Order_Date]]</f>
        <v>7</v>
      </c>
      <c r="U463" s="4">
        <f>Table1[[#This Row],[Price]]*Table1[[#This Row],[Quantity]]</f>
        <v>1908.65</v>
      </c>
      <c r="V463" s="11">
        <f t="shared" si="7"/>
        <v>0.15</v>
      </c>
      <c r="W463" s="4">
        <f>Table1[[#This Row],[Amount]]-(Table1[[#This Row],[Amount]]*Table1[[#This Row],[Discount_Percent]])</f>
        <v>1622.3525</v>
      </c>
      <c r="X463" s="4">
        <f>IF(O463="DEL0", Table1[[#This Row],[Discounted_Amount]],Table1[[#This Row],[Discounted_Amount]]+Table1[[#This Row],[Delivery_Charge]])</f>
        <v>1675.3525</v>
      </c>
      <c r="Y463" s="4" t="str">
        <f>Table1[[#This Row],[First_Name]]&amp;" "&amp;Table1[[#This Row],[Last_Name]]</f>
        <v>Edward Black</v>
      </c>
      <c r="Z463" s="4" t="str">
        <f>IF(T:T&gt;Table1[[#This Row],[Estimated_Days_to_Deliver]],"Late",IF(T:T=Table1[[#This Row],[Estimated_Days_to_Deliver]],"Intime","BeforeTime"))</f>
        <v>Late</v>
      </c>
      <c r="AA463" s="4">
        <f>MONTH(Table1[[#This Row],[Order_Date]])</f>
        <v>10</v>
      </c>
      <c r="AB463" s="13">
        <f>Table1[[#This Row],[Amount]]*Table1[[#This Row],[Discount_Percent]]</f>
        <v>286.29750000000001</v>
      </c>
    </row>
    <row r="464" spans="1:28" ht="14.25" customHeight="1">
      <c r="A464" s="1" t="s">
        <v>1321</v>
      </c>
      <c r="B464" s="1" t="s">
        <v>1322</v>
      </c>
      <c r="C464" s="1" t="s">
        <v>1323</v>
      </c>
      <c r="D464" s="1">
        <v>43</v>
      </c>
      <c r="E464" s="1" t="s">
        <v>31</v>
      </c>
      <c r="F464" s="1" t="s">
        <v>142</v>
      </c>
      <c r="G464" s="1" t="s">
        <v>1324</v>
      </c>
      <c r="H464" s="1" t="s">
        <v>1325</v>
      </c>
      <c r="I464" s="1" t="s">
        <v>1946</v>
      </c>
      <c r="J464" s="24">
        <v>45087</v>
      </c>
      <c r="K464" s="1" t="s">
        <v>1947</v>
      </c>
      <c r="L464" s="1" t="s">
        <v>386</v>
      </c>
      <c r="M464" s="1">
        <v>431.44</v>
      </c>
      <c r="N464" s="1">
        <v>3</v>
      </c>
      <c r="O464" s="1" t="s">
        <v>60</v>
      </c>
      <c r="P464" s="1">
        <v>5</v>
      </c>
      <c r="Q464" s="1">
        <v>58</v>
      </c>
      <c r="R464" s="24">
        <v>45092</v>
      </c>
      <c r="S464" s="1" t="s">
        <v>1948</v>
      </c>
      <c r="T464" s="4">
        <f>Table1[[#This Row],[Delivery_Date]]-Table1[[#This Row],[Order_Date]]</f>
        <v>5</v>
      </c>
      <c r="U464" s="4">
        <f>Table1[[#This Row],[Price]]*Table1[[#This Row],[Quantity]]</f>
        <v>1294.32</v>
      </c>
      <c r="V464" s="11">
        <f t="shared" si="7"/>
        <v>0.15</v>
      </c>
      <c r="W464" s="4">
        <f>Table1[[#This Row],[Amount]]-(Table1[[#This Row],[Amount]]*Table1[[#This Row],[Discount_Percent]])</f>
        <v>1100.172</v>
      </c>
      <c r="X464" s="4">
        <f>IF(O464="DEL0", Table1[[#This Row],[Discounted_Amount]],Table1[[#This Row],[Discounted_Amount]]+Table1[[#This Row],[Delivery_Charge]])</f>
        <v>1158.172</v>
      </c>
      <c r="Y464" s="4" t="str">
        <f>Table1[[#This Row],[First_Name]]&amp;" "&amp;Table1[[#This Row],[Last_Name]]</f>
        <v>Jared Horn</v>
      </c>
      <c r="Z464" s="4" t="str">
        <f>IF(T:T&gt;Table1[[#This Row],[Estimated_Days_to_Deliver]],"Late",IF(T:T=Table1[[#This Row],[Estimated_Days_to_Deliver]],"Intime","BeforeTime"))</f>
        <v>Intime</v>
      </c>
      <c r="AA464" s="4">
        <f>MONTH(Table1[[#This Row],[Order_Date]])</f>
        <v>6</v>
      </c>
      <c r="AB464" s="13">
        <f>Table1[[#This Row],[Amount]]*Table1[[#This Row],[Discount_Percent]]</f>
        <v>194.148</v>
      </c>
    </row>
    <row r="465" spans="1:28" ht="14.25" customHeight="1">
      <c r="A465" s="1" t="s">
        <v>1617</v>
      </c>
      <c r="B465" s="1" t="s">
        <v>276</v>
      </c>
      <c r="C465" s="1" t="s">
        <v>1618</v>
      </c>
      <c r="D465" s="1">
        <v>62</v>
      </c>
      <c r="E465" s="1" t="s">
        <v>43</v>
      </c>
      <c r="F465" s="1" t="s">
        <v>44</v>
      </c>
      <c r="G465" s="1" t="s">
        <v>1619</v>
      </c>
      <c r="H465" s="1" t="s">
        <v>1620</v>
      </c>
      <c r="I465" s="1" t="s">
        <v>1949</v>
      </c>
      <c r="J465" s="24">
        <v>45393</v>
      </c>
      <c r="K465" s="1" t="s">
        <v>1950</v>
      </c>
      <c r="L465" s="1" t="s">
        <v>660</v>
      </c>
      <c r="M465" s="1">
        <v>235.63</v>
      </c>
      <c r="N465" s="1">
        <v>3</v>
      </c>
      <c r="O465" s="1" t="s">
        <v>65</v>
      </c>
      <c r="P465" s="1">
        <v>5</v>
      </c>
      <c r="Q465" s="1">
        <v>41</v>
      </c>
      <c r="R465" s="24">
        <v>45398</v>
      </c>
      <c r="S465" s="1" t="s">
        <v>1951</v>
      </c>
      <c r="T465" s="4">
        <f>Table1[[#This Row],[Delivery_Date]]-Table1[[#This Row],[Order_Date]]</f>
        <v>5</v>
      </c>
      <c r="U465" s="4">
        <f>Table1[[#This Row],[Price]]*Table1[[#This Row],[Quantity]]</f>
        <v>706.89</v>
      </c>
      <c r="V465" s="11">
        <f t="shared" si="7"/>
        <v>0</v>
      </c>
      <c r="W465" s="4">
        <f>Table1[[#This Row],[Amount]]-(Table1[[#This Row],[Amount]]*Table1[[#This Row],[Discount_Percent]])</f>
        <v>706.89</v>
      </c>
      <c r="X465" s="4">
        <f>IF(O465="DEL0", Table1[[#This Row],[Discounted_Amount]],Table1[[#This Row],[Discounted_Amount]]+Table1[[#This Row],[Delivery_Charge]])</f>
        <v>706.89</v>
      </c>
      <c r="Y465" s="4" t="str">
        <f>Table1[[#This Row],[First_Name]]&amp;" "&amp;Table1[[#This Row],[Last_Name]]</f>
        <v>Lauren Crane</v>
      </c>
      <c r="Z465" s="4" t="str">
        <f>IF(T:T&gt;Table1[[#This Row],[Estimated_Days_to_Deliver]],"Late",IF(T:T=Table1[[#This Row],[Estimated_Days_to_Deliver]],"Intime","BeforeTime"))</f>
        <v>Intime</v>
      </c>
      <c r="AA465" s="4">
        <f>MONTH(Table1[[#This Row],[Order_Date]])</f>
        <v>4</v>
      </c>
      <c r="AB465" s="13">
        <f>Table1[[#This Row],[Amount]]*Table1[[#This Row],[Discount_Percent]]</f>
        <v>0</v>
      </c>
    </row>
    <row r="466" spans="1:28" ht="14.25" customHeight="1">
      <c r="A466" s="1" t="s">
        <v>167</v>
      </c>
      <c r="B466" s="1" t="s">
        <v>168</v>
      </c>
      <c r="C466" s="1" t="s">
        <v>169</v>
      </c>
      <c r="D466" s="1">
        <v>46</v>
      </c>
      <c r="E466" s="1" t="s">
        <v>31</v>
      </c>
      <c r="F466" s="1" t="s">
        <v>170</v>
      </c>
      <c r="G466" s="1" t="s">
        <v>171</v>
      </c>
      <c r="H466" s="1" t="s">
        <v>172</v>
      </c>
      <c r="I466" s="1" t="s">
        <v>1952</v>
      </c>
      <c r="J466" s="24">
        <v>45525</v>
      </c>
      <c r="K466" s="1" t="s">
        <v>1953</v>
      </c>
      <c r="L466" s="1" t="s">
        <v>347</v>
      </c>
      <c r="M466" s="1">
        <v>372.62</v>
      </c>
      <c r="N466" s="1">
        <v>4</v>
      </c>
      <c r="O466" s="1" t="s">
        <v>38</v>
      </c>
      <c r="P466" s="1">
        <v>5</v>
      </c>
      <c r="Q466" s="1">
        <v>48</v>
      </c>
      <c r="R466" s="24">
        <v>45530</v>
      </c>
      <c r="S466" s="1" t="s">
        <v>1954</v>
      </c>
      <c r="T466" s="4">
        <f>Table1[[#This Row],[Delivery_Date]]-Table1[[#This Row],[Order_Date]]</f>
        <v>5</v>
      </c>
      <c r="U466" s="4">
        <f>Table1[[#This Row],[Price]]*Table1[[#This Row],[Quantity]]</f>
        <v>1490.48</v>
      </c>
      <c r="V466" s="11">
        <f t="shared" si="7"/>
        <v>0.08</v>
      </c>
      <c r="W466" s="4">
        <f>Table1[[#This Row],[Amount]]-(Table1[[#This Row],[Amount]]*Table1[[#This Row],[Discount_Percent]])</f>
        <v>1371.2416000000001</v>
      </c>
      <c r="X466" s="4">
        <f>IF(O466="DEL0", Table1[[#This Row],[Discounted_Amount]],Table1[[#This Row],[Discounted_Amount]]+Table1[[#This Row],[Delivery_Charge]])</f>
        <v>1419.2416000000001</v>
      </c>
      <c r="Y466" s="4" t="str">
        <f>Table1[[#This Row],[First_Name]]&amp;" "&amp;Table1[[#This Row],[Last_Name]]</f>
        <v>Erin Miller</v>
      </c>
      <c r="Z466" s="4" t="str">
        <f>IF(T:T&gt;Table1[[#This Row],[Estimated_Days_to_Deliver]],"Late",IF(T:T=Table1[[#This Row],[Estimated_Days_to_Deliver]],"Intime","BeforeTime"))</f>
        <v>Intime</v>
      </c>
      <c r="AA466" s="4">
        <f>MONTH(Table1[[#This Row],[Order_Date]])</f>
        <v>8</v>
      </c>
      <c r="AB466" s="13">
        <f>Table1[[#This Row],[Amount]]*Table1[[#This Row],[Discount_Percent]]</f>
        <v>119.2384</v>
      </c>
    </row>
    <row r="467" spans="1:28" ht="14.25" customHeight="1">
      <c r="A467" s="1" t="s">
        <v>319</v>
      </c>
      <c r="B467" s="1" t="s">
        <v>320</v>
      </c>
      <c r="C467" s="1" t="s">
        <v>321</v>
      </c>
      <c r="D467" s="1">
        <v>45</v>
      </c>
      <c r="E467" s="1" t="s">
        <v>31</v>
      </c>
      <c r="F467" s="1" t="s">
        <v>44</v>
      </c>
      <c r="G467" s="1" t="s">
        <v>322</v>
      </c>
      <c r="H467" s="1" t="s">
        <v>323</v>
      </c>
      <c r="I467" s="1" t="s">
        <v>1955</v>
      </c>
      <c r="J467" s="24">
        <v>45103</v>
      </c>
      <c r="K467" s="1" t="s">
        <v>1956</v>
      </c>
      <c r="L467" s="1" t="s">
        <v>640</v>
      </c>
      <c r="M467" s="1">
        <v>445.81</v>
      </c>
      <c r="N467" s="1">
        <v>3</v>
      </c>
      <c r="O467" s="1" t="s">
        <v>87</v>
      </c>
      <c r="P467" s="1">
        <v>5</v>
      </c>
      <c r="Q467" s="1">
        <v>58</v>
      </c>
      <c r="R467" s="24">
        <v>45109</v>
      </c>
      <c r="S467" s="1" t="s">
        <v>1957</v>
      </c>
      <c r="T467" s="4">
        <f>Table1[[#This Row],[Delivery_Date]]-Table1[[#This Row],[Order_Date]]</f>
        <v>6</v>
      </c>
      <c r="U467" s="4">
        <f>Table1[[#This Row],[Price]]*Table1[[#This Row],[Quantity]]</f>
        <v>1337.43</v>
      </c>
      <c r="V467" s="11">
        <f t="shared" si="7"/>
        <v>0.2</v>
      </c>
      <c r="W467" s="4">
        <f>Table1[[#This Row],[Amount]]-(Table1[[#This Row],[Amount]]*Table1[[#This Row],[Discount_Percent]])</f>
        <v>1069.944</v>
      </c>
      <c r="X467" s="4">
        <f>IF(O467="DEL0", Table1[[#This Row],[Discounted_Amount]],Table1[[#This Row],[Discounted_Amount]]+Table1[[#This Row],[Delivery_Charge]])</f>
        <v>1127.944</v>
      </c>
      <c r="Y467" s="4" t="str">
        <f>Table1[[#This Row],[First_Name]]&amp;" "&amp;Table1[[#This Row],[Last_Name]]</f>
        <v>Jenny Estrada</v>
      </c>
      <c r="Z467" s="4" t="str">
        <f>IF(T:T&gt;Table1[[#This Row],[Estimated_Days_to_Deliver]],"Late",IF(T:T=Table1[[#This Row],[Estimated_Days_to_Deliver]],"Intime","BeforeTime"))</f>
        <v>Late</v>
      </c>
      <c r="AA467" s="4">
        <f>MONTH(Table1[[#This Row],[Order_Date]])</f>
        <v>6</v>
      </c>
      <c r="AB467" s="13">
        <f>Table1[[#This Row],[Amount]]*Table1[[#This Row],[Discount_Percent]]</f>
        <v>267.48600000000005</v>
      </c>
    </row>
    <row r="468" spans="1:28" ht="14.25" customHeight="1">
      <c r="A468" s="1" t="s">
        <v>642</v>
      </c>
      <c r="B468" s="1" t="s">
        <v>150</v>
      </c>
      <c r="C468" s="1" t="s">
        <v>643</v>
      </c>
      <c r="D468" s="1">
        <v>44</v>
      </c>
      <c r="E468" s="1" t="s">
        <v>54</v>
      </c>
      <c r="F468" s="1" t="s">
        <v>92</v>
      </c>
      <c r="G468" s="1" t="s">
        <v>644</v>
      </c>
      <c r="H468" s="1" t="s">
        <v>645</v>
      </c>
      <c r="I468" s="1" t="s">
        <v>1958</v>
      </c>
      <c r="J468" s="24">
        <v>45410</v>
      </c>
      <c r="K468" s="1" t="s">
        <v>1959</v>
      </c>
      <c r="L468" s="1" t="s">
        <v>593</v>
      </c>
      <c r="M468" s="1">
        <v>403.03</v>
      </c>
      <c r="N468" s="1">
        <v>2</v>
      </c>
      <c r="O468" s="1" t="s">
        <v>60</v>
      </c>
      <c r="P468" s="1">
        <v>5</v>
      </c>
      <c r="Q468" s="1">
        <v>39</v>
      </c>
      <c r="R468" s="24">
        <v>45417</v>
      </c>
      <c r="S468" s="1" t="s">
        <v>1960</v>
      </c>
      <c r="T468" s="4">
        <f>Table1[[#This Row],[Delivery_Date]]-Table1[[#This Row],[Order_Date]]</f>
        <v>7</v>
      </c>
      <c r="U468" s="4">
        <f>Table1[[#This Row],[Price]]*Table1[[#This Row],[Quantity]]</f>
        <v>806.06</v>
      </c>
      <c r="V468" s="11">
        <f t="shared" si="7"/>
        <v>0.15</v>
      </c>
      <c r="W468" s="4">
        <f>Table1[[#This Row],[Amount]]-(Table1[[#This Row],[Amount]]*Table1[[#This Row],[Discount_Percent]])</f>
        <v>685.15099999999995</v>
      </c>
      <c r="X468" s="4">
        <f>IF(O468="DEL0", Table1[[#This Row],[Discounted_Amount]],Table1[[#This Row],[Discounted_Amount]]+Table1[[#This Row],[Delivery_Charge]])</f>
        <v>724.15099999999995</v>
      </c>
      <c r="Y468" s="4" t="str">
        <f>Table1[[#This Row],[First_Name]]&amp;" "&amp;Table1[[#This Row],[Last_Name]]</f>
        <v>Amy Ellis</v>
      </c>
      <c r="Z468" s="4" t="str">
        <f>IF(T:T&gt;Table1[[#This Row],[Estimated_Days_to_Deliver]],"Late",IF(T:T=Table1[[#This Row],[Estimated_Days_to_Deliver]],"Intime","BeforeTime"))</f>
        <v>Late</v>
      </c>
      <c r="AA468" s="4">
        <f>MONTH(Table1[[#This Row],[Order_Date]])</f>
        <v>4</v>
      </c>
      <c r="AB468" s="13">
        <f>Table1[[#This Row],[Amount]]*Table1[[#This Row],[Discount_Percent]]</f>
        <v>120.90899999999999</v>
      </c>
    </row>
    <row r="469" spans="1:28" ht="14.25" customHeight="1">
      <c r="A469" s="1" t="s">
        <v>897</v>
      </c>
      <c r="B469" s="1" t="s">
        <v>150</v>
      </c>
      <c r="C469" s="1" t="s">
        <v>898</v>
      </c>
      <c r="D469" s="1">
        <v>29</v>
      </c>
      <c r="E469" s="1" t="s">
        <v>31</v>
      </c>
      <c r="F469" s="1" t="s">
        <v>44</v>
      </c>
      <c r="G469" s="1" t="s">
        <v>899</v>
      </c>
      <c r="H469" s="1" t="s">
        <v>900</v>
      </c>
      <c r="I469" s="1" t="s">
        <v>1961</v>
      </c>
      <c r="J469" s="24">
        <v>45423</v>
      </c>
      <c r="K469" s="1" t="s">
        <v>1962</v>
      </c>
      <c r="L469" s="1" t="s">
        <v>359</v>
      </c>
      <c r="M469" s="1">
        <v>496.59</v>
      </c>
      <c r="N469" s="1">
        <v>5</v>
      </c>
      <c r="O469" s="1" t="s">
        <v>38</v>
      </c>
      <c r="P469" s="1">
        <v>5</v>
      </c>
      <c r="Q469" s="1">
        <v>61</v>
      </c>
      <c r="R469" s="24">
        <v>45425</v>
      </c>
      <c r="S469" s="1" t="s">
        <v>1963</v>
      </c>
      <c r="T469" s="4">
        <f>Table1[[#This Row],[Delivery_Date]]-Table1[[#This Row],[Order_Date]]</f>
        <v>2</v>
      </c>
      <c r="U469" s="4">
        <f>Table1[[#This Row],[Price]]*Table1[[#This Row],[Quantity]]</f>
        <v>2482.9499999999998</v>
      </c>
      <c r="V469" s="11">
        <f t="shared" si="7"/>
        <v>0.08</v>
      </c>
      <c r="W469" s="4">
        <f>Table1[[#This Row],[Amount]]-(Table1[[#This Row],[Amount]]*Table1[[#This Row],[Discount_Percent]])</f>
        <v>2284.3139999999999</v>
      </c>
      <c r="X469" s="4">
        <f>IF(O469="DEL0", Table1[[#This Row],[Discounted_Amount]],Table1[[#This Row],[Discounted_Amount]]+Table1[[#This Row],[Delivery_Charge]])</f>
        <v>2345.3139999999999</v>
      </c>
      <c r="Y469" s="4" t="str">
        <f>Table1[[#This Row],[First_Name]]&amp;" "&amp;Table1[[#This Row],[Last_Name]]</f>
        <v>Amy Griffin</v>
      </c>
      <c r="Z469" s="4" t="str">
        <f>IF(T:T&gt;Table1[[#This Row],[Estimated_Days_to_Deliver]],"Late",IF(T:T=Table1[[#This Row],[Estimated_Days_to_Deliver]],"Intime","BeforeTime"))</f>
        <v>BeforeTime</v>
      </c>
      <c r="AA469" s="4">
        <f>MONTH(Table1[[#This Row],[Order_Date]])</f>
        <v>5</v>
      </c>
      <c r="AB469" s="13">
        <f>Table1[[#This Row],[Amount]]*Table1[[#This Row],[Discount_Percent]]</f>
        <v>198.636</v>
      </c>
    </row>
    <row r="470" spans="1:28" ht="14.25" customHeight="1">
      <c r="A470" s="1" t="s">
        <v>67</v>
      </c>
      <c r="B470" s="1" t="s">
        <v>68</v>
      </c>
      <c r="C470" s="1" t="s">
        <v>69</v>
      </c>
      <c r="D470" s="1">
        <v>49</v>
      </c>
      <c r="E470" s="1" t="s">
        <v>54</v>
      </c>
      <c r="F470" s="1" t="s">
        <v>32</v>
      </c>
      <c r="G470" s="1" t="s">
        <v>70</v>
      </c>
      <c r="H470" s="1" t="s">
        <v>71</v>
      </c>
      <c r="I470" s="1" t="s">
        <v>1964</v>
      </c>
      <c r="J470" s="24">
        <v>45377</v>
      </c>
      <c r="K470" s="1" t="s">
        <v>1965</v>
      </c>
      <c r="L470" s="1" t="s">
        <v>421</v>
      </c>
      <c r="M470" s="1">
        <v>44.5</v>
      </c>
      <c r="N470" s="1">
        <v>3</v>
      </c>
      <c r="O470" s="1" t="s">
        <v>87</v>
      </c>
      <c r="P470" s="1">
        <v>5</v>
      </c>
      <c r="Q470" s="1">
        <v>40</v>
      </c>
      <c r="R470" s="24">
        <v>45382</v>
      </c>
      <c r="S470" s="1" t="s">
        <v>1966</v>
      </c>
      <c r="T470" s="4">
        <f>Table1[[#This Row],[Delivery_Date]]-Table1[[#This Row],[Order_Date]]</f>
        <v>5</v>
      </c>
      <c r="U470" s="4">
        <f>Table1[[#This Row],[Price]]*Table1[[#This Row],[Quantity]]</f>
        <v>133.5</v>
      </c>
      <c r="V470" s="11">
        <f t="shared" si="7"/>
        <v>0.2</v>
      </c>
      <c r="W470" s="4">
        <f>Table1[[#This Row],[Amount]]-(Table1[[#This Row],[Amount]]*Table1[[#This Row],[Discount_Percent]])</f>
        <v>106.8</v>
      </c>
      <c r="X470" s="4">
        <f>IF(O470="DEL0", Table1[[#This Row],[Discounted_Amount]],Table1[[#This Row],[Discounted_Amount]]+Table1[[#This Row],[Delivery_Charge]])</f>
        <v>146.80000000000001</v>
      </c>
      <c r="Y470" s="4" t="str">
        <f>Table1[[#This Row],[First_Name]]&amp;" "&amp;Table1[[#This Row],[Last_Name]]</f>
        <v>Angela Horne</v>
      </c>
      <c r="Z470" s="4" t="str">
        <f>IF(T:T&gt;Table1[[#This Row],[Estimated_Days_to_Deliver]],"Late",IF(T:T=Table1[[#This Row],[Estimated_Days_to_Deliver]],"Intime","BeforeTime"))</f>
        <v>Intime</v>
      </c>
      <c r="AA470" s="4">
        <f>MONTH(Table1[[#This Row],[Order_Date]])</f>
        <v>3</v>
      </c>
      <c r="AB470" s="13">
        <f>Table1[[#This Row],[Amount]]*Table1[[#This Row],[Discount_Percent]]</f>
        <v>26.700000000000003</v>
      </c>
    </row>
    <row r="471" spans="1:28" ht="14.25" customHeight="1">
      <c r="A471" s="1" t="s">
        <v>1617</v>
      </c>
      <c r="B471" s="1" t="s">
        <v>276</v>
      </c>
      <c r="C471" s="1" t="s">
        <v>1618</v>
      </c>
      <c r="D471" s="1">
        <v>62</v>
      </c>
      <c r="E471" s="1" t="s">
        <v>43</v>
      </c>
      <c r="F471" s="1" t="s">
        <v>44</v>
      </c>
      <c r="G471" s="1" t="s">
        <v>1619</v>
      </c>
      <c r="H471" s="1" t="s">
        <v>1620</v>
      </c>
      <c r="I471" s="1" t="s">
        <v>1967</v>
      </c>
      <c r="J471" s="24">
        <v>45451</v>
      </c>
      <c r="K471" s="1" t="s">
        <v>1968</v>
      </c>
      <c r="L471" s="1" t="s">
        <v>273</v>
      </c>
      <c r="M471" s="1">
        <v>62.42</v>
      </c>
      <c r="N471" s="1">
        <v>5</v>
      </c>
      <c r="O471" s="1" t="s">
        <v>65</v>
      </c>
      <c r="P471" s="1">
        <v>5</v>
      </c>
      <c r="Q471" s="1">
        <v>47</v>
      </c>
      <c r="R471" s="24">
        <v>45453</v>
      </c>
      <c r="S471" s="1" t="s">
        <v>1969</v>
      </c>
      <c r="T471" s="4">
        <f>Table1[[#This Row],[Delivery_Date]]-Table1[[#This Row],[Order_Date]]</f>
        <v>2</v>
      </c>
      <c r="U471" s="4">
        <f>Table1[[#This Row],[Price]]*Table1[[#This Row],[Quantity]]</f>
        <v>312.10000000000002</v>
      </c>
      <c r="V471" s="11">
        <f t="shared" si="7"/>
        <v>0</v>
      </c>
      <c r="W471" s="4">
        <f>Table1[[#This Row],[Amount]]-(Table1[[#This Row],[Amount]]*Table1[[#This Row],[Discount_Percent]])</f>
        <v>312.10000000000002</v>
      </c>
      <c r="X471" s="4">
        <f>IF(O471="DEL0", Table1[[#This Row],[Discounted_Amount]],Table1[[#This Row],[Discounted_Amount]]+Table1[[#This Row],[Delivery_Charge]])</f>
        <v>312.10000000000002</v>
      </c>
      <c r="Y471" s="4" t="str">
        <f>Table1[[#This Row],[First_Name]]&amp;" "&amp;Table1[[#This Row],[Last_Name]]</f>
        <v>Lauren Crane</v>
      </c>
      <c r="Z471" s="4" t="str">
        <f>IF(T:T&gt;Table1[[#This Row],[Estimated_Days_to_Deliver]],"Late",IF(T:T=Table1[[#This Row],[Estimated_Days_to_Deliver]],"Intime","BeforeTime"))</f>
        <v>BeforeTime</v>
      </c>
      <c r="AA471" s="4">
        <f>MONTH(Table1[[#This Row],[Order_Date]])</f>
        <v>6</v>
      </c>
      <c r="AB471" s="13">
        <f>Table1[[#This Row],[Amount]]*Table1[[#This Row],[Discount_Percent]]</f>
        <v>0</v>
      </c>
    </row>
    <row r="472" spans="1:28" ht="14.25" customHeight="1">
      <c r="A472" s="1" t="s">
        <v>708</v>
      </c>
      <c r="B472" s="1" t="s">
        <v>709</v>
      </c>
      <c r="C472" s="1" t="s">
        <v>710</v>
      </c>
      <c r="D472" s="1">
        <v>26</v>
      </c>
      <c r="E472" s="1" t="s">
        <v>54</v>
      </c>
      <c r="F472" s="1" t="s">
        <v>78</v>
      </c>
      <c r="G472" s="1" t="s">
        <v>711</v>
      </c>
      <c r="H472" s="1" t="s">
        <v>712</v>
      </c>
      <c r="I472" s="1" t="s">
        <v>1970</v>
      </c>
      <c r="J472" s="24">
        <v>45362</v>
      </c>
      <c r="K472" s="1" t="s">
        <v>1971</v>
      </c>
      <c r="L472" s="1" t="s">
        <v>484</v>
      </c>
      <c r="M472" s="1">
        <v>87.09</v>
      </c>
      <c r="N472" s="1">
        <v>4</v>
      </c>
      <c r="O472" s="1" t="s">
        <v>98</v>
      </c>
      <c r="P472" s="1">
        <v>5</v>
      </c>
      <c r="Q472" s="1">
        <v>45</v>
      </c>
      <c r="R472" s="24">
        <v>45368</v>
      </c>
      <c r="S472" s="1" t="s">
        <v>1972</v>
      </c>
      <c r="T472" s="4">
        <f>Table1[[#This Row],[Delivery_Date]]-Table1[[#This Row],[Order_Date]]</f>
        <v>6</v>
      </c>
      <c r="U472" s="4">
        <f>Table1[[#This Row],[Price]]*Table1[[#This Row],[Quantity]]</f>
        <v>348.36</v>
      </c>
      <c r="V472" s="11">
        <f t="shared" si="7"/>
        <v>0.1</v>
      </c>
      <c r="W472" s="4">
        <f>Table1[[#This Row],[Amount]]-(Table1[[#This Row],[Amount]]*Table1[[#This Row],[Discount_Percent]])</f>
        <v>313.524</v>
      </c>
      <c r="X472" s="4">
        <f>IF(O472="DEL0", Table1[[#This Row],[Discounted_Amount]],Table1[[#This Row],[Discounted_Amount]]+Table1[[#This Row],[Delivery_Charge]])</f>
        <v>358.524</v>
      </c>
      <c r="Y472" s="4" t="str">
        <f>Table1[[#This Row],[First_Name]]&amp;" "&amp;Table1[[#This Row],[Last_Name]]</f>
        <v>Gregory Lee</v>
      </c>
      <c r="Z472" s="4" t="str">
        <f>IF(T:T&gt;Table1[[#This Row],[Estimated_Days_to_Deliver]],"Late",IF(T:T=Table1[[#This Row],[Estimated_Days_to_Deliver]],"Intime","BeforeTime"))</f>
        <v>Late</v>
      </c>
      <c r="AA472" s="4">
        <f>MONTH(Table1[[#This Row],[Order_Date]])</f>
        <v>3</v>
      </c>
      <c r="AB472" s="13">
        <f>Table1[[#This Row],[Amount]]*Table1[[#This Row],[Discount_Percent]]</f>
        <v>34.836000000000006</v>
      </c>
    </row>
    <row r="473" spans="1:28" ht="14.25" customHeight="1">
      <c r="A473" s="1" t="s">
        <v>296</v>
      </c>
      <c r="B473" s="1" t="s">
        <v>297</v>
      </c>
      <c r="C473" s="1" t="s">
        <v>298</v>
      </c>
      <c r="D473" s="1">
        <v>48</v>
      </c>
      <c r="E473" s="1" t="s">
        <v>43</v>
      </c>
      <c r="F473" s="1" t="s">
        <v>92</v>
      </c>
      <c r="G473" s="1" t="s">
        <v>299</v>
      </c>
      <c r="H473" s="1" t="s">
        <v>300</v>
      </c>
      <c r="I473" s="1" t="s">
        <v>1973</v>
      </c>
      <c r="J473" s="24">
        <v>45283</v>
      </c>
      <c r="K473" s="1" t="s">
        <v>1974</v>
      </c>
      <c r="L473" s="1" t="s">
        <v>343</v>
      </c>
      <c r="M473" s="1">
        <v>77.84</v>
      </c>
      <c r="N473" s="1">
        <v>4</v>
      </c>
      <c r="O473" s="1" t="s">
        <v>87</v>
      </c>
      <c r="P473" s="1">
        <v>5</v>
      </c>
      <c r="Q473" s="1">
        <v>55</v>
      </c>
      <c r="R473" s="24">
        <v>45286</v>
      </c>
      <c r="S473" s="1" t="s">
        <v>1975</v>
      </c>
      <c r="T473" s="4">
        <f>Table1[[#This Row],[Delivery_Date]]-Table1[[#This Row],[Order_Date]]</f>
        <v>3</v>
      </c>
      <c r="U473" s="4">
        <f>Table1[[#This Row],[Price]]*Table1[[#This Row],[Quantity]]</f>
        <v>311.36</v>
      </c>
      <c r="V473" s="11">
        <f t="shared" si="7"/>
        <v>0.2</v>
      </c>
      <c r="W473" s="4">
        <f>Table1[[#This Row],[Amount]]-(Table1[[#This Row],[Amount]]*Table1[[#This Row],[Discount_Percent]])</f>
        <v>249.08800000000002</v>
      </c>
      <c r="X473" s="4">
        <f>IF(O473="DEL0", Table1[[#This Row],[Discounted_Amount]],Table1[[#This Row],[Discounted_Amount]]+Table1[[#This Row],[Delivery_Charge]])</f>
        <v>304.08800000000002</v>
      </c>
      <c r="Y473" s="4" t="str">
        <f>Table1[[#This Row],[First_Name]]&amp;" "&amp;Table1[[#This Row],[Last_Name]]</f>
        <v>Heather Schneider</v>
      </c>
      <c r="Z473" s="4" t="str">
        <f>IF(T:T&gt;Table1[[#This Row],[Estimated_Days_to_Deliver]],"Late",IF(T:T=Table1[[#This Row],[Estimated_Days_to_Deliver]],"Intime","BeforeTime"))</f>
        <v>BeforeTime</v>
      </c>
      <c r="AA473" s="4">
        <f>MONTH(Table1[[#This Row],[Order_Date]])</f>
        <v>12</v>
      </c>
      <c r="AB473" s="13">
        <f>Table1[[#This Row],[Amount]]*Table1[[#This Row],[Discount_Percent]]</f>
        <v>62.272000000000006</v>
      </c>
    </row>
    <row r="474" spans="1:28" ht="14.25" customHeight="1">
      <c r="A474" s="1" t="s">
        <v>1909</v>
      </c>
      <c r="B474" s="1" t="s">
        <v>1910</v>
      </c>
      <c r="C474" s="1" t="s">
        <v>1911</v>
      </c>
      <c r="D474" s="1">
        <v>43</v>
      </c>
      <c r="E474" s="1" t="s">
        <v>31</v>
      </c>
      <c r="F474" s="1" t="s">
        <v>44</v>
      </c>
      <c r="G474" s="1" t="s">
        <v>1912</v>
      </c>
      <c r="H474" s="1" t="s">
        <v>1913</v>
      </c>
      <c r="I474" s="1" t="s">
        <v>1976</v>
      </c>
      <c r="J474" s="24">
        <v>45012</v>
      </c>
      <c r="K474" s="1" t="s">
        <v>1977</v>
      </c>
      <c r="L474" s="1" t="s">
        <v>343</v>
      </c>
      <c r="M474" s="1">
        <v>77.84</v>
      </c>
      <c r="N474" s="1">
        <v>5</v>
      </c>
      <c r="O474" s="1" t="s">
        <v>98</v>
      </c>
      <c r="P474" s="1">
        <v>5</v>
      </c>
      <c r="Q474" s="1">
        <v>53</v>
      </c>
      <c r="R474" s="24">
        <v>45017</v>
      </c>
      <c r="S474" s="1" t="s">
        <v>1978</v>
      </c>
      <c r="T474" s="4">
        <f>Table1[[#This Row],[Delivery_Date]]-Table1[[#This Row],[Order_Date]]</f>
        <v>5</v>
      </c>
      <c r="U474" s="4">
        <f>Table1[[#This Row],[Price]]*Table1[[#This Row],[Quantity]]</f>
        <v>389.20000000000005</v>
      </c>
      <c r="V474" s="11">
        <f t="shared" si="7"/>
        <v>0.1</v>
      </c>
      <c r="W474" s="4">
        <f>Table1[[#This Row],[Amount]]-(Table1[[#This Row],[Amount]]*Table1[[#This Row],[Discount_Percent]])</f>
        <v>350.28000000000003</v>
      </c>
      <c r="X474" s="4">
        <f>IF(O474="DEL0", Table1[[#This Row],[Discounted_Amount]],Table1[[#This Row],[Discounted_Amount]]+Table1[[#This Row],[Delivery_Charge]])</f>
        <v>403.28000000000003</v>
      </c>
      <c r="Y474" s="4" t="str">
        <f>Table1[[#This Row],[First_Name]]&amp;" "&amp;Table1[[#This Row],[Last_Name]]</f>
        <v>Janice Gordon</v>
      </c>
      <c r="Z474" s="4" t="str">
        <f>IF(T:T&gt;Table1[[#This Row],[Estimated_Days_to_Deliver]],"Late",IF(T:T=Table1[[#This Row],[Estimated_Days_to_Deliver]],"Intime","BeforeTime"))</f>
        <v>Intime</v>
      </c>
      <c r="AA474" s="4">
        <f>MONTH(Table1[[#This Row],[Order_Date]])</f>
        <v>3</v>
      </c>
      <c r="AB474" s="13">
        <f>Table1[[#This Row],[Amount]]*Table1[[#This Row],[Discount_Percent]]</f>
        <v>38.920000000000009</v>
      </c>
    </row>
    <row r="475" spans="1:28" ht="14.25" customHeight="1">
      <c r="A475" s="1" t="s">
        <v>478</v>
      </c>
      <c r="B475" s="1" t="s">
        <v>110</v>
      </c>
      <c r="C475" s="1" t="s">
        <v>479</v>
      </c>
      <c r="D475" s="1">
        <v>33</v>
      </c>
      <c r="E475" s="1" t="s">
        <v>31</v>
      </c>
      <c r="F475" s="1" t="s">
        <v>170</v>
      </c>
      <c r="G475" s="1" t="s">
        <v>480</v>
      </c>
      <c r="H475" s="1" t="s">
        <v>481</v>
      </c>
      <c r="I475" s="1" t="s">
        <v>1979</v>
      </c>
      <c r="J475" s="24">
        <v>45528</v>
      </c>
      <c r="K475" s="1" t="s">
        <v>1980</v>
      </c>
      <c r="L475" s="1" t="s">
        <v>237</v>
      </c>
      <c r="M475" s="1">
        <v>132.97</v>
      </c>
      <c r="N475" s="1">
        <v>4</v>
      </c>
      <c r="O475" s="1" t="s">
        <v>65</v>
      </c>
      <c r="P475" s="1">
        <v>5</v>
      </c>
      <c r="Q475" s="1">
        <v>63</v>
      </c>
      <c r="R475" s="24">
        <v>45535</v>
      </c>
      <c r="S475" s="1" t="s">
        <v>1981</v>
      </c>
      <c r="T475" s="4">
        <f>Table1[[#This Row],[Delivery_Date]]-Table1[[#This Row],[Order_Date]]</f>
        <v>7</v>
      </c>
      <c r="U475" s="4">
        <f>Table1[[#This Row],[Price]]*Table1[[#This Row],[Quantity]]</f>
        <v>531.88</v>
      </c>
      <c r="V475" s="11">
        <f t="shared" si="7"/>
        <v>0</v>
      </c>
      <c r="W475" s="4">
        <f>Table1[[#This Row],[Amount]]-(Table1[[#This Row],[Amount]]*Table1[[#This Row],[Discount_Percent]])</f>
        <v>531.88</v>
      </c>
      <c r="X475" s="4">
        <f>IF(O475="DEL0", Table1[[#This Row],[Discounted_Amount]],Table1[[#This Row],[Discounted_Amount]]+Table1[[#This Row],[Delivery_Charge]])</f>
        <v>531.88</v>
      </c>
      <c r="Y475" s="4" t="str">
        <f>Table1[[#This Row],[First_Name]]&amp;" "&amp;Table1[[#This Row],[Last_Name]]</f>
        <v>Debra Hayes</v>
      </c>
      <c r="Z475" s="4" t="str">
        <f>IF(T:T&gt;Table1[[#This Row],[Estimated_Days_to_Deliver]],"Late",IF(T:T=Table1[[#This Row],[Estimated_Days_to_Deliver]],"Intime","BeforeTime"))</f>
        <v>Late</v>
      </c>
      <c r="AA475" s="4">
        <f>MONTH(Table1[[#This Row],[Order_Date]])</f>
        <v>8</v>
      </c>
      <c r="AB475" s="13">
        <f>Table1[[#This Row],[Amount]]*Table1[[#This Row],[Discount_Percent]]</f>
        <v>0</v>
      </c>
    </row>
    <row r="476" spans="1:28" ht="14.25" customHeight="1">
      <c r="A476" s="1" t="s">
        <v>239</v>
      </c>
      <c r="B476" s="1" t="s">
        <v>68</v>
      </c>
      <c r="C476" s="1" t="s">
        <v>240</v>
      </c>
      <c r="D476" s="1">
        <v>52</v>
      </c>
      <c r="E476" s="1" t="s">
        <v>54</v>
      </c>
      <c r="F476" s="1" t="s">
        <v>44</v>
      </c>
      <c r="G476" s="1" t="s">
        <v>241</v>
      </c>
      <c r="H476" s="1" t="s">
        <v>242</v>
      </c>
      <c r="I476" s="1" t="s">
        <v>1982</v>
      </c>
      <c r="J476" s="24">
        <v>45354</v>
      </c>
      <c r="K476" s="1" t="s">
        <v>1983</v>
      </c>
      <c r="L476" s="1" t="s">
        <v>228</v>
      </c>
      <c r="M476" s="1">
        <v>461.07</v>
      </c>
      <c r="N476" s="1">
        <v>3</v>
      </c>
      <c r="O476" s="1" t="s">
        <v>60</v>
      </c>
      <c r="P476" s="1">
        <v>5</v>
      </c>
      <c r="Q476" s="1">
        <v>54</v>
      </c>
      <c r="R476" s="24">
        <v>45357</v>
      </c>
      <c r="S476" s="1" t="s">
        <v>1984</v>
      </c>
      <c r="T476" s="4">
        <f>Table1[[#This Row],[Delivery_Date]]-Table1[[#This Row],[Order_Date]]</f>
        <v>3</v>
      </c>
      <c r="U476" s="4">
        <f>Table1[[#This Row],[Price]]*Table1[[#This Row],[Quantity]]</f>
        <v>1383.21</v>
      </c>
      <c r="V476" s="11">
        <f t="shared" si="7"/>
        <v>0.15</v>
      </c>
      <c r="W476" s="4">
        <f>Table1[[#This Row],[Amount]]-(Table1[[#This Row],[Amount]]*Table1[[#This Row],[Discount_Percent]])</f>
        <v>1175.7284999999999</v>
      </c>
      <c r="X476" s="4">
        <f>IF(O476="DEL0", Table1[[#This Row],[Discounted_Amount]],Table1[[#This Row],[Discounted_Amount]]+Table1[[#This Row],[Delivery_Charge]])</f>
        <v>1229.7284999999999</v>
      </c>
      <c r="Y476" s="4" t="str">
        <f>Table1[[#This Row],[First_Name]]&amp;" "&amp;Table1[[#This Row],[Last_Name]]</f>
        <v>Angela Evans</v>
      </c>
      <c r="Z476" s="4" t="str">
        <f>IF(T:T&gt;Table1[[#This Row],[Estimated_Days_to_Deliver]],"Late",IF(T:T=Table1[[#This Row],[Estimated_Days_to_Deliver]],"Intime","BeforeTime"))</f>
        <v>BeforeTime</v>
      </c>
      <c r="AA476" s="4">
        <f>MONTH(Table1[[#This Row],[Order_Date]])</f>
        <v>3</v>
      </c>
      <c r="AB476" s="13">
        <f>Table1[[#This Row],[Amount]]*Table1[[#This Row],[Discount_Percent]]</f>
        <v>207.48150000000001</v>
      </c>
    </row>
    <row r="477" spans="1:28" ht="14.25" customHeight="1">
      <c r="A477" s="1" t="s">
        <v>649</v>
      </c>
      <c r="B477" s="1" t="s">
        <v>650</v>
      </c>
      <c r="C477" s="1" t="s">
        <v>651</v>
      </c>
      <c r="D477" s="1">
        <v>45</v>
      </c>
      <c r="E477" s="1" t="s">
        <v>54</v>
      </c>
      <c r="F477" s="1" t="s">
        <v>92</v>
      </c>
      <c r="G477" s="1" t="s">
        <v>652</v>
      </c>
      <c r="H477" s="1" t="s">
        <v>653</v>
      </c>
      <c r="I477" s="1" t="s">
        <v>1985</v>
      </c>
      <c r="J477" s="24">
        <v>45327</v>
      </c>
      <c r="K477" s="1" t="s">
        <v>1986</v>
      </c>
      <c r="L477" s="1" t="s">
        <v>49</v>
      </c>
      <c r="M477" s="1">
        <v>166.28</v>
      </c>
      <c r="N477" s="1">
        <v>1</v>
      </c>
      <c r="O477" s="1" t="s">
        <v>65</v>
      </c>
      <c r="P477" s="1">
        <v>5</v>
      </c>
      <c r="Q477" s="1">
        <v>38</v>
      </c>
      <c r="R477" s="24">
        <v>45328</v>
      </c>
      <c r="S477" s="1" t="s">
        <v>1987</v>
      </c>
      <c r="T477" s="4">
        <f>Table1[[#This Row],[Delivery_Date]]-Table1[[#This Row],[Order_Date]]</f>
        <v>1</v>
      </c>
      <c r="U477" s="4">
        <f>Table1[[#This Row],[Price]]*Table1[[#This Row],[Quantity]]</f>
        <v>166.28</v>
      </c>
      <c r="V477" s="11">
        <f t="shared" si="7"/>
        <v>0</v>
      </c>
      <c r="W477" s="4">
        <f>Table1[[#This Row],[Amount]]-(Table1[[#This Row],[Amount]]*Table1[[#This Row],[Discount_Percent]])</f>
        <v>166.28</v>
      </c>
      <c r="X477" s="4">
        <f>IF(O477="DEL0", Table1[[#This Row],[Discounted_Amount]],Table1[[#This Row],[Discounted_Amount]]+Table1[[#This Row],[Delivery_Charge]])</f>
        <v>166.28</v>
      </c>
      <c r="Y477" s="4" t="str">
        <f>Table1[[#This Row],[First_Name]]&amp;" "&amp;Table1[[#This Row],[Last_Name]]</f>
        <v>Beth Mason</v>
      </c>
      <c r="Z477" s="4" t="str">
        <f>IF(T:T&gt;Table1[[#This Row],[Estimated_Days_to_Deliver]],"Late",IF(T:T=Table1[[#This Row],[Estimated_Days_to_Deliver]],"Intime","BeforeTime"))</f>
        <v>BeforeTime</v>
      </c>
      <c r="AA477" s="4">
        <f>MONTH(Table1[[#This Row],[Order_Date]])</f>
        <v>2</v>
      </c>
      <c r="AB477" s="13">
        <f>Table1[[#This Row],[Amount]]*Table1[[#This Row],[Discount_Percent]]</f>
        <v>0</v>
      </c>
    </row>
    <row r="478" spans="1:28" ht="14.25" customHeight="1">
      <c r="A478" s="1" t="s">
        <v>1935</v>
      </c>
      <c r="B478" s="1" t="s">
        <v>1936</v>
      </c>
      <c r="C478" s="1" t="s">
        <v>1937</v>
      </c>
      <c r="D478" s="1">
        <v>54</v>
      </c>
      <c r="E478" s="1" t="s">
        <v>43</v>
      </c>
      <c r="F478" s="1" t="s">
        <v>78</v>
      </c>
      <c r="G478" s="1" t="s">
        <v>1938</v>
      </c>
      <c r="H478" s="1" t="s">
        <v>1939</v>
      </c>
      <c r="I478" s="1" t="s">
        <v>1988</v>
      </c>
      <c r="J478" s="24">
        <v>45353</v>
      </c>
      <c r="K478" s="1" t="s">
        <v>1989</v>
      </c>
      <c r="L478" s="1" t="s">
        <v>576</v>
      </c>
      <c r="M478" s="1">
        <v>477.52</v>
      </c>
      <c r="N478" s="1">
        <v>4</v>
      </c>
      <c r="O478" s="1" t="s">
        <v>98</v>
      </c>
      <c r="P478" s="1">
        <v>5</v>
      </c>
      <c r="Q478" s="1">
        <v>54</v>
      </c>
      <c r="R478" s="24">
        <v>45354</v>
      </c>
      <c r="S478" s="1" t="s">
        <v>1990</v>
      </c>
      <c r="T478" s="4">
        <f>Table1[[#This Row],[Delivery_Date]]-Table1[[#This Row],[Order_Date]]</f>
        <v>1</v>
      </c>
      <c r="U478" s="4">
        <f>Table1[[#This Row],[Price]]*Table1[[#This Row],[Quantity]]</f>
        <v>1910.08</v>
      </c>
      <c r="V478" s="11">
        <f t="shared" si="7"/>
        <v>0.1</v>
      </c>
      <c r="W478" s="4">
        <f>Table1[[#This Row],[Amount]]-(Table1[[#This Row],[Amount]]*Table1[[#This Row],[Discount_Percent]])</f>
        <v>1719.0719999999999</v>
      </c>
      <c r="X478" s="4">
        <f>IF(O478="DEL0", Table1[[#This Row],[Discounted_Amount]],Table1[[#This Row],[Discounted_Amount]]+Table1[[#This Row],[Delivery_Charge]])</f>
        <v>1773.0719999999999</v>
      </c>
      <c r="Y478" s="4" t="str">
        <f>Table1[[#This Row],[First_Name]]&amp;" "&amp;Table1[[#This Row],[Last_Name]]</f>
        <v>Diana French</v>
      </c>
      <c r="Z478" s="4" t="str">
        <f>IF(T:T&gt;Table1[[#This Row],[Estimated_Days_to_Deliver]],"Late",IF(T:T=Table1[[#This Row],[Estimated_Days_to_Deliver]],"Intime","BeforeTime"))</f>
        <v>BeforeTime</v>
      </c>
      <c r="AA478" s="4">
        <f>MONTH(Table1[[#This Row],[Order_Date]])</f>
        <v>3</v>
      </c>
      <c r="AB478" s="13">
        <f>Table1[[#This Row],[Amount]]*Table1[[#This Row],[Discount_Percent]]</f>
        <v>191.00800000000001</v>
      </c>
    </row>
    <row r="479" spans="1:28" ht="14.25" customHeight="1">
      <c r="A479" s="1" t="s">
        <v>404</v>
      </c>
      <c r="B479" s="1" t="s">
        <v>405</v>
      </c>
      <c r="C479" s="1" t="s">
        <v>406</v>
      </c>
      <c r="D479" s="1">
        <v>70</v>
      </c>
      <c r="E479" s="1" t="s">
        <v>31</v>
      </c>
      <c r="F479" s="1" t="s">
        <v>32</v>
      </c>
      <c r="G479" s="1" t="s">
        <v>407</v>
      </c>
      <c r="H479" s="1" t="s">
        <v>408</v>
      </c>
      <c r="I479" s="1" t="s">
        <v>1991</v>
      </c>
      <c r="J479" s="24">
        <v>45392</v>
      </c>
      <c r="K479" s="1" t="s">
        <v>491</v>
      </c>
      <c r="L479" s="1" t="s">
        <v>576</v>
      </c>
      <c r="M479" s="1">
        <v>477.52</v>
      </c>
      <c r="N479" s="1">
        <v>5</v>
      </c>
      <c r="O479" s="1" t="s">
        <v>98</v>
      </c>
      <c r="P479" s="1">
        <v>5</v>
      </c>
      <c r="Q479" s="1">
        <v>53</v>
      </c>
      <c r="R479" s="24">
        <v>45394</v>
      </c>
      <c r="S479" s="1" t="s">
        <v>1992</v>
      </c>
      <c r="T479" s="4">
        <f>Table1[[#This Row],[Delivery_Date]]-Table1[[#This Row],[Order_Date]]</f>
        <v>2</v>
      </c>
      <c r="U479" s="4">
        <f>Table1[[#This Row],[Price]]*Table1[[#This Row],[Quantity]]</f>
        <v>2387.6</v>
      </c>
      <c r="V479" s="11">
        <f t="shared" si="7"/>
        <v>0.1</v>
      </c>
      <c r="W479" s="4">
        <f>Table1[[#This Row],[Amount]]-(Table1[[#This Row],[Amount]]*Table1[[#This Row],[Discount_Percent]])</f>
        <v>2148.84</v>
      </c>
      <c r="X479" s="4">
        <f>IF(O479="DEL0", Table1[[#This Row],[Discounted_Amount]],Table1[[#This Row],[Discounted_Amount]]+Table1[[#This Row],[Delivery_Charge]])</f>
        <v>2201.84</v>
      </c>
      <c r="Y479" s="4" t="str">
        <f>Table1[[#This Row],[First_Name]]&amp;" "&amp;Table1[[#This Row],[Last_Name]]</f>
        <v>Alexandra Smith</v>
      </c>
      <c r="Z479" s="4" t="str">
        <f>IF(T:T&gt;Table1[[#This Row],[Estimated_Days_to_Deliver]],"Late",IF(T:T=Table1[[#This Row],[Estimated_Days_to_Deliver]],"Intime","BeforeTime"))</f>
        <v>BeforeTime</v>
      </c>
      <c r="AA479" s="4">
        <f>MONTH(Table1[[#This Row],[Order_Date]])</f>
        <v>4</v>
      </c>
      <c r="AB479" s="13">
        <f>Table1[[#This Row],[Amount]]*Table1[[#This Row],[Discount_Percent]]</f>
        <v>238.76</v>
      </c>
    </row>
    <row r="480" spans="1:28" ht="14.25" customHeight="1">
      <c r="A480" s="1" t="s">
        <v>1909</v>
      </c>
      <c r="B480" s="1" t="s">
        <v>1910</v>
      </c>
      <c r="C480" s="1" t="s">
        <v>1911</v>
      </c>
      <c r="D480" s="1">
        <v>43</v>
      </c>
      <c r="E480" s="1" t="s">
        <v>31</v>
      </c>
      <c r="F480" s="1" t="s">
        <v>44</v>
      </c>
      <c r="G480" s="1" t="s">
        <v>1912</v>
      </c>
      <c r="H480" s="1" t="s">
        <v>1913</v>
      </c>
      <c r="I480" s="1" t="s">
        <v>1993</v>
      </c>
      <c r="J480" s="24">
        <v>45259</v>
      </c>
      <c r="K480" s="1" t="s">
        <v>1994</v>
      </c>
      <c r="L480" s="1" t="s">
        <v>294</v>
      </c>
      <c r="M480" s="1">
        <v>158.53</v>
      </c>
      <c r="N480" s="1">
        <v>2</v>
      </c>
      <c r="O480" s="1" t="s">
        <v>65</v>
      </c>
      <c r="P480" s="1">
        <v>5</v>
      </c>
      <c r="Q480" s="1">
        <v>69</v>
      </c>
      <c r="R480" s="24">
        <v>45261</v>
      </c>
      <c r="S480" s="1" t="s">
        <v>1995</v>
      </c>
      <c r="T480" s="4">
        <f>Table1[[#This Row],[Delivery_Date]]-Table1[[#This Row],[Order_Date]]</f>
        <v>2</v>
      </c>
      <c r="U480" s="4">
        <f>Table1[[#This Row],[Price]]*Table1[[#This Row],[Quantity]]</f>
        <v>317.06</v>
      </c>
      <c r="V480" s="11">
        <f t="shared" si="7"/>
        <v>0</v>
      </c>
      <c r="W480" s="4">
        <f>Table1[[#This Row],[Amount]]-(Table1[[#This Row],[Amount]]*Table1[[#This Row],[Discount_Percent]])</f>
        <v>317.06</v>
      </c>
      <c r="X480" s="4">
        <f>IF(O480="DEL0", Table1[[#This Row],[Discounted_Amount]],Table1[[#This Row],[Discounted_Amount]]+Table1[[#This Row],[Delivery_Charge]])</f>
        <v>317.06</v>
      </c>
      <c r="Y480" s="4" t="str">
        <f>Table1[[#This Row],[First_Name]]&amp;" "&amp;Table1[[#This Row],[Last_Name]]</f>
        <v>Janice Gordon</v>
      </c>
      <c r="Z480" s="4" t="str">
        <f>IF(T:T&gt;Table1[[#This Row],[Estimated_Days_to_Deliver]],"Late",IF(T:T=Table1[[#This Row],[Estimated_Days_to_Deliver]],"Intime","BeforeTime"))</f>
        <v>BeforeTime</v>
      </c>
      <c r="AA480" s="4">
        <f>MONTH(Table1[[#This Row],[Order_Date]])</f>
        <v>11</v>
      </c>
      <c r="AB480" s="13">
        <f>Table1[[#This Row],[Amount]]*Table1[[#This Row],[Discount_Percent]]</f>
        <v>0</v>
      </c>
    </row>
    <row r="481" spans="1:28" ht="14.25" customHeight="1">
      <c r="A481" s="1" t="s">
        <v>204</v>
      </c>
      <c r="B481" s="1" t="s">
        <v>205</v>
      </c>
      <c r="C481" s="1" t="s">
        <v>206</v>
      </c>
      <c r="D481" s="1">
        <v>23</v>
      </c>
      <c r="E481" s="1" t="s">
        <v>31</v>
      </c>
      <c r="F481" s="1" t="s">
        <v>92</v>
      </c>
      <c r="G481" s="1" t="s">
        <v>207</v>
      </c>
      <c r="H481" s="1" t="s">
        <v>208</v>
      </c>
      <c r="I481" s="1" t="s">
        <v>1996</v>
      </c>
      <c r="J481" s="24">
        <v>45373</v>
      </c>
      <c r="K481" s="1" t="s">
        <v>1997</v>
      </c>
      <c r="L481" s="1" t="s">
        <v>64</v>
      </c>
      <c r="M481" s="1">
        <v>405</v>
      </c>
      <c r="N481" s="1">
        <v>3</v>
      </c>
      <c r="O481" s="1" t="s">
        <v>98</v>
      </c>
      <c r="P481" s="1">
        <v>5</v>
      </c>
      <c r="Q481" s="1">
        <v>54</v>
      </c>
      <c r="R481" s="24">
        <v>45379</v>
      </c>
      <c r="S481" s="1" t="s">
        <v>1998</v>
      </c>
      <c r="T481" s="4">
        <f>Table1[[#This Row],[Delivery_Date]]-Table1[[#This Row],[Order_Date]]</f>
        <v>6</v>
      </c>
      <c r="U481" s="4">
        <f>Table1[[#This Row],[Price]]*Table1[[#This Row],[Quantity]]</f>
        <v>1215</v>
      </c>
      <c r="V481" s="11">
        <f t="shared" si="7"/>
        <v>0.1</v>
      </c>
      <c r="W481" s="4">
        <f>Table1[[#This Row],[Amount]]-(Table1[[#This Row],[Amount]]*Table1[[#This Row],[Discount_Percent]])</f>
        <v>1093.5</v>
      </c>
      <c r="X481" s="4">
        <f>IF(O481="DEL0", Table1[[#This Row],[Discounted_Amount]],Table1[[#This Row],[Discounted_Amount]]+Table1[[#This Row],[Delivery_Charge]])</f>
        <v>1147.5</v>
      </c>
      <c r="Y481" s="4" t="str">
        <f>Table1[[#This Row],[First_Name]]&amp;" "&amp;Table1[[#This Row],[Last_Name]]</f>
        <v>Deborah Bates</v>
      </c>
      <c r="Z481" s="4" t="str">
        <f>IF(T:T&gt;Table1[[#This Row],[Estimated_Days_to_Deliver]],"Late",IF(T:T=Table1[[#This Row],[Estimated_Days_to_Deliver]],"Intime","BeforeTime"))</f>
        <v>Late</v>
      </c>
      <c r="AA481" s="4">
        <f>MONTH(Table1[[#This Row],[Order_Date]])</f>
        <v>3</v>
      </c>
      <c r="AB481" s="13">
        <f>Table1[[#This Row],[Amount]]*Table1[[#This Row],[Discount_Percent]]</f>
        <v>121.5</v>
      </c>
    </row>
    <row r="482" spans="1:28" ht="14.25" customHeight="1">
      <c r="A482" s="1" t="s">
        <v>469</v>
      </c>
      <c r="B482" s="1" t="s">
        <v>470</v>
      </c>
      <c r="C482" s="1" t="s">
        <v>471</v>
      </c>
      <c r="D482" s="1">
        <v>18</v>
      </c>
      <c r="E482" s="1" t="s">
        <v>43</v>
      </c>
      <c r="F482" s="1" t="s">
        <v>44</v>
      </c>
      <c r="G482" s="1" t="s">
        <v>472</v>
      </c>
      <c r="H482" s="1" t="s">
        <v>473</v>
      </c>
      <c r="I482" s="1" t="s">
        <v>1999</v>
      </c>
      <c r="J482" s="24">
        <v>45380</v>
      </c>
      <c r="K482" s="1" t="s">
        <v>2000</v>
      </c>
      <c r="L482" s="1" t="s">
        <v>944</v>
      </c>
      <c r="M482" s="1">
        <v>107.47</v>
      </c>
      <c r="N482" s="1">
        <v>4</v>
      </c>
      <c r="O482" s="1" t="s">
        <v>98</v>
      </c>
      <c r="P482" s="1">
        <v>5</v>
      </c>
      <c r="Q482" s="1">
        <v>65</v>
      </c>
      <c r="R482" s="24">
        <v>45385</v>
      </c>
      <c r="S482" s="1" t="s">
        <v>2001</v>
      </c>
      <c r="T482" s="4">
        <f>Table1[[#This Row],[Delivery_Date]]-Table1[[#This Row],[Order_Date]]</f>
        <v>5</v>
      </c>
      <c r="U482" s="4">
        <f>Table1[[#This Row],[Price]]*Table1[[#This Row],[Quantity]]</f>
        <v>429.88</v>
      </c>
      <c r="V482" s="11">
        <f t="shared" si="7"/>
        <v>0.1</v>
      </c>
      <c r="W482" s="4">
        <f>Table1[[#This Row],[Amount]]-(Table1[[#This Row],[Amount]]*Table1[[#This Row],[Discount_Percent]])</f>
        <v>386.892</v>
      </c>
      <c r="X482" s="4">
        <f>IF(O482="DEL0", Table1[[#This Row],[Discounted_Amount]],Table1[[#This Row],[Discounted_Amount]]+Table1[[#This Row],[Delivery_Charge]])</f>
        <v>451.892</v>
      </c>
      <c r="Y482" s="4" t="str">
        <f>Table1[[#This Row],[First_Name]]&amp;" "&amp;Table1[[#This Row],[Last_Name]]</f>
        <v>Lori Cook</v>
      </c>
      <c r="Z482" s="4" t="str">
        <f>IF(T:T&gt;Table1[[#This Row],[Estimated_Days_to_Deliver]],"Late",IF(T:T=Table1[[#This Row],[Estimated_Days_to_Deliver]],"Intime","BeforeTime"))</f>
        <v>Intime</v>
      </c>
      <c r="AA482" s="4">
        <f>MONTH(Table1[[#This Row],[Order_Date]])</f>
        <v>3</v>
      </c>
      <c r="AB482" s="13">
        <f>Table1[[#This Row],[Amount]]*Table1[[#This Row],[Discount_Percent]]</f>
        <v>42.988</v>
      </c>
    </row>
    <row r="483" spans="1:28" ht="14.25" customHeight="1">
      <c r="A483" s="1" t="s">
        <v>486</v>
      </c>
      <c r="B483" s="1" t="s">
        <v>487</v>
      </c>
      <c r="C483" s="1" t="s">
        <v>132</v>
      </c>
      <c r="D483" s="1">
        <v>68</v>
      </c>
      <c r="E483" s="1" t="s">
        <v>54</v>
      </c>
      <c r="F483" s="1" t="s">
        <v>223</v>
      </c>
      <c r="G483" s="1" t="s">
        <v>488</v>
      </c>
      <c r="H483" s="1" t="s">
        <v>489</v>
      </c>
      <c r="I483" s="1" t="s">
        <v>2002</v>
      </c>
      <c r="J483" s="24">
        <v>45072</v>
      </c>
      <c r="K483" s="1" t="s">
        <v>2003</v>
      </c>
      <c r="L483" s="1" t="s">
        <v>253</v>
      </c>
      <c r="M483" s="1">
        <v>128.13999999999999</v>
      </c>
      <c r="N483" s="1">
        <v>3</v>
      </c>
      <c r="O483" s="1" t="s">
        <v>87</v>
      </c>
      <c r="P483" s="1">
        <v>5</v>
      </c>
      <c r="Q483" s="1">
        <v>59</v>
      </c>
      <c r="R483" s="24">
        <v>45076</v>
      </c>
      <c r="S483" s="1" t="s">
        <v>2004</v>
      </c>
      <c r="T483" s="4">
        <f>Table1[[#This Row],[Delivery_Date]]-Table1[[#This Row],[Order_Date]]</f>
        <v>4</v>
      </c>
      <c r="U483" s="4">
        <f>Table1[[#This Row],[Price]]*Table1[[#This Row],[Quantity]]</f>
        <v>384.41999999999996</v>
      </c>
      <c r="V483" s="11">
        <f t="shared" si="7"/>
        <v>0.2</v>
      </c>
      <c r="W483" s="4">
        <f>Table1[[#This Row],[Amount]]-(Table1[[#This Row],[Amount]]*Table1[[#This Row],[Discount_Percent]])</f>
        <v>307.53599999999994</v>
      </c>
      <c r="X483" s="4">
        <f>IF(O483="DEL0", Table1[[#This Row],[Discounted_Amount]],Table1[[#This Row],[Discounted_Amount]]+Table1[[#This Row],[Delivery_Charge]])</f>
        <v>366.53599999999994</v>
      </c>
      <c r="Y483" s="4" t="str">
        <f>Table1[[#This Row],[First_Name]]&amp;" "&amp;Table1[[#This Row],[Last_Name]]</f>
        <v>Brittany Stewart</v>
      </c>
      <c r="Z483" s="4" t="str">
        <f>IF(T:T&gt;Table1[[#This Row],[Estimated_Days_to_Deliver]],"Late",IF(T:T=Table1[[#This Row],[Estimated_Days_to_Deliver]],"Intime","BeforeTime"))</f>
        <v>BeforeTime</v>
      </c>
      <c r="AA483" s="4">
        <f>MONTH(Table1[[#This Row],[Order_Date]])</f>
        <v>5</v>
      </c>
      <c r="AB483" s="13">
        <f>Table1[[#This Row],[Amount]]*Table1[[#This Row],[Discount_Percent]]</f>
        <v>76.884</v>
      </c>
    </row>
    <row r="484" spans="1:28" ht="14.25" customHeight="1">
      <c r="A484" s="1" t="s">
        <v>187</v>
      </c>
      <c r="B484" s="1" t="s">
        <v>188</v>
      </c>
      <c r="C484" s="1" t="s">
        <v>189</v>
      </c>
      <c r="D484" s="1">
        <v>42</v>
      </c>
      <c r="E484" s="1" t="s">
        <v>43</v>
      </c>
      <c r="F484" s="1" t="s">
        <v>170</v>
      </c>
      <c r="G484" s="1" t="s">
        <v>190</v>
      </c>
      <c r="H484" s="1" t="s">
        <v>191</v>
      </c>
      <c r="I484" s="1" t="s">
        <v>2005</v>
      </c>
      <c r="J484" s="24">
        <v>45290</v>
      </c>
      <c r="K484" s="1" t="s">
        <v>2006</v>
      </c>
      <c r="L484" s="1" t="s">
        <v>202</v>
      </c>
      <c r="M484" s="1">
        <v>20.7</v>
      </c>
      <c r="N484" s="1">
        <v>1</v>
      </c>
      <c r="O484" s="1" t="s">
        <v>98</v>
      </c>
      <c r="P484" s="1">
        <v>5</v>
      </c>
      <c r="Q484" s="1">
        <v>55</v>
      </c>
      <c r="R484" s="24">
        <v>45291</v>
      </c>
      <c r="S484" s="1" t="s">
        <v>2007</v>
      </c>
      <c r="T484" s="4">
        <f>Table1[[#This Row],[Delivery_Date]]-Table1[[#This Row],[Order_Date]]</f>
        <v>1</v>
      </c>
      <c r="U484" s="4">
        <f>Table1[[#This Row],[Price]]*Table1[[#This Row],[Quantity]]</f>
        <v>20.7</v>
      </c>
      <c r="V484" s="11">
        <f t="shared" si="7"/>
        <v>0.1</v>
      </c>
      <c r="W484" s="4">
        <f>Table1[[#This Row],[Amount]]-(Table1[[#This Row],[Amount]]*Table1[[#This Row],[Discount_Percent]])</f>
        <v>18.63</v>
      </c>
      <c r="X484" s="4">
        <f>IF(O484="DEL0", Table1[[#This Row],[Discounted_Amount]],Table1[[#This Row],[Discounted_Amount]]+Table1[[#This Row],[Delivery_Charge]])</f>
        <v>73.63</v>
      </c>
      <c r="Y484" s="4" t="str">
        <f>Table1[[#This Row],[First_Name]]&amp;" "&amp;Table1[[#This Row],[Last_Name]]</f>
        <v>Mallory Mitchell</v>
      </c>
      <c r="Z484" s="4" t="str">
        <f>IF(T:T&gt;Table1[[#This Row],[Estimated_Days_to_Deliver]],"Late",IF(T:T=Table1[[#This Row],[Estimated_Days_to_Deliver]],"Intime","BeforeTime"))</f>
        <v>BeforeTime</v>
      </c>
      <c r="AA484" s="4">
        <f>MONTH(Table1[[#This Row],[Order_Date]])</f>
        <v>12</v>
      </c>
      <c r="AB484" s="13">
        <f>Table1[[#This Row],[Amount]]*Table1[[#This Row],[Discount_Percent]]</f>
        <v>2.0699999999999998</v>
      </c>
    </row>
    <row r="485" spans="1:28" ht="14.25" customHeight="1">
      <c r="A485" s="1" t="s">
        <v>187</v>
      </c>
      <c r="B485" s="1" t="s">
        <v>188</v>
      </c>
      <c r="C485" s="1" t="s">
        <v>189</v>
      </c>
      <c r="D485" s="1">
        <v>42</v>
      </c>
      <c r="E485" s="1" t="s">
        <v>43</v>
      </c>
      <c r="F485" s="1" t="s">
        <v>170</v>
      </c>
      <c r="G485" s="1" t="s">
        <v>190</v>
      </c>
      <c r="H485" s="1" t="s">
        <v>191</v>
      </c>
      <c r="I485" s="1" t="s">
        <v>2008</v>
      </c>
      <c r="J485" s="24">
        <v>45128</v>
      </c>
      <c r="K485" s="1" t="s">
        <v>2009</v>
      </c>
      <c r="L485" s="1" t="s">
        <v>273</v>
      </c>
      <c r="M485" s="1">
        <v>62.42</v>
      </c>
      <c r="N485" s="1">
        <v>3</v>
      </c>
      <c r="O485" s="1" t="s">
        <v>38</v>
      </c>
      <c r="P485" s="1">
        <v>5</v>
      </c>
      <c r="Q485" s="1">
        <v>39</v>
      </c>
      <c r="R485" s="24">
        <v>45129</v>
      </c>
      <c r="S485" s="1" t="s">
        <v>2010</v>
      </c>
      <c r="T485" s="4">
        <f>Table1[[#This Row],[Delivery_Date]]-Table1[[#This Row],[Order_Date]]</f>
        <v>1</v>
      </c>
      <c r="U485" s="4">
        <f>Table1[[#This Row],[Price]]*Table1[[#This Row],[Quantity]]</f>
        <v>187.26</v>
      </c>
      <c r="V485" s="11">
        <f t="shared" si="7"/>
        <v>0.08</v>
      </c>
      <c r="W485" s="4">
        <f>Table1[[#This Row],[Amount]]-(Table1[[#This Row],[Amount]]*Table1[[#This Row],[Discount_Percent]])</f>
        <v>172.2792</v>
      </c>
      <c r="X485" s="4">
        <f>IF(O485="DEL0", Table1[[#This Row],[Discounted_Amount]],Table1[[#This Row],[Discounted_Amount]]+Table1[[#This Row],[Delivery_Charge]])</f>
        <v>211.2792</v>
      </c>
      <c r="Y485" s="4" t="str">
        <f>Table1[[#This Row],[First_Name]]&amp;" "&amp;Table1[[#This Row],[Last_Name]]</f>
        <v>Mallory Mitchell</v>
      </c>
      <c r="Z485" s="4" t="str">
        <f>IF(T:T&gt;Table1[[#This Row],[Estimated_Days_to_Deliver]],"Late",IF(T:T=Table1[[#This Row],[Estimated_Days_to_Deliver]],"Intime","BeforeTime"))</f>
        <v>BeforeTime</v>
      </c>
      <c r="AA485" s="4">
        <f>MONTH(Table1[[#This Row],[Order_Date]])</f>
        <v>7</v>
      </c>
      <c r="AB485" s="13">
        <f>Table1[[#This Row],[Amount]]*Table1[[#This Row],[Discount_Percent]]</f>
        <v>14.9808</v>
      </c>
    </row>
    <row r="486" spans="1:28" ht="14.25" customHeight="1">
      <c r="A486" s="1" t="s">
        <v>195</v>
      </c>
      <c r="B486" s="1" t="s">
        <v>196</v>
      </c>
      <c r="C486" s="1" t="s">
        <v>197</v>
      </c>
      <c r="D486" s="1">
        <v>34</v>
      </c>
      <c r="E486" s="1" t="s">
        <v>31</v>
      </c>
      <c r="F486" s="1" t="s">
        <v>92</v>
      </c>
      <c r="G486" s="1" t="s">
        <v>198</v>
      </c>
      <c r="H486" s="1" t="s">
        <v>199</v>
      </c>
      <c r="I486" s="1" t="s">
        <v>2011</v>
      </c>
      <c r="J486" s="24">
        <v>45283</v>
      </c>
      <c r="K486" s="1" t="s">
        <v>2012</v>
      </c>
      <c r="L486" s="1" t="s">
        <v>326</v>
      </c>
      <c r="M486" s="1">
        <v>481.48</v>
      </c>
      <c r="N486" s="1">
        <v>1</v>
      </c>
      <c r="O486" s="1" t="s">
        <v>38</v>
      </c>
      <c r="P486" s="1">
        <v>5</v>
      </c>
      <c r="Q486" s="1">
        <v>70</v>
      </c>
      <c r="R486" s="24">
        <v>45287</v>
      </c>
      <c r="S486" s="1" t="s">
        <v>2013</v>
      </c>
      <c r="T486" s="4">
        <f>Table1[[#This Row],[Delivery_Date]]-Table1[[#This Row],[Order_Date]]</f>
        <v>4</v>
      </c>
      <c r="U486" s="4">
        <f>Table1[[#This Row],[Price]]*Table1[[#This Row],[Quantity]]</f>
        <v>481.48</v>
      </c>
      <c r="V486" s="11">
        <f t="shared" si="7"/>
        <v>0.08</v>
      </c>
      <c r="W486" s="4">
        <f>Table1[[#This Row],[Amount]]-(Table1[[#This Row],[Amount]]*Table1[[#This Row],[Discount_Percent]])</f>
        <v>442.96160000000003</v>
      </c>
      <c r="X486" s="4">
        <f>IF(O486="DEL0", Table1[[#This Row],[Discounted_Amount]],Table1[[#This Row],[Discounted_Amount]]+Table1[[#This Row],[Delivery_Charge]])</f>
        <v>512.96160000000009</v>
      </c>
      <c r="Y486" s="4" t="str">
        <f>Table1[[#This Row],[First_Name]]&amp;" "&amp;Table1[[#This Row],[Last_Name]]</f>
        <v>Traci Jones</v>
      </c>
      <c r="Z486" s="4" t="str">
        <f>IF(T:T&gt;Table1[[#This Row],[Estimated_Days_to_Deliver]],"Late",IF(T:T=Table1[[#This Row],[Estimated_Days_to_Deliver]],"Intime","BeforeTime"))</f>
        <v>BeforeTime</v>
      </c>
      <c r="AA486" s="4">
        <f>MONTH(Table1[[#This Row],[Order_Date]])</f>
        <v>12</v>
      </c>
      <c r="AB486" s="13">
        <f>Table1[[#This Row],[Amount]]*Table1[[#This Row],[Discount_Percent]]</f>
        <v>38.5184</v>
      </c>
    </row>
    <row r="487" spans="1:28" ht="14.25" customHeight="1">
      <c r="A487" s="1" t="s">
        <v>328</v>
      </c>
      <c r="B487" s="1" t="s">
        <v>329</v>
      </c>
      <c r="C487" s="1" t="s">
        <v>330</v>
      </c>
      <c r="D487" s="1">
        <v>29</v>
      </c>
      <c r="E487" s="1" t="s">
        <v>54</v>
      </c>
      <c r="F487" s="1" t="s">
        <v>92</v>
      </c>
      <c r="G487" s="1" t="s">
        <v>331</v>
      </c>
      <c r="H487" s="1" t="s">
        <v>332</v>
      </c>
      <c r="I487" s="1" t="s">
        <v>2014</v>
      </c>
      <c r="J487" s="24">
        <v>45633</v>
      </c>
      <c r="K487" s="1" t="s">
        <v>2015</v>
      </c>
      <c r="L487" s="1" t="s">
        <v>37</v>
      </c>
      <c r="M487" s="1">
        <v>308.88</v>
      </c>
      <c r="N487" s="1">
        <v>3</v>
      </c>
      <c r="O487" s="1" t="s">
        <v>87</v>
      </c>
      <c r="P487" s="1">
        <v>5</v>
      </c>
      <c r="Q487" s="1">
        <v>68</v>
      </c>
      <c r="R487" s="24">
        <v>45636</v>
      </c>
      <c r="S487" s="1" t="s">
        <v>2016</v>
      </c>
      <c r="T487" s="4">
        <f>Table1[[#This Row],[Delivery_Date]]-Table1[[#This Row],[Order_Date]]</f>
        <v>3</v>
      </c>
      <c r="U487" s="4">
        <f>Table1[[#This Row],[Price]]*Table1[[#This Row],[Quantity]]</f>
        <v>926.64</v>
      </c>
      <c r="V487" s="11">
        <f t="shared" si="7"/>
        <v>0.2</v>
      </c>
      <c r="W487" s="4">
        <f>Table1[[#This Row],[Amount]]-(Table1[[#This Row],[Amount]]*Table1[[#This Row],[Discount_Percent]])</f>
        <v>741.31200000000001</v>
      </c>
      <c r="X487" s="4">
        <f>IF(O487="DEL0", Table1[[#This Row],[Discounted_Amount]],Table1[[#This Row],[Discounted_Amount]]+Table1[[#This Row],[Delivery_Charge]])</f>
        <v>809.31200000000001</v>
      </c>
      <c r="Y487" s="4" t="str">
        <f>Table1[[#This Row],[First_Name]]&amp;" "&amp;Table1[[#This Row],[Last_Name]]</f>
        <v>Courtney Parker</v>
      </c>
      <c r="Z487" s="4" t="str">
        <f>IF(T:T&gt;Table1[[#This Row],[Estimated_Days_to_Deliver]],"Late",IF(T:T=Table1[[#This Row],[Estimated_Days_to_Deliver]],"Intime","BeforeTime"))</f>
        <v>BeforeTime</v>
      </c>
      <c r="AA487" s="4">
        <f>MONTH(Table1[[#This Row],[Order_Date]])</f>
        <v>12</v>
      </c>
      <c r="AB487" s="13">
        <f>Table1[[#This Row],[Amount]]*Table1[[#This Row],[Discount_Percent]]</f>
        <v>185.328</v>
      </c>
    </row>
    <row r="488" spans="1:28" ht="14.25" customHeight="1">
      <c r="A488" s="1" t="s">
        <v>1241</v>
      </c>
      <c r="B488" s="1" t="s">
        <v>1242</v>
      </c>
      <c r="C488" s="1" t="s">
        <v>1243</v>
      </c>
      <c r="D488" s="1">
        <v>55</v>
      </c>
      <c r="E488" s="1" t="s">
        <v>43</v>
      </c>
      <c r="F488" s="1" t="s">
        <v>161</v>
      </c>
      <c r="G488" s="1" t="s">
        <v>1244</v>
      </c>
      <c r="H488" s="1" t="s">
        <v>1245</v>
      </c>
      <c r="I488" s="1" t="s">
        <v>2017</v>
      </c>
      <c r="J488" s="24">
        <v>45356</v>
      </c>
      <c r="K488" s="1" t="s">
        <v>2018</v>
      </c>
      <c r="L488" s="1" t="s">
        <v>116</v>
      </c>
      <c r="M488" s="1">
        <v>48.45</v>
      </c>
      <c r="N488" s="1">
        <v>3</v>
      </c>
      <c r="O488" s="1" t="s">
        <v>87</v>
      </c>
      <c r="P488" s="1">
        <v>5</v>
      </c>
      <c r="Q488" s="1">
        <v>43</v>
      </c>
      <c r="R488" s="24">
        <v>45358</v>
      </c>
      <c r="S488" s="1" t="s">
        <v>2019</v>
      </c>
      <c r="T488" s="4">
        <f>Table1[[#This Row],[Delivery_Date]]-Table1[[#This Row],[Order_Date]]</f>
        <v>2</v>
      </c>
      <c r="U488" s="4">
        <f>Table1[[#This Row],[Price]]*Table1[[#This Row],[Quantity]]</f>
        <v>145.35000000000002</v>
      </c>
      <c r="V488" s="11">
        <f t="shared" si="7"/>
        <v>0.2</v>
      </c>
      <c r="W488" s="4">
        <f>Table1[[#This Row],[Amount]]-(Table1[[#This Row],[Amount]]*Table1[[#This Row],[Discount_Percent]])</f>
        <v>116.28000000000002</v>
      </c>
      <c r="X488" s="4">
        <f>IF(O488="DEL0", Table1[[#This Row],[Discounted_Amount]],Table1[[#This Row],[Discounted_Amount]]+Table1[[#This Row],[Delivery_Charge]])</f>
        <v>159.28000000000003</v>
      </c>
      <c r="Y488" s="4" t="str">
        <f>Table1[[#This Row],[First_Name]]&amp;" "&amp;Table1[[#This Row],[Last_Name]]</f>
        <v>Hannah Gutierrez</v>
      </c>
      <c r="Z488" s="4" t="str">
        <f>IF(T:T&gt;Table1[[#This Row],[Estimated_Days_to_Deliver]],"Late",IF(T:T=Table1[[#This Row],[Estimated_Days_to_Deliver]],"Intime","BeforeTime"))</f>
        <v>BeforeTime</v>
      </c>
      <c r="AA488" s="4">
        <f>MONTH(Table1[[#This Row],[Order_Date]])</f>
        <v>3</v>
      </c>
      <c r="AB488" s="13">
        <f>Table1[[#This Row],[Amount]]*Table1[[#This Row],[Discount_Percent]]</f>
        <v>29.070000000000007</v>
      </c>
    </row>
    <row r="489" spans="1:28" ht="14.25" customHeight="1">
      <c r="A489" s="1" t="s">
        <v>130</v>
      </c>
      <c r="B489" s="1" t="s">
        <v>131</v>
      </c>
      <c r="C489" s="1" t="s">
        <v>132</v>
      </c>
      <c r="D489" s="1">
        <v>30</v>
      </c>
      <c r="E489" s="1" t="s">
        <v>43</v>
      </c>
      <c r="F489" s="1" t="s">
        <v>44</v>
      </c>
      <c r="G489" s="1" t="s">
        <v>133</v>
      </c>
      <c r="H489" s="1" t="s">
        <v>134</v>
      </c>
      <c r="I489" s="1" t="s">
        <v>2020</v>
      </c>
      <c r="J489" s="24">
        <v>45188</v>
      </c>
      <c r="K489" s="1" t="s">
        <v>2021</v>
      </c>
      <c r="L489" s="1" t="s">
        <v>944</v>
      </c>
      <c r="M489" s="1">
        <v>107.47</v>
      </c>
      <c r="N489" s="1">
        <v>4</v>
      </c>
      <c r="O489" s="1" t="s">
        <v>38</v>
      </c>
      <c r="P489" s="1">
        <v>5</v>
      </c>
      <c r="Q489" s="1">
        <v>35</v>
      </c>
      <c r="R489" s="24">
        <v>45191</v>
      </c>
      <c r="S489" s="1" t="s">
        <v>2022</v>
      </c>
      <c r="T489" s="4">
        <f>Table1[[#This Row],[Delivery_Date]]-Table1[[#This Row],[Order_Date]]</f>
        <v>3</v>
      </c>
      <c r="U489" s="4">
        <f>Table1[[#This Row],[Price]]*Table1[[#This Row],[Quantity]]</f>
        <v>429.88</v>
      </c>
      <c r="V489" s="11">
        <f t="shared" si="7"/>
        <v>0.08</v>
      </c>
      <c r="W489" s="4">
        <f>Table1[[#This Row],[Amount]]-(Table1[[#This Row],[Amount]]*Table1[[#This Row],[Discount_Percent]])</f>
        <v>395.4896</v>
      </c>
      <c r="X489" s="4">
        <f>IF(O489="DEL0", Table1[[#This Row],[Discounted_Amount]],Table1[[#This Row],[Discounted_Amount]]+Table1[[#This Row],[Delivery_Charge]])</f>
        <v>430.4896</v>
      </c>
      <c r="Y489" s="4" t="str">
        <f>Table1[[#This Row],[First_Name]]&amp;" "&amp;Table1[[#This Row],[Last_Name]]</f>
        <v>Joseph Stewart</v>
      </c>
      <c r="Z489" s="4" t="str">
        <f>IF(T:T&gt;Table1[[#This Row],[Estimated_Days_to_Deliver]],"Late",IF(T:T=Table1[[#This Row],[Estimated_Days_to_Deliver]],"Intime","BeforeTime"))</f>
        <v>BeforeTime</v>
      </c>
      <c r="AA489" s="4">
        <f>MONTH(Table1[[#This Row],[Order_Date]])</f>
        <v>9</v>
      </c>
      <c r="AB489" s="13">
        <f>Table1[[#This Row],[Amount]]*Table1[[#This Row],[Discount_Percent]]</f>
        <v>34.3904</v>
      </c>
    </row>
    <row r="490" spans="1:28" ht="14.25" customHeight="1">
      <c r="A490" s="1" t="s">
        <v>388</v>
      </c>
      <c r="B490" s="1" t="s">
        <v>389</v>
      </c>
      <c r="C490" s="1" t="s">
        <v>390</v>
      </c>
      <c r="D490" s="1">
        <v>47</v>
      </c>
      <c r="E490" s="1" t="s">
        <v>43</v>
      </c>
      <c r="F490" s="1" t="s">
        <v>92</v>
      </c>
      <c r="G490" s="1" t="s">
        <v>391</v>
      </c>
      <c r="H490" s="1" t="s">
        <v>392</v>
      </c>
      <c r="I490" s="1" t="s">
        <v>2023</v>
      </c>
      <c r="J490" s="24">
        <v>45681</v>
      </c>
      <c r="K490" s="1" t="s">
        <v>2024</v>
      </c>
      <c r="L490" s="1" t="s">
        <v>521</v>
      </c>
      <c r="M490" s="1">
        <v>441.03</v>
      </c>
      <c r="N490" s="1">
        <v>5</v>
      </c>
      <c r="O490" s="1" t="s">
        <v>38</v>
      </c>
      <c r="P490" s="1">
        <v>5</v>
      </c>
      <c r="Q490" s="1">
        <v>62</v>
      </c>
      <c r="R490" s="24">
        <v>45682</v>
      </c>
      <c r="S490" s="1" t="s">
        <v>2025</v>
      </c>
      <c r="T490" s="4">
        <f>Table1[[#This Row],[Delivery_Date]]-Table1[[#This Row],[Order_Date]]</f>
        <v>1</v>
      </c>
      <c r="U490" s="4">
        <f>Table1[[#This Row],[Price]]*Table1[[#This Row],[Quantity]]</f>
        <v>2205.1499999999996</v>
      </c>
      <c r="V490" s="11">
        <f t="shared" si="7"/>
        <v>0.08</v>
      </c>
      <c r="W490" s="4">
        <f>Table1[[#This Row],[Amount]]-(Table1[[#This Row],[Amount]]*Table1[[#This Row],[Discount_Percent]])</f>
        <v>2028.7379999999996</v>
      </c>
      <c r="X490" s="4">
        <f>IF(O490="DEL0", Table1[[#This Row],[Discounted_Amount]],Table1[[#This Row],[Discounted_Amount]]+Table1[[#This Row],[Delivery_Charge]])</f>
        <v>2090.7379999999994</v>
      </c>
      <c r="Y490" s="4" t="str">
        <f>Table1[[#This Row],[First_Name]]&amp;" "&amp;Table1[[#This Row],[Last_Name]]</f>
        <v>Aaron Thompson</v>
      </c>
      <c r="Z490" s="4" t="str">
        <f>IF(T:T&gt;Table1[[#This Row],[Estimated_Days_to_Deliver]],"Late",IF(T:T=Table1[[#This Row],[Estimated_Days_to_Deliver]],"Intime","BeforeTime"))</f>
        <v>BeforeTime</v>
      </c>
      <c r="AA490" s="4">
        <f>MONTH(Table1[[#This Row],[Order_Date]])</f>
        <v>1</v>
      </c>
      <c r="AB490" s="13">
        <f>Table1[[#This Row],[Amount]]*Table1[[#This Row],[Discount_Percent]]</f>
        <v>176.41199999999998</v>
      </c>
    </row>
    <row r="491" spans="1:28" ht="14.25" customHeight="1">
      <c r="A491" s="1" t="s">
        <v>578</v>
      </c>
      <c r="B491" s="1" t="s">
        <v>259</v>
      </c>
      <c r="C491" s="1" t="s">
        <v>579</v>
      </c>
      <c r="D491" s="1">
        <v>35</v>
      </c>
      <c r="E491" s="1" t="s">
        <v>31</v>
      </c>
      <c r="F491" s="1" t="s">
        <v>32</v>
      </c>
      <c r="G491" s="1" t="s">
        <v>580</v>
      </c>
      <c r="H491" s="1" t="s">
        <v>581</v>
      </c>
      <c r="I491" s="1" t="s">
        <v>2026</v>
      </c>
      <c r="J491" s="24">
        <v>45007</v>
      </c>
      <c r="K491" s="1" t="s">
        <v>2027</v>
      </c>
      <c r="L491" s="1" t="s">
        <v>987</v>
      </c>
      <c r="M491" s="1">
        <v>33.49</v>
      </c>
      <c r="N491" s="1">
        <v>4</v>
      </c>
      <c r="O491" s="1" t="s">
        <v>87</v>
      </c>
      <c r="P491" s="1">
        <v>5</v>
      </c>
      <c r="Q491" s="1">
        <v>54</v>
      </c>
      <c r="R491" s="24">
        <v>45008</v>
      </c>
      <c r="S491" s="1" t="s">
        <v>2028</v>
      </c>
      <c r="T491" s="4">
        <f>Table1[[#This Row],[Delivery_Date]]-Table1[[#This Row],[Order_Date]]</f>
        <v>1</v>
      </c>
      <c r="U491" s="4">
        <f>Table1[[#This Row],[Price]]*Table1[[#This Row],[Quantity]]</f>
        <v>133.96</v>
      </c>
      <c r="V491" s="11">
        <f t="shared" si="7"/>
        <v>0.2</v>
      </c>
      <c r="W491" s="4">
        <f>Table1[[#This Row],[Amount]]-(Table1[[#This Row],[Amount]]*Table1[[#This Row],[Discount_Percent]])</f>
        <v>107.16800000000001</v>
      </c>
      <c r="X491" s="4">
        <f>IF(O491="DEL0", Table1[[#This Row],[Discounted_Amount]],Table1[[#This Row],[Discounted_Amount]]+Table1[[#This Row],[Delivery_Charge]])</f>
        <v>161.16800000000001</v>
      </c>
      <c r="Y491" s="4" t="str">
        <f>Table1[[#This Row],[First_Name]]&amp;" "&amp;Table1[[#This Row],[Last_Name]]</f>
        <v>Ashley Romero</v>
      </c>
      <c r="Z491" s="4" t="str">
        <f>IF(T:T&gt;Table1[[#This Row],[Estimated_Days_to_Deliver]],"Late",IF(T:T=Table1[[#This Row],[Estimated_Days_to_Deliver]],"Intime","BeforeTime"))</f>
        <v>BeforeTime</v>
      </c>
      <c r="AA491" s="4">
        <f>MONTH(Table1[[#This Row],[Order_Date]])</f>
        <v>3</v>
      </c>
      <c r="AB491" s="13">
        <f>Table1[[#This Row],[Amount]]*Table1[[#This Row],[Discount_Percent]]</f>
        <v>26.792000000000002</v>
      </c>
    </row>
    <row r="492" spans="1:28" ht="14.25" customHeight="1">
      <c r="A492" s="1" t="s">
        <v>708</v>
      </c>
      <c r="B492" s="1" t="s">
        <v>709</v>
      </c>
      <c r="C492" s="1" t="s">
        <v>710</v>
      </c>
      <c r="D492" s="1">
        <v>26</v>
      </c>
      <c r="E492" s="1" t="s">
        <v>54</v>
      </c>
      <c r="F492" s="1" t="s">
        <v>78</v>
      </c>
      <c r="G492" s="1" t="s">
        <v>711</v>
      </c>
      <c r="H492" s="1" t="s">
        <v>712</v>
      </c>
      <c r="I492" s="1" t="s">
        <v>2029</v>
      </c>
      <c r="J492" s="24">
        <v>45204</v>
      </c>
      <c r="K492" s="1" t="s">
        <v>2030</v>
      </c>
      <c r="L492" s="1" t="s">
        <v>987</v>
      </c>
      <c r="M492" s="1">
        <v>33.49</v>
      </c>
      <c r="N492" s="1">
        <v>1</v>
      </c>
      <c r="O492" s="1" t="s">
        <v>60</v>
      </c>
      <c r="P492" s="1">
        <v>5</v>
      </c>
      <c r="Q492" s="1">
        <v>44</v>
      </c>
      <c r="R492" s="24">
        <v>45206</v>
      </c>
      <c r="S492" s="1" t="s">
        <v>2031</v>
      </c>
      <c r="T492" s="4">
        <f>Table1[[#This Row],[Delivery_Date]]-Table1[[#This Row],[Order_Date]]</f>
        <v>2</v>
      </c>
      <c r="U492" s="4">
        <f>Table1[[#This Row],[Price]]*Table1[[#This Row],[Quantity]]</f>
        <v>33.49</v>
      </c>
      <c r="V492" s="11">
        <f t="shared" si="7"/>
        <v>0.15</v>
      </c>
      <c r="W492" s="4">
        <f>Table1[[#This Row],[Amount]]-(Table1[[#This Row],[Amount]]*Table1[[#This Row],[Discount_Percent]])</f>
        <v>28.466500000000003</v>
      </c>
      <c r="X492" s="4">
        <f>IF(O492="DEL0", Table1[[#This Row],[Discounted_Amount]],Table1[[#This Row],[Discounted_Amount]]+Table1[[#This Row],[Delivery_Charge]])</f>
        <v>72.466499999999996</v>
      </c>
      <c r="Y492" s="4" t="str">
        <f>Table1[[#This Row],[First_Name]]&amp;" "&amp;Table1[[#This Row],[Last_Name]]</f>
        <v>Gregory Lee</v>
      </c>
      <c r="Z492" s="4" t="str">
        <f>IF(T:T&gt;Table1[[#This Row],[Estimated_Days_to_Deliver]],"Late",IF(T:T=Table1[[#This Row],[Estimated_Days_to_Deliver]],"Intime","BeforeTime"))</f>
        <v>BeforeTime</v>
      </c>
      <c r="AA492" s="4">
        <f>MONTH(Table1[[#This Row],[Order_Date]])</f>
        <v>10</v>
      </c>
      <c r="AB492" s="13">
        <f>Table1[[#This Row],[Amount]]*Table1[[#This Row],[Discount_Percent]]</f>
        <v>5.0235000000000003</v>
      </c>
    </row>
    <row r="493" spans="1:28" ht="14.25" customHeight="1">
      <c r="A493" s="1" t="s">
        <v>486</v>
      </c>
      <c r="B493" s="1" t="s">
        <v>487</v>
      </c>
      <c r="C493" s="1" t="s">
        <v>132</v>
      </c>
      <c r="D493" s="1">
        <v>68</v>
      </c>
      <c r="E493" s="1" t="s">
        <v>54</v>
      </c>
      <c r="F493" s="1" t="s">
        <v>223</v>
      </c>
      <c r="G493" s="1" t="s">
        <v>488</v>
      </c>
      <c r="H493" s="1" t="s">
        <v>489</v>
      </c>
      <c r="I493" s="1" t="s">
        <v>2032</v>
      </c>
      <c r="J493" s="24">
        <v>45590</v>
      </c>
      <c r="K493" s="1" t="s">
        <v>2033</v>
      </c>
      <c r="L493" s="1" t="s">
        <v>273</v>
      </c>
      <c r="M493" s="1">
        <v>62.42</v>
      </c>
      <c r="N493" s="1">
        <v>4</v>
      </c>
      <c r="O493" s="1" t="s">
        <v>65</v>
      </c>
      <c r="P493" s="1">
        <v>5</v>
      </c>
      <c r="Q493" s="1">
        <v>37</v>
      </c>
      <c r="R493" s="24">
        <v>45597</v>
      </c>
      <c r="S493" s="1" t="s">
        <v>2034</v>
      </c>
      <c r="T493" s="4">
        <f>Table1[[#This Row],[Delivery_Date]]-Table1[[#This Row],[Order_Date]]</f>
        <v>7</v>
      </c>
      <c r="U493" s="4">
        <f>Table1[[#This Row],[Price]]*Table1[[#This Row],[Quantity]]</f>
        <v>249.68</v>
      </c>
      <c r="V493" s="11">
        <f t="shared" si="7"/>
        <v>0</v>
      </c>
      <c r="W493" s="4">
        <f>Table1[[#This Row],[Amount]]-(Table1[[#This Row],[Amount]]*Table1[[#This Row],[Discount_Percent]])</f>
        <v>249.68</v>
      </c>
      <c r="X493" s="4">
        <f>IF(O493="DEL0", Table1[[#This Row],[Discounted_Amount]],Table1[[#This Row],[Discounted_Amount]]+Table1[[#This Row],[Delivery_Charge]])</f>
        <v>249.68</v>
      </c>
      <c r="Y493" s="4" t="str">
        <f>Table1[[#This Row],[First_Name]]&amp;" "&amp;Table1[[#This Row],[Last_Name]]</f>
        <v>Brittany Stewart</v>
      </c>
      <c r="Z493" s="4" t="str">
        <f>IF(T:T&gt;Table1[[#This Row],[Estimated_Days_to_Deliver]],"Late",IF(T:T=Table1[[#This Row],[Estimated_Days_to_Deliver]],"Intime","BeforeTime"))</f>
        <v>Late</v>
      </c>
      <c r="AA493" s="4">
        <f>MONTH(Table1[[#This Row],[Order_Date]])</f>
        <v>10</v>
      </c>
      <c r="AB493" s="13">
        <f>Table1[[#This Row],[Amount]]*Table1[[#This Row],[Discount_Percent]]</f>
        <v>0</v>
      </c>
    </row>
    <row r="494" spans="1:28" ht="14.25" customHeight="1">
      <c r="A494" s="1" t="s">
        <v>361</v>
      </c>
      <c r="B494" s="1" t="s">
        <v>362</v>
      </c>
      <c r="C494" s="1" t="s">
        <v>363</v>
      </c>
      <c r="D494" s="1">
        <v>32</v>
      </c>
      <c r="E494" s="1" t="s">
        <v>43</v>
      </c>
      <c r="F494" s="1" t="s">
        <v>170</v>
      </c>
      <c r="G494" s="1" t="s">
        <v>364</v>
      </c>
      <c r="H494" s="1" t="s">
        <v>365</v>
      </c>
      <c r="I494" s="1" t="s">
        <v>2035</v>
      </c>
      <c r="J494" s="24">
        <v>45217</v>
      </c>
      <c r="K494" s="1" t="s">
        <v>2036</v>
      </c>
      <c r="L494" s="1" t="s">
        <v>311</v>
      </c>
      <c r="M494" s="1">
        <v>129.75</v>
      </c>
      <c r="N494" s="1">
        <v>1</v>
      </c>
      <c r="O494" s="1" t="s">
        <v>38</v>
      </c>
      <c r="P494" s="1">
        <v>5</v>
      </c>
      <c r="Q494" s="1">
        <v>56</v>
      </c>
      <c r="R494" s="24">
        <v>45219</v>
      </c>
      <c r="S494" s="1" t="s">
        <v>2037</v>
      </c>
      <c r="T494" s="4">
        <f>Table1[[#This Row],[Delivery_Date]]-Table1[[#This Row],[Order_Date]]</f>
        <v>2</v>
      </c>
      <c r="U494" s="4">
        <f>Table1[[#This Row],[Price]]*Table1[[#This Row],[Quantity]]</f>
        <v>129.75</v>
      </c>
      <c r="V494" s="11">
        <f t="shared" si="7"/>
        <v>0.08</v>
      </c>
      <c r="W494" s="4">
        <f>Table1[[#This Row],[Amount]]-(Table1[[#This Row],[Amount]]*Table1[[#This Row],[Discount_Percent]])</f>
        <v>119.37</v>
      </c>
      <c r="X494" s="4">
        <f>IF(O494="DEL0", Table1[[#This Row],[Discounted_Amount]],Table1[[#This Row],[Discounted_Amount]]+Table1[[#This Row],[Delivery_Charge]])</f>
        <v>175.37</v>
      </c>
      <c r="Y494" s="4" t="str">
        <f>Table1[[#This Row],[First_Name]]&amp;" "&amp;Table1[[#This Row],[Last_Name]]</f>
        <v>Robert Castillo</v>
      </c>
      <c r="Z494" s="4" t="str">
        <f>IF(T:T&gt;Table1[[#This Row],[Estimated_Days_to_Deliver]],"Late",IF(T:T=Table1[[#This Row],[Estimated_Days_to_Deliver]],"Intime","BeforeTime"))</f>
        <v>BeforeTime</v>
      </c>
      <c r="AA494" s="4">
        <f>MONTH(Table1[[#This Row],[Order_Date]])</f>
        <v>10</v>
      </c>
      <c r="AB494" s="13">
        <f>Table1[[#This Row],[Amount]]*Table1[[#This Row],[Discount_Percent]]</f>
        <v>10.38</v>
      </c>
    </row>
    <row r="495" spans="1:28" ht="14.25" customHeight="1">
      <c r="A495" s="1" t="s">
        <v>178</v>
      </c>
      <c r="B495" s="1" t="s">
        <v>179</v>
      </c>
      <c r="C495" s="1" t="s">
        <v>180</v>
      </c>
      <c r="D495" s="1">
        <v>36</v>
      </c>
      <c r="E495" s="1" t="s">
        <v>54</v>
      </c>
      <c r="F495" s="1" t="s">
        <v>142</v>
      </c>
      <c r="G495" s="1" t="s">
        <v>181</v>
      </c>
      <c r="H495" s="1" t="s">
        <v>182</v>
      </c>
      <c r="I495" s="1" t="s">
        <v>2038</v>
      </c>
      <c r="J495" s="24">
        <v>45182</v>
      </c>
      <c r="K495" s="1" t="s">
        <v>2039</v>
      </c>
      <c r="L495" s="1" t="s">
        <v>202</v>
      </c>
      <c r="M495" s="1">
        <v>20.7</v>
      </c>
      <c r="N495" s="1">
        <v>4</v>
      </c>
      <c r="O495" s="1" t="s">
        <v>87</v>
      </c>
      <c r="P495" s="1">
        <v>5</v>
      </c>
      <c r="Q495" s="1">
        <v>61</v>
      </c>
      <c r="R495" s="24">
        <v>45184</v>
      </c>
      <c r="S495" s="1" t="s">
        <v>2040</v>
      </c>
      <c r="T495" s="4">
        <f>Table1[[#This Row],[Delivery_Date]]-Table1[[#This Row],[Order_Date]]</f>
        <v>2</v>
      </c>
      <c r="U495" s="4">
        <f>Table1[[#This Row],[Price]]*Table1[[#This Row],[Quantity]]</f>
        <v>82.8</v>
      </c>
      <c r="V495" s="11">
        <f t="shared" si="7"/>
        <v>0.2</v>
      </c>
      <c r="W495" s="4">
        <f>Table1[[#This Row],[Amount]]-(Table1[[#This Row],[Amount]]*Table1[[#This Row],[Discount_Percent]])</f>
        <v>66.239999999999995</v>
      </c>
      <c r="X495" s="4">
        <f>IF(O495="DEL0", Table1[[#This Row],[Discounted_Amount]],Table1[[#This Row],[Discounted_Amount]]+Table1[[#This Row],[Delivery_Charge]])</f>
        <v>127.24</v>
      </c>
      <c r="Y495" s="4" t="str">
        <f>Table1[[#This Row],[First_Name]]&amp;" "&amp;Table1[[#This Row],[Last_Name]]</f>
        <v>Gina Moreno</v>
      </c>
      <c r="Z495" s="4" t="str">
        <f>IF(T:T&gt;Table1[[#This Row],[Estimated_Days_to_Deliver]],"Late",IF(T:T=Table1[[#This Row],[Estimated_Days_to_Deliver]],"Intime","BeforeTime"))</f>
        <v>BeforeTime</v>
      </c>
      <c r="AA495" s="4">
        <f>MONTH(Table1[[#This Row],[Order_Date]])</f>
        <v>9</v>
      </c>
      <c r="AB495" s="13">
        <f>Table1[[#This Row],[Amount]]*Table1[[#This Row],[Discount_Percent]]</f>
        <v>16.559999999999999</v>
      </c>
    </row>
    <row r="496" spans="1:28" ht="14.25" customHeight="1">
      <c r="A496" s="1" t="s">
        <v>139</v>
      </c>
      <c r="B496" s="1" t="s">
        <v>140</v>
      </c>
      <c r="C496" s="1" t="s">
        <v>141</v>
      </c>
      <c r="D496" s="1">
        <v>25</v>
      </c>
      <c r="E496" s="1" t="s">
        <v>54</v>
      </c>
      <c r="F496" s="1" t="s">
        <v>142</v>
      </c>
      <c r="G496" s="1" t="s">
        <v>143</v>
      </c>
      <c r="H496" s="1" t="s">
        <v>144</v>
      </c>
      <c r="I496" s="1" t="s">
        <v>2041</v>
      </c>
      <c r="J496" s="24">
        <v>45107</v>
      </c>
      <c r="K496" s="1" t="s">
        <v>2042</v>
      </c>
      <c r="L496" s="1" t="s">
        <v>156</v>
      </c>
      <c r="M496" s="1">
        <v>220.27</v>
      </c>
      <c r="N496" s="1">
        <v>3</v>
      </c>
      <c r="O496" s="1" t="s">
        <v>65</v>
      </c>
      <c r="P496" s="1">
        <v>5</v>
      </c>
      <c r="Q496" s="1">
        <v>50</v>
      </c>
      <c r="R496" s="24">
        <v>45108</v>
      </c>
      <c r="S496" s="1" t="s">
        <v>2043</v>
      </c>
      <c r="T496" s="4">
        <f>Table1[[#This Row],[Delivery_Date]]-Table1[[#This Row],[Order_Date]]</f>
        <v>1</v>
      </c>
      <c r="U496" s="4">
        <f>Table1[[#This Row],[Price]]*Table1[[#This Row],[Quantity]]</f>
        <v>660.81000000000006</v>
      </c>
      <c r="V496" s="11">
        <f t="shared" si="7"/>
        <v>0</v>
      </c>
      <c r="W496" s="4">
        <f>Table1[[#This Row],[Amount]]-(Table1[[#This Row],[Amount]]*Table1[[#This Row],[Discount_Percent]])</f>
        <v>660.81000000000006</v>
      </c>
      <c r="X496" s="4">
        <f>IF(O496="DEL0", Table1[[#This Row],[Discounted_Amount]],Table1[[#This Row],[Discounted_Amount]]+Table1[[#This Row],[Delivery_Charge]])</f>
        <v>660.81000000000006</v>
      </c>
      <c r="Y496" s="4" t="str">
        <f>Table1[[#This Row],[First_Name]]&amp;" "&amp;Table1[[#This Row],[Last_Name]]</f>
        <v>Kara Brennan</v>
      </c>
      <c r="Z496" s="4" t="str">
        <f>IF(T:T&gt;Table1[[#This Row],[Estimated_Days_to_Deliver]],"Late",IF(T:T=Table1[[#This Row],[Estimated_Days_to_Deliver]],"Intime","BeforeTime"))</f>
        <v>BeforeTime</v>
      </c>
      <c r="AA496" s="4">
        <f>MONTH(Table1[[#This Row],[Order_Date]])</f>
        <v>6</v>
      </c>
      <c r="AB496" s="13">
        <f>Table1[[#This Row],[Amount]]*Table1[[#This Row],[Discount_Percent]]</f>
        <v>0</v>
      </c>
    </row>
    <row r="497" spans="1:28" ht="14.25" customHeight="1">
      <c r="A497" s="1" t="s">
        <v>220</v>
      </c>
      <c r="B497" s="1" t="s">
        <v>221</v>
      </c>
      <c r="C497" s="1" t="s">
        <v>222</v>
      </c>
      <c r="D497" s="1">
        <v>33</v>
      </c>
      <c r="E497" s="1" t="s">
        <v>54</v>
      </c>
      <c r="F497" s="1" t="s">
        <v>223</v>
      </c>
      <c r="G497" s="1" t="s">
        <v>224</v>
      </c>
      <c r="H497" s="1" t="s">
        <v>225</v>
      </c>
      <c r="I497" s="1" t="s">
        <v>2044</v>
      </c>
      <c r="J497" s="24">
        <v>45032</v>
      </c>
      <c r="K497" s="1" t="s">
        <v>2045</v>
      </c>
      <c r="L497" s="1" t="s">
        <v>656</v>
      </c>
      <c r="M497" s="1">
        <v>433.62</v>
      </c>
      <c r="N497" s="1">
        <v>2</v>
      </c>
      <c r="O497" s="1" t="s">
        <v>38</v>
      </c>
      <c r="P497" s="1">
        <v>5</v>
      </c>
      <c r="Q497" s="1">
        <v>56</v>
      </c>
      <c r="R497" s="24">
        <v>45039</v>
      </c>
      <c r="S497" s="1" t="s">
        <v>2046</v>
      </c>
      <c r="T497" s="4">
        <f>Table1[[#This Row],[Delivery_Date]]-Table1[[#This Row],[Order_Date]]</f>
        <v>7</v>
      </c>
      <c r="U497" s="4">
        <f>Table1[[#This Row],[Price]]*Table1[[#This Row],[Quantity]]</f>
        <v>867.24</v>
      </c>
      <c r="V497" s="11">
        <f t="shared" si="7"/>
        <v>0.08</v>
      </c>
      <c r="W497" s="4">
        <f>Table1[[#This Row],[Amount]]-(Table1[[#This Row],[Amount]]*Table1[[#This Row],[Discount_Percent]])</f>
        <v>797.86080000000004</v>
      </c>
      <c r="X497" s="4">
        <f>IF(O497="DEL0", Table1[[#This Row],[Discounted_Amount]],Table1[[#This Row],[Discounted_Amount]]+Table1[[#This Row],[Delivery_Charge]])</f>
        <v>853.86080000000004</v>
      </c>
      <c r="Y497" s="4" t="str">
        <f>Table1[[#This Row],[First_Name]]&amp;" "&amp;Table1[[#This Row],[Last_Name]]</f>
        <v>Mark Henderson</v>
      </c>
      <c r="Z497" s="4" t="str">
        <f>IF(T:T&gt;Table1[[#This Row],[Estimated_Days_to_Deliver]],"Late",IF(T:T=Table1[[#This Row],[Estimated_Days_to_Deliver]],"Intime","BeforeTime"))</f>
        <v>Late</v>
      </c>
      <c r="AA497" s="4">
        <f>MONTH(Table1[[#This Row],[Order_Date]])</f>
        <v>4</v>
      </c>
      <c r="AB497" s="13">
        <f>Table1[[#This Row],[Amount]]*Table1[[#This Row],[Discount_Percent]]</f>
        <v>69.379199999999997</v>
      </c>
    </row>
    <row r="498" spans="1:28" ht="14.25" customHeight="1">
      <c r="A498" s="1" t="s">
        <v>1730</v>
      </c>
      <c r="B498" s="1" t="s">
        <v>1731</v>
      </c>
      <c r="C498" s="1" t="s">
        <v>371</v>
      </c>
      <c r="D498" s="1">
        <v>34</v>
      </c>
      <c r="E498" s="1" t="s">
        <v>54</v>
      </c>
      <c r="F498" s="1" t="s">
        <v>161</v>
      </c>
      <c r="G498" s="1" t="s">
        <v>1732</v>
      </c>
      <c r="H498" s="1" t="s">
        <v>1733</v>
      </c>
      <c r="I498" s="1" t="s">
        <v>2047</v>
      </c>
      <c r="J498" s="24">
        <v>45490</v>
      </c>
      <c r="K498" s="1" t="s">
        <v>2048</v>
      </c>
      <c r="L498" s="1" t="s">
        <v>253</v>
      </c>
      <c r="M498" s="1">
        <v>128.13999999999999</v>
      </c>
      <c r="N498" s="1">
        <v>3</v>
      </c>
      <c r="O498" s="1" t="s">
        <v>38</v>
      </c>
      <c r="P498" s="1">
        <v>5</v>
      </c>
      <c r="Q498" s="1">
        <v>49</v>
      </c>
      <c r="R498" s="24">
        <v>45495</v>
      </c>
      <c r="S498" s="1" t="s">
        <v>2049</v>
      </c>
      <c r="T498" s="4">
        <f>Table1[[#This Row],[Delivery_Date]]-Table1[[#This Row],[Order_Date]]</f>
        <v>5</v>
      </c>
      <c r="U498" s="4">
        <f>Table1[[#This Row],[Price]]*Table1[[#This Row],[Quantity]]</f>
        <v>384.41999999999996</v>
      </c>
      <c r="V498" s="11">
        <f t="shared" si="7"/>
        <v>0.08</v>
      </c>
      <c r="W498" s="4">
        <f>Table1[[#This Row],[Amount]]-(Table1[[#This Row],[Amount]]*Table1[[#This Row],[Discount_Percent]])</f>
        <v>353.66639999999995</v>
      </c>
      <c r="X498" s="4">
        <f>IF(O498="DEL0", Table1[[#This Row],[Discounted_Amount]],Table1[[#This Row],[Discounted_Amount]]+Table1[[#This Row],[Delivery_Charge]])</f>
        <v>402.66639999999995</v>
      </c>
      <c r="Y498" s="4" t="str">
        <f>Table1[[#This Row],[First_Name]]&amp;" "&amp;Table1[[#This Row],[Last_Name]]</f>
        <v>Katie Hicks</v>
      </c>
      <c r="Z498" s="4" t="str">
        <f>IF(T:T&gt;Table1[[#This Row],[Estimated_Days_to_Deliver]],"Late",IF(T:T=Table1[[#This Row],[Estimated_Days_to_Deliver]],"Intime","BeforeTime"))</f>
        <v>Intime</v>
      </c>
      <c r="AA498" s="4">
        <f>MONTH(Table1[[#This Row],[Order_Date]])</f>
        <v>7</v>
      </c>
      <c r="AB498" s="13">
        <f>Table1[[#This Row],[Amount]]*Table1[[#This Row],[Discount_Percent]]</f>
        <v>30.753599999999999</v>
      </c>
    </row>
    <row r="499" spans="1:28" ht="14.25" customHeight="1">
      <c r="A499" s="1" t="s">
        <v>1935</v>
      </c>
      <c r="B499" s="1" t="s">
        <v>1936</v>
      </c>
      <c r="C499" s="1" t="s">
        <v>1937</v>
      </c>
      <c r="D499" s="1">
        <v>54</v>
      </c>
      <c r="E499" s="1" t="s">
        <v>43</v>
      </c>
      <c r="F499" s="1" t="s">
        <v>78</v>
      </c>
      <c r="G499" s="1" t="s">
        <v>1938</v>
      </c>
      <c r="H499" s="1" t="s">
        <v>1939</v>
      </c>
      <c r="I499" s="1" t="s">
        <v>2050</v>
      </c>
      <c r="J499" s="24">
        <v>45381</v>
      </c>
      <c r="K499" s="1" t="s">
        <v>2051</v>
      </c>
      <c r="L499" s="1" t="s">
        <v>175</v>
      </c>
      <c r="M499" s="1">
        <v>272.51</v>
      </c>
      <c r="N499" s="1">
        <v>5</v>
      </c>
      <c r="O499" s="1" t="s">
        <v>65</v>
      </c>
      <c r="P499" s="1">
        <v>5</v>
      </c>
      <c r="Q499" s="1">
        <v>66</v>
      </c>
      <c r="R499" s="24">
        <v>45388</v>
      </c>
      <c r="S499" s="1" t="s">
        <v>2052</v>
      </c>
      <c r="T499" s="4">
        <f>Table1[[#This Row],[Delivery_Date]]-Table1[[#This Row],[Order_Date]]</f>
        <v>7</v>
      </c>
      <c r="U499" s="4">
        <f>Table1[[#This Row],[Price]]*Table1[[#This Row],[Quantity]]</f>
        <v>1362.55</v>
      </c>
      <c r="V499" s="11">
        <f t="shared" si="7"/>
        <v>0</v>
      </c>
      <c r="W499" s="4">
        <f>Table1[[#This Row],[Amount]]-(Table1[[#This Row],[Amount]]*Table1[[#This Row],[Discount_Percent]])</f>
        <v>1362.55</v>
      </c>
      <c r="X499" s="4">
        <f>IF(O499="DEL0", Table1[[#This Row],[Discounted_Amount]],Table1[[#This Row],[Discounted_Amount]]+Table1[[#This Row],[Delivery_Charge]])</f>
        <v>1362.55</v>
      </c>
      <c r="Y499" s="4" t="str">
        <f>Table1[[#This Row],[First_Name]]&amp;" "&amp;Table1[[#This Row],[Last_Name]]</f>
        <v>Diana French</v>
      </c>
      <c r="Z499" s="4" t="str">
        <f>IF(T:T&gt;Table1[[#This Row],[Estimated_Days_to_Deliver]],"Late",IF(T:T=Table1[[#This Row],[Estimated_Days_to_Deliver]],"Intime","BeforeTime"))</f>
        <v>Late</v>
      </c>
      <c r="AA499" s="4">
        <f>MONTH(Table1[[#This Row],[Order_Date]])</f>
        <v>3</v>
      </c>
      <c r="AB499" s="13">
        <f>Table1[[#This Row],[Amount]]*Table1[[#This Row],[Discount_Percent]]</f>
        <v>0</v>
      </c>
    </row>
    <row r="500" spans="1:28" ht="14.25" customHeight="1">
      <c r="A500" s="1" t="s">
        <v>423</v>
      </c>
      <c r="B500" s="1" t="s">
        <v>424</v>
      </c>
      <c r="C500" s="1" t="s">
        <v>425</v>
      </c>
      <c r="D500" s="1">
        <v>52</v>
      </c>
      <c r="E500" s="1" t="s">
        <v>54</v>
      </c>
      <c r="F500" s="1" t="s">
        <v>223</v>
      </c>
      <c r="G500" s="1" t="s">
        <v>426</v>
      </c>
      <c r="H500" s="1" t="s">
        <v>427</v>
      </c>
      <c r="I500" s="1" t="s">
        <v>2053</v>
      </c>
      <c r="J500" s="24">
        <v>45472</v>
      </c>
      <c r="K500" s="1" t="s">
        <v>2054</v>
      </c>
      <c r="L500" s="1" t="s">
        <v>689</v>
      </c>
      <c r="M500" s="1">
        <v>424.82</v>
      </c>
      <c r="N500" s="1">
        <v>2</v>
      </c>
      <c r="O500" s="1" t="s">
        <v>65</v>
      </c>
      <c r="P500" s="1">
        <v>5</v>
      </c>
      <c r="Q500" s="1">
        <v>63</v>
      </c>
      <c r="R500" s="24">
        <v>45477</v>
      </c>
      <c r="S500" s="1" t="s">
        <v>2055</v>
      </c>
      <c r="T500" s="4">
        <f>Table1[[#This Row],[Delivery_Date]]-Table1[[#This Row],[Order_Date]]</f>
        <v>5</v>
      </c>
      <c r="U500" s="4">
        <f>Table1[[#This Row],[Price]]*Table1[[#This Row],[Quantity]]</f>
        <v>849.64</v>
      </c>
      <c r="V500" s="11">
        <f t="shared" si="7"/>
        <v>0</v>
      </c>
      <c r="W500" s="4">
        <f>Table1[[#This Row],[Amount]]-(Table1[[#This Row],[Amount]]*Table1[[#This Row],[Discount_Percent]])</f>
        <v>849.64</v>
      </c>
      <c r="X500" s="4">
        <f>IF(O500="DEL0", Table1[[#This Row],[Discounted_Amount]],Table1[[#This Row],[Discounted_Amount]]+Table1[[#This Row],[Delivery_Charge]])</f>
        <v>849.64</v>
      </c>
      <c r="Y500" s="4" t="str">
        <f>Table1[[#This Row],[First_Name]]&amp;" "&amp;Table1[[#This Row],[Last_Name]]</f>
        <v>Amanda Howard</v>
      </c>
      <c r="Z500" s="4" t="str">
        <f>IF(T:T&gt;Table1[[#This Row],[Estimated_Days_to_Deliver]],"Late",IF(T:T=Table1[[#This Row],[Estimated_Days_to_Deliver]],"Intime","BeforeTime"))</f>
        <v>Intime</v>
      </c>
      <c r="AA500" s="4">
        <f>MONTH(Table1[[#This Row],[Order_Date]])</f>
        <v>6</v>
      </c>
      <c r="AB500" s="13">
        <f>Table1[[#This Row],[Amount]]*Table1[[#This Row],[Discount_Percent]]</f>
        <v>0</v>
      </c>
    </row>
    <row r="501" spans="1:28" ht="14.25" customHeight="1">
      <c r="A501" s="1" t="s">
        <v>239</v>
      </c>
      <c r="B501" s="1" t="s">
        <v>68</v>
      </c>
      <c r="C501" s="1" t="s">
        <v>240</v>
      </c>
      <c r="D501" s="1">
        <v>52</v>
      </c>
      <c r="E501" s="1" t="s">
        <v>54</v>
      </c>
      <c r="F501" s="1" t="s">
        <v>44</v>
      </c>
      <c r="G501" s="1" t="s">
        <v>241</v>
      </c>
      <c r="H501" s="1" t="s">
        <v>242</v>
      </c>
      <c r="I501" s="1" t="s">
        <v>2056</v>
      </c>
      <c r="J501" s="24">
        <v>45501</v>
      </c>
      <c r="K501" s="1" t="s">
        <v>2057</v>
      </c>
      <c r="L501" s="1" t="s">
        <v>421</v>
      </c>
      <c r="M501" s="1">
        <v>44.5</v>
      </c>
      <c r="N501" s="1">
        <v>4</v>
      </c>
      <c r="O501" s="1" t="s">
        <v>65</v>
      </c>
      <c r="P501" s="1">
        <v>5</v>
      </c>
      <c r="Q501" s="1">
        <v>45</v>
      </c>
      <c r="R501" s="24">
        <v>45504</v>
      </c>
      <c r="S501" s="1" t="s">
        <v>2058</v>
      </c>
      <c r="T501" s="4">
        <f>Table1[[#This Row],[Delivery_Date]]-Table1[[#This Row],[Order_Date]]</f>
        <v>3</v>
      </c>
      <c r="U501" s="4">
        <f>Table1[[#This Row],[Price]]*Table1[[#This Row],[Quantity]]</f>
        <v>178</v>
      </c>
      <c r="V501" s="11">
        <f t="shared" si="7"/>
        <v>0</v>
      </c>
      <c r="W501" s="4">
        <f>Table1[[#This Row],[Amount]]-(Table1[[#This Row],[Amount]]*Table1[[#This Row],[Discount_Percent]])</f>
        <v>178</v>
      </c>
      <c r="X501" s="4">
        <f>IF(O501="DEL0", Table1[[#This Row],[Discounted_Amount]],Table1[[#This Row],[Discounted_Amount]]+Table1[[#This Row],[Delivery_Charge]])</f>
        <v>178</v>
      </c>
      <c r="Y501" s="4" t="str">
        <f>Table1[[#This Row],[First_Name]]&amp;" "&amp;Table1[[#This Row],[Last_Name]]</f>
        <v>Angela Evans</v>
      </c>
      <c r="Z501" s="4" t="str">
        <f>IF(T:T&gt;Table1[[#This Row],[Estimated_Days_to_Deliver]],"Late",IF(T:T=Table1[[#This Row],[Estimated_Days_to_Deliver]],"Intime","BeforeTime"))</f>
        <v>BeforeTime</v>
      </c>
      <c r="AA501" s="4">
        <f>MONTH(Table1[[#This Row],[Order_Date]])</f>
        <v>7</v>
      </c>
      <c r="AB501" s="13">
        <f>Table1[[#This Row],[Amount]]*Table1[[#This Row],[Discount_Percent]]</f>
        <v>0</v>
      </c>
    </row>
    <row r="502" spans="1:28" ht="14.25" customHeight="1"/>
    <row r="503" spans="1:28" ht="14.25" customHeight="1"/>
    <row r="504" spans="1:28" ht="14.25" customHeight="1"/>
    <row r="505" spans="1:28" ht="14.25" customHeight="1"/>
    <row r="506" spans="1:28" ht="14.25" customHeight="1"/>
    <row r="507" spans="1:28" ht="14.25" customHeight="1"/>
    <row r="508" spans="1:28" ht="14.25" customHeight="1"/>
    <row r="509" spans="1:28" ht="14.25" customHeight="1"/>
    <row r="510" spans="1:28" ht="14.25" customHeight="1"/>
    <row r="511" spans="1:28" ht="14.25" customHeight="1"/>
    <row r="512" spans="1:28"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FC53F-3BBD-4AAB-9631-A3A1FD098FBB}">
  <dimension ref="A1:AB510"/>
  <sheetViews>
    <sheetView topLeftCell="A2" workbookViewId="0">
      <selection activeCell="B8" sqref="B8"/>
    </sheetView>
  </sheetViews>
  <sheetFormatPr defaultRowHeight="14.45"/>
  <cols>
    <col min="1" max="1" width="14.140625" bestFit="1" customWidth="1"/>
    <col min="2" max="2" width="12.7109375" bestFit="1" customWidth="1"/>
    <col min="3" max="3" width="12.5703125" bestFit="1" customWidth="1"/>
    <col min="4" max="4" width="6.42578125" bestFit="1" customWidth="1"/>
    <col min="5" max="5" width="9.28515625" bestFit="1" customWidth="1"/>
    <col min="6" max="6" width="12" bestFit="1" customWidth="1"/>
    <col min="7" max="7" width="28.85546875" bestFit="1" customWidth="1"/>
    <col min="8" max="8" width="49.5703125" bestFit="1" customWidth="1"/>
    <col min="9" max="9" width="10.7109375" bestFit="1" customWidth="1"/>
    <col min="10" max="10" width="12.85546875" bestFit="1" customWidth="1"/>
    <col min="11" max="11" width="13.140625" bestFit="1" customWidth="1"/>
    <col min="12" max="12" width="12.7109375" bestFit="1" customWidth="1"/>
    <col min="13" max="13" width="7.28515625" bestFit="1" customWidth="1"/>
    <col min="14" max="14" width="10.5703125" bestFit="1" customWidth="1"/>
    <col min="15" max="15" width="15.28515625" bestFit="1" customWidth="1"/>
    <col min="16" max="16" width="26.42578125" bestFit="1" customWidth="1"/>
    <col min="17" max="17" width="17" bestFit="1" customWidth="1"/>
    <col min="18" max="18" width="14.85546875" bestFit="1" customWidth="1"/>
    <col min="19" max="19" width="15.140625" bestFit="1" customWidth="1"/>
    <col min="20" max="20" width="16.85546875" bestFit="1" customWidth="1"/>
    <col min="21" max="21" width="10.140625" bestFit="1" customWidth="1"/>
    <col min="22" max="22" width="18.140625" style="9" bestFit="1" customWidth="1"/>
    <col min="23" max="23" width="20.7109375" bestFit="1" customWidth="1"/>
    <col min="24" max="24" width="29.85546875" bestFit="1" customWidth="1"/>
    <col min="25" max="25" width="16.7109375" bestFit="1" customWidth="1"/>
    <col min="26" max="26" width="16.28515625" bestFit="1" customWidth="1"/>
    <col min="28" max="28" width="17.140625" customWidth="1"/>
  </cols>
  <sheetData>
    <row r="1" spans="1:28">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8" t="s">
        <v>21</v>
      </c>
      <c r="W1" s="7" t="s">
        <v>22</v>
      </c>
      <c r="X1" s="7" t="s">
        <v>23</v>
      </c>
      <c r="Y1" s="7" t="s">
        <v>24</v>
      </c>
      <c r="Z1" s="7" t="s">
        <v>25</v>
      </c>
      <c r="AA1" s="12" t="s">
        <v>26</v>
      </c>
      <c r="AB1" t="s">
        <v>27</v>
      </c>
    </row>
    <row r="2" spans="1:28">
      <c r="A2" s="15" t="s">
        <v>770</v>
      </c>
      <c r="B2" s="15" t="s">
        <v>771</v>
      </c>
      <c r="C2" s="15" t="s">
        <v>772</v>
      </c>
      <c r="D2" s="15">
        <v>27</v>
      </c>
      <c r="E2" s="15" t="s">
        <v>31</v>
      </c>
      <c r="F2" s="15" t="s">
        <v>44</v>
      </c>
      <c r="G2" s="15" t="s">
        <v>773</v>
      </c>
      <c r="H2" s="15" t="s">
        <v>774</v>
      </c>
      <c r="I2" s="15" t="s">
        <v>775</v>
      </c>
      <c r="J2" s="15">
        <v>45183</v>
      </c>
      <c r="K2" s="15" t="s">
        <v>776</v>
      </c>
      <c r="L2" s="15" t="s">
        <v>777</v>
      </c>
      <c r="M2" s="15">
        <v>20</v>
      </c>
      <c r="N2" s="15">
        <v>1</v>
      </c>
      <c r="O2" s="15" t="s">
        <v>98</v>
      </c>
      <c r="P2" s="15">
        <v>4</v>
      </c>
      <c r="Q2" s="15">
        <v>68</v>
      </c>
      <c r="R2" s="15">
        <v>45185</v>
      </c>
      <c r="S2" s="15" t="s">
        <v>778</v>
      </c>
      <c r="T2" s="15">
        <v>2</v>
      </c>
      <c r="U2" s="15">
        <v>20</v>
      </c>
      <c r="V2" s="16">
        <v>0.1</v>
      </c>
      <c r="W2" s="15">
        <v>18</v>
      </c>
      <c r="X2" s="15">
        <v>86</v>
      </c>
      <c r="Y2" s="15" t="s">
        <v>2059</v>
      </c>
      <c r="Z2" s="15" t="s">
        <v>2060</v>
      </c>
      <c r="AA2" s="17">
        <v>3</v>
      </c>
      <c r="AB2">
        <v>123.55200000000001</v>
      </c>
    </row>
    <row r="3" spans="1:28">
      <c r="A3" s="18" t="s">
        <v>1194</v>
      </c>
      <c r="B3" s="18" t="s">
        <v>42</v>
      </c>
      <c r="C3" s="18" t="s">
        <v>1195</v>
      </c>
      <c r="D3" s="18">
        <v>34</v>
      </c>
      <c r="E3" s="18" t="s">
        <v>54</v>
      </c>
      <c r="F3" s="18" t="s">
        <v>223</v>
      </c>
      <c r="G3" s="18" t="s">
        <v>1196</v>
      </c>
      <c r="H3" s="18" t="s">
        <v>1197</v>
      </c>
      <c r="I3" s="18" t="s">
        <v>1569</v>
      </c>
      <c r="J3" s="18">
        <v>45085</v>
      </c>
      <c r="K3" s="18" t="s">
        <v>1570</v>
      </c>
      <c r="L3" s="18" t="s">
        <v>202</v>
      </c>
      <c r="M3" s="18">
        <v>20.7</v>
      </c>
      <c r="N3" s="18">
        <v>1</v>
      </c>
      <c r="O3" s="18" t="s">
        <v>65</v>
      </c>
      <c r="P3" s="18">
        <v>5</v>
      </c>
      <c r="Q3" s="18">
        <v>51</v>
      </c>
      <c r="R3" s="18">
        <v>45086</v>
      </c>
      <c r="S3" s="18" t="s">
        <v>1571</v>
      </c>
      <c r="T3" s="18">
        <v>1</v>
      </c>
      <c r="U3" s="18">
        <v>20.7</v>
      </c>
      <c r="V3" s="19">
        <v>0</v>
      </c>
      <c r="W3" s="18">
        <v>20.7</v>
      </c>
      <c r="X3" s="18">
        <v>20.7</v>
      </c>
      <c r="Y3" s="18" t="s">
        <v>2061</v>
      </c>
      <c r="Z3" s="18" t="s">
        <v>2060</v>
      </c>
      <c r="AA3" s="20">
        <v>3</v>
      </c>
      <c r="AB3">
        <v>53.209600000000002</v>
      </c>
    </row>
    <row r="4" spans="1:28">
      <c r="A4" s="15" t="s">
        <v>187</v>
      </c>
      <c r="B4" s="15" t="s">
        <v>188</v>
      </c>
      <c r="C4" s="15" t="s">
        <v>189</v>
      </c>
      <c r="D4" s="15">
        <v>42</v>
      </c>
      <c r="E4" s="15" t="s">
        <v>43</v>
      </c>
      <c r="F4" s="15" t="s">
        <v>170</v>
      </c>
      <c r="G4" s="15" t="s">
        <v>190</v>
      </c>
      <c r="H4" s="15" t="s">
        <v>191</v>
      </c>
      <c r="I4" s="15" t="s">
        <v>2005</v>
      </c>
      <c r="J4" s="15">
        <v>45290</v>
      </c>
      <c r="K4" s="15" t="s">
        <v>2006</v>
      </c>
      <c r="L4" s="15" t="s">
        <v>202</v>
      </c>
      <c r="M4" s="15">
        <v>20.7</v>
      </c>
      <c r="N4" s="15">
        <v>1</v>
      </c>
      <c r="O4" s="15" t="s">
        <v>98</v>
      </c>
      <c r="P4" s="15">
        <v>5</v>
      </c>
      <c r="Q4" s="15">
        <v>55</v>
      </c>
      <c r="R4" s="15">
        <v>45291</v>
      </c>
      <c r="S4" s="15" t="s">
        <v>2007</v>
      </c>
      <c r="T4" s="15">
        <v>1</v>
      </c>
      <c r="U4" s="15">
        <v>20.7</v>
      </c>
      <c r="V4" s="16">
        <v>0.1</v>
      </c>
      <c r="W4" s="15">
        <v>18.63</v>
      </c>
      <c r="X4" s="15">
        <v>73.63</v>
      </c>
      <c r="Y4" s="15" t="s">
        <v>2062</v>
      </c>
      <c r="Z4" s="15" t="s">
        <v>2060</v>
      </c>
      <c r="AA4" s="17">
        <v>2</v>
      </c>
      <c r="AB4">
        <v>30.380999999999997</v>
      </c>
    </row>
    <row r="5" spans="1:28">
      <c r="A5" s="18" t="s">
        <v>139</v>
      </c>
      <c r="B5" s="18" t="s">
        <v>140</v>
      </c>
      <c r="C5" s="18" t="s">
        <v>141</v>
      </c>
      <c r="D5" s="18">
        <v>25</v>
      </c>
      <c r="E5" s="18" t="s">
        <v>54</v>
      </c>
      <c r="F5" s="18" t="s">
        <v>142</v>
      </c>
      <c r="G5" s="18" t="s">
        <v>143</v>
      </c>
      <c r="H5" s="18" t="s">
        <v>144</v>
      </c>
      <c r="I5" s="18" t="s">
        <v>985</v>
      </c>
      <c r="J5" s="18">
        <v>45580</v>
      </c>
      <c r="K5" s="18" t="s">
        <v>986</v>
      </c>
      <c r="L5" s="18" t="s">
        <v>987</v>
      </c>
      <c r="M5" s="18">
        <v>33.49</v>
      </c>
      <c r="N5" s="18">
        <v>1</v>
      </c>
      <c r="O5" s="18" t="s">
        <v>65</v>
      </c>
      <c r="P5" s="18">
        <v>1</v>
      </c>
      <c r="Q5" s="18">
        <v>59</v>
      </c>
      <c r="R5" s="18">
        <v>45585</v>
      </c>
      <c r="S5" s="18" t="s">
        <v>988</v>
      </c>
      <c r="T5" s="18">
        <v>5</v>
      </c>
      <c r="U5" s="18">
        <v>33.49</v>
      </c>
      <c r="V5" s="19">
        <v>0</v>
      </c>
      <c r="W5" s="18">
        <v>33.49</v>
      </c>
      <c r="X5" s="18">
        <v>33.49</v>
      </c>
      <c r="Y5" s="18" t="s">
        <v>2063</v>
      </c>
      <c r="Z5" s="18" t="s">
        <v>2064</v>
      </c>
      <c r="AA5" s="20">
        <v>5</v>
      </c>
      <c r="AB5">
        <v>0</v>
      </c>
    </row>
    <row r="6" spans="1:28">
      <c r="A6" s="15" t="s">
        <v>642</v>
      </c>
      <c r="B6" s="15" t="s">
        <v>150</v>
      </c>
      <c r="C6" s="15" t="s">
        <v>643</v>
      </c>
      <c r="D6" s="15">
        <v>44</v>
      </c>
      <c r="E6" s="15" t="s">
        <v>54</v>
      </c>
      <c r="F6" s="15" t="s">
        <v>92</v>
      </c>
      <c r="G6" s="15" t="s">
        <v>644</v>
      </c>
      <c r="H6" s="15" t="s">
        <v>645</v>
      </c>
      <c r="I6" s="15" t="s">
        <v>1095</v>
      </c>
      <c r="J6" s="15">
        <v>45285</v>
      </c>
      <c r="K6" s="15" t="s">
        <v>1096</v>
      </c>
      <c r="L6" s="15" t="s">
        <v>987</v>
      </c>
      <c r="M6" s="15">
        <v>33.49</v>
      </c>
      <c r="N6" s="15">
        <v>1</v>
      </c>
      <c r="O6" s="15" t="s">
        <v>38</v>
      </c>
      <c r="P6" s="15">
        <v>2</v>
      </c>
      <c r="Q6" s="15">
        <v>67</v>
      </c>
      <c r="R6" s="15">
        <v>45286</v>
      </c>
      <c r="S6" s="15" t="s">
        <v>1097</v>
      </c>
      <c r="T6" s="15">
        <v>1</v>
      </c>
      <c r="U6" s="15">
        <v>33.49</v>
      </c>
      <c r="V6" s="16">
        <v>0.08</v>
      </c>
      <c r="W6" s="15">
        <v>30.8108</v>
      </c>
      <c r="X6" s="15">
        <v>97.8108</v>
      </c>
      <c r="Y6" s="15" t="s">
        <v>2065</v>
      </c>
      <c r="Z6" s="15" t="s">
        <v>2060</v>
      </c>
      <c r="AA6" s="17">
        <v>4</v>
      </c>
      <c r="AB6">
        <v>13.3024</v>
      </c>
    </row>
    <row r="7" spans="1:28">
      <c r="A7" s="18" t="s">
        <v>523</v>
      </c>
      <c r="B7" s="18" t="s">
        <v>524</v>
      </c>
      <c r="C7" s="18" t="s">
        <v>525</v>
      </c>
      <c r="D7" s="18">
        <v>42</v>
      </c>
      <c r="E7" s="18" t="s">
        <v>54</v>
      </c>
      <c r="F7" s="18" t="s">
        <v>78</v>
      </c>
      <c r="G7" s="18" t="s">
        <v>526</v>
      </c>
      <c r="H7" s="18" t="s">
        <v>527</v>
      </c>
      <c r="I7" s="18" t="s">
        <v>1564</v>
      </c>
      <c r="J7" s="18">
        <v>45666</v>
      </c>
      <c r="K7" s="18" t="s">
        <v>1565</v>
      </c>
      <c r="L7" s="18" t="s">
        <v>987</v>
      </c>
      <c r="M7" s="18">
        <v>33.49</v>
      </c>
      <c r="N7" s="18">
        <v>1</v>
      </c>
      <c r="O7" s="18" t="s">
        <v>87</v>
      </c>
      <c r="P7" s="18">
        <v>4</v>
      </c>
      <c r="Q7" s="18">
        <v>61</v>
      </c>
      <c r="R7" s="18">
        <v>45668</v>
      </c>
      <c r="S7" s="18" t="s">
        <v>1456</v>
      </c>
      <c r="T7" s="18">
        <v>2</v>
      </c>
      <c r="U7" s="18">
        <v>33.49</v>
      </c>
      <c r="V7" s="19">
        <v>0.2</v>
      </c>
      <c r="W7" s="18">
        <v>26.792000000000002</v>
      </c>
      <c r="X7" s="18">
        <v>87.792000000000002</v>
      </c>
      <c r="Y7" s="18" t="s">
        <v>2066</v>
      </c>
      <c r="Z7" s="18" t="s">
        <v>2060</v>
      </c>
      <c r="AA7" s="20">
        <v>9</v>
      </c>
      <c r="AB7">
        <v>198.066</v>
      </c>
    </row>
    <row r="8" spans="1:28">
      <c r="A8" s="15" t="s">
        <v>1617</v>
      </c>
      <c r="B8" s="15" t="s">
        <v>276</v>
      </c>
      <c r="C8" s="15" t="s">
        <v>1618</v>
      </c>
      <c r="D8" s="15">
        <v>62</v>
      </c>
      <c r="E8" s="15" t="s">
        <v>43</v>
      </c>
      <c r="F8" s="15" t="s">
        <v>44</v>
      </c>
      <c r="G8" s="15" t="s">
        <v>1619</v>
      </c>
      <c r="H8" s="15" t="s">
        <v>1620</v>
      </c>
      <c r="I8" s="15" t="s">
        <v>1917</v>
      </c>
      <c r="J8" s="15">
        <v>45380</v>
      </c>
      <c r="K8" s="15" t="s">
        <v>1918</v>
      </c>
      <c r="L8" s="15" t="s">
        <v>987</v>
      </c>
      <c r="M8" s="15">
        <v>33.49</v>
      </c>
      <c r="N8" s="15">
        <v>1</v>
      </c>
      <c r="O8" s="15" t="s">
        <v>65</v>
      </c>
      <c r="P8" s="15">
        <v>2</v>
      </c>
      <c r="Q8" s="15">
        <v>69</v>
      </c>
      <c r="R8" s="15">
        <v>45385</v>
      </c>
      <c r="S8" s="15" t="s">
        <v>1919</v>
      </c>
      <c r="T8" s="15">
        <v>5</v>
      </c>
      <c r="U8" s="15">
        <v>33.49</v>
      </c>
      <c r="V8" s="16">
        <v>0</v>
      </c>
      <c r="W8" s="15">
        <v>33.49</v>
      </c>
      <c r="X8" s="15">
        <v>33.49</v>
      </c>
      <c r="Y8" s="15" t="s">
        <v>2067</v>
      </c>
      <c r="Z8" s="15" t="s">
        <v>2064</v>
      </c>
      <c r="AA8" s="17">
        <v>1</v>
      </c>
      <c r="AB8">
        <v>308.88000000000005</v>
      </c>
    </row>
    <row r="9" spans="1:28">
      <c r="A9" s="18" t="s">
        <v>708</v>
      </c>
      <c r="B9" s="18" t="s">
        <v>709</v>
      </c>
      <c r="C9" s="18" t="s">
        <v>710</v>
      </c>
      <c r="D9" s="18">
        <v>26</v>
      </c>
      <c r="E9" s="18" t="s">
        <v>54</v>
      </c>
      <c r="F9" s="18" t="s">
        <v>78</v>
      </c>
      <c r="G9" s="18" t="s">
        <v>711</v>
      </c>
      <c r="H9" s="18" t="s">
        <v>712</v>
      </c>
      <c r="I9" s="18" t="s">
        <v>2029</v>
      </c>
      <c r="J9" s="18">
        <v>45204</v>
      </c>
      <c r="K9" s="18" t="s">
        <v>2030</v>
      </c>
      <c r="L9" s="18" t="s">
        <v>987</v>
      </c>
      <c r="M9" s="18">
        <v>33.49</v>
      </c>
      <c r="N9" s="18">
        <v>1</v>
      </c>
      <c r="O9" s="18" t="s">
        <v>60</v>
      </c>
      <c r="P9" s="18">
        <v>4</v>
      </c>
      <c r="Q9" s="18">
        <v>44</v>
      </c>
      <c r="R9" s="18">
        <v>45206</v>
      </c>
      <c r="S9" s="18" t="s">
        <v>2031</v>
      </c>
      <c r="T9" s="18">
        <v>2</v>
      </c>
      <c r="U9" s="18">
        <v>33.49</v>
      </c>
      <c r="V9" s="19">
        <v>0.15</v>
      </c>
      <c r="W9" s="18">
        <v>28.466500000000003</v>
      </c>
      <c r="X9" s="18">
        <v>72.466499999999996</v>
      </c>
      <c r="Y9" s="18" t="s">
        <v>2068</v>
      </c>
      <c r="Z9" s="18" t="s">
        <v>2060</v>
      </c>
      <c r="AA9" s="20">
        <v>6</v>
      </c>
      <c r="AB9">
        <v>109.09200000000001</v>
      </c>
    </row>
    <row r="10" spans="1:28">
      <c r="A10" s="15" t="s">
        <v>167</v>
      </c>
      <c r="B10" s="15" t="s">
        <v>168</v>
      </c>
      <c r="C10" s="15" t="s">
        <v>169</v>
      </c>
      <c r="D10" s="15">
        <v>46</v>
      </c>
      <c r="E10" s="15" t="s">
        <v>31</v>
      </c>
      <c r="F10" s="15" t="s">
        <v>170</v>
      </c>
      <c r="G10" s="15" t="s">
        <v>171</v>
      </c>
      <c r="H10" s="15" t="s">
        <v>172</v>
      </c>
      <c r="I10" s="15" t="s">
        <v>1489</v>
      </c>
      <c r="J10" s="15">
        <v>45479</v>
      </c>
      <c r="K10" s="15" t="s">
        <v>1490</v>
      </c>
      <c r="L10" s="15" t="s">
        <v>777</v>
      </c>
      <c r="M10" s="15">
        <v>20</v>
      </c>
      <c r="N10" s="15">
        <v>2</v>
      </c>
      <c r="O10" s="15" t="s">
        <v>98</v>
      </c>
      <c r="P10" s="15">
        <v>3</v>
      </c>
      <c r="Q10" s="15">
        <v>38</v>
      </c>
      <c r="R10" s="15">
        <v>45485</v>
      </c>
      <c r="S10" s="15" t="s">
        <v>1491</v>
      </c>
      <c r="T10" s="15">
        <v>6</v>
      </c>
      <c r="U10" s="15">
        <v>40</v>
      </c>
      <c r="V10" s="16">
        <v>0.1</v>
      </c>
      <c r="W10" s="15">
        <v>36</v>
      </c>
      <c r="X10" s="15">
        <v>74</v>
      </c>
      <c r="Y10" s="15" t="s">
        <v>2069</v>
      </c>
      <c r="Z10" s="15" t="s">
        <v>2064</v>
      </c>
      <c r="AA10" s="17">
        <v>4</v>
      </c>
      <c r="AB10">
        <v>22.0352</v>
      </c>
    </row>
    <row r="11" spans="1:28">
      <c r="A11" s="18" t="s">
        <v>461</v>
      </c>
      <c r="B11" s="18" t="s">
        <v>462</v>
      </c>
      <c r="C11" s="18" t="s">
        <v>463</v>
      </c>
      <c r="D11" s="18">
        <v>63</v>
      </c>
      <c r="E11" s="18" t="s">
        <v>31</v>
      </c>
      <c r="F11" s="18" t="s">
        <v>142</v>
      </c>
      <c r="G11" s="18" t="s">
        <v>464</v>
      </c>
      <c r="H11" s="18" t="s">
        <v>465</v>
      </c>
      <c r="I11" s="18" t="s">
        <v>1519</v>
      </c>
      <c r="J11" s="18">
        <v>45623</v>
      </c>
      <c r="K11" s="18" t="s">
        <v>1520</v>
      </c>
      <c r="L11" s="18" t="s">
        <v>777</v>
      </c>
      <c r="M11" s="18">
        <v>20</v>
      </c>
      <c r="N11" s="18">
        <v>2</v>
      </c>
      <c r="O11" s="18" t="s">
        <v>65</v>
      </c>
      <c r="P11" s="18">
        <v>5</v>
      </c>
      <c r="Q11" s="18">
        <v>55</v>
      </c>
      <c r="R11" s="18">
        <v>45629</v>
      </c>
      <c r="S11" s="18" t="s">
        <v>1521</v>
      </c>
      <c r="T11" s="18">
        <v>6</v>
      </c>
      <c r="U11" s="18">
        <v>40</v>
      </c>
      <c r="V11" s="19">
        <v>0</v>
      </c>
      <c r="W11" s="18">
        <v>40</v>
      </c>
      <c r="X11" s="18">
        <v>40</v>
      </c>
      <c r="Y11" s="18" t="s">
        <v>2070</v>
      </c>
      <c r="Z11" s="18" t="s">
        <v>2064</v>
      </c>
      <c r="AA11" s="20">
        <v>12</v>
      </c>
      <c r="AB11">
        <v>7.2675000000000001</v>
      </c>
    </row>
    <row r="12" spans="1:28">
      <c r="A12" s="15" t="s">
        <v>178</v>
      </c>
      <c r="B12" s="15" t="s">
        <v>179</v>
      </c>
      <c r="C12" s="15" t="s">
        <v>180</v>
      </c>
      <c r="D12" s="15">
        <v>36</v>
      </c>
      <c r="E12" s="15" t="s">
        <v>54</v>
      </c>
      <c r="F12" s="15" t="s">
        <v>142</v>
      </c>
      <c r="G12" s="15" t="s">
        <v>181</v>
      </c>
      <c r="H12" s="15" t="s">
        <v>182</v>
      </c>
      <c r="I12" s="15" t="s">
        <v>1785</v>
      </c>
      <c r="J12" s="15">
        <v>45194</v>
      </c>
      <c r="K12" s="15" t="s">
        <v>1786</v>
      </c>
      <c r="L12" s="15" t="s">
        <v>777</v>
      </c>
      <c r="M12" s="15">
        <v>20</v>
      </c>
      <c r="N12" s="15">
        <v>2</v>
      </c>
      <c r="O12" s="15" t="s">
        <v>98</v>
      </c>
      <c r="P12" s="15">
        <v>1</v>
      </c>
      <c r="Q12" s="15">
        <v>68</v>
      </c>
      <c r="R12" s="15">
        <v>45195</v>
      </c>
      <c r="S12" s="15" t="s">
        <v>1787</v>
      </c>
      <c r="T12" s="15">
        <v>1</v>
      </c>
      <c r="U12" s="15">
        <v>40</v>
      </c>
      <c r="V12" s="16">
        <v>0.1</v>
      </c>
      <c r="W12" s="15">
        <v>36</v>
      </c>
      <c r="X12" s="15">
        <v>104</v>
      </c>
      <c r="Y12" s="15" t="s">
        <v>2071</v>
      </c>
      <c r="Z12" s="15" t="s">
        <v>2072</v>
      </c>
      <c r="AA12" s="17">
        <v>10</v>
      </c>
      <c r="AB12">
        <v>0</v>
      </c>
    </row>
    <row r="13" spans="1:28">
      <c r="A13" s="18" t="s">
        <v>404</v>
      </c>
      <c r="B13" s="18" t="s">
        <v>405</v>
      </c>
      <c r="C13" s="18" t="s">
        <v>406</v>
      </c>
      <c r="D13" s="18">
        <v>70</v>
      </c>
      <c r="E13" s="18" t="s">
        <v>31</v>
      </c>
      <c r="F13" s="18" t="s">
        <v>32</v>
      </c>
      <c r="G13" s="18" t="s">
        <v>407</v>
      </c>
      <c r="H13" s="18" t="s">
        <v>408</v>
      </c>
      <c r="I13" s="18" t="s">
        <v>409</v>
      </c>
      <c r="J13" s="18">
        <v>45545</v>
      </c>
      <c r="K13" s="18" t="s">
        <v>410</v>
      </c>
      <c r="L13" s="18" t="s">
        <v>202</v>
      </c>
      <c r="M13" s="18">
        <v>20.7</v>
      </c>
      <c r="N13" s="18">
        <v>2</v>
      </c>
      <c r="O13" s="18" t="s">
        <v>98</v>
      </c>
      <c r="P13" s="18">
        <v>2</v>
      </c>
      <c r="Q13" s="18">
        <v>50</v>
      </c>
      <c r="R13" s="18">
        <v>45547</v>
      </c>
      <c r="S13" s="18" t="s">
        <v>411</v>
      </c>
      <c r="T13" s="18">
        <v>2</v>
      </c>
      <c r="U13" s="18">
        <v>41.4</v>
      </c>
      <c r="V13" s="19">
        <v>0.1</v>
      </c>
      <c r="W13" s="18">
        <v>37.26</v>
      </c>
      <c r="X13" s="18">
        <v>87.259999999999991</v>
      </c>
      <c r="Y13" s="18" t="s">
        <v>2073</v>
      </c>
      <c r="Z13" s="18" t="s">
        <v>2072</v>
      </c>
      <c r="AA13" s="20">
        <v>7</v>
      </c>
      <c r="AB13">
        <v>0</v>
      </c>
    </row>
    <row r="14" spans="1:28">
      <c r="A14" s="15" t="s">
        <v>779</v>
      </c>
      <c r="B14" s="15" t="s">
        <v>780</v>
      </c>
      <c r="C14" s="15" t="s">
        <v>781</v>
      </c>
      <c r="D14" s="15">
        <v>32</v>
      </c>
      <c r="E14" s="15" t="s">
        <v>31</v>
      </c>
      <c r="F14" s="15" t="s">
        <v>161</v>
      </c>
      <c r="G14" s="15" t="s">
        <v>782</v>
      </c>
      <c r="H14" s="15" t="s">
        <v>783</v>
      </c>
      <c r="I14" s="15" t="s">
        <v>784</v>
      </c>
      <c r="J14" s="15">
        <v>45106</v>
      </c>
      <c r="K14" s="15" t="s">
        <v>785</v>
      </c>
      <c r="L14" s="15" t="s">
        <v>202</v>
      </c>
      <c r="M14" s="15">
        <v>20.7</v>
      </c>
      <c r="N14" s="15">
        <v>2</v>
      </c>
      <c r="O14" s="15" t="s">
        <v>65</v>
      </c>
      <c r="P14" s="15">
        <v>7</v>
      </c>
      <c r="Q14" s="15">
        <v>43</v>
      </c>
      <c r="R14" s="15">
        <v>45107</v>
      </c>
      <c r="S14" s="15" t="s">
        <v>786</v>
      </c>
      <c r="T14" s="15">
        <v>1</v>
      </c>
      <c r="U14" s="15">
        <v>41.4</v>
      </c>
      <c r="V14" s="16">
        <v>0</v>
      </c>
      <c r="W14" s="15">
        <v>41.4</v>
      </c>
      <c r="X14" s="15">
        <v>41.4</v>
      </c>
      <c r="Y14" s="15" t="s">
        <v>2074</v>
      </c>
      <c r="Z14" s="15" t="s">
        <v>2060</v>
      </c>
      <c r="AA14" s="17">
        <v>3</v>
      </c>
      <c r="AB14">
        <v>56.297600000000003</v>
      </c>
    </row>
    <row r="15" spans="1:28">
      <c r="A15" s="18" t="s">
        <v>423</v>
      </c>
      <c r="B15" s="18" t="s">
        <v>424</v>
      </c>
      <c r="C15" s="18" t="s">
        <v>425</v>
      </c>
      <c r="D15" s="18">
        <v>52</v>
      </c>
      <c r="E15" s="18" t="s">
        <v>54</v>
      </c>
      <c r="F15" s="18" t="s">
        <v>223</v>
      </c>
      <c r="G15" s="18" t="s">
        <v>426</v>
      </c>
      <c r="H15" s="18" t="s">
        <v>427</v>
      </c>
      <c r="I15" s="18" t="s">
        <v>1424</v>
      </c>
      <c r="J15" s="18">
        <v>45279</v>
      </c>
      <c r="K15" s="18" t="s">
        <v>1425</v>
      </c>
      <c r="L15" s="18" t="s">
        <v>202</v>
      </c>
      <c r="M15" s="18">
        <v>20.7</v>
      </c>
      <c r="N15" s="18">
        <v>2</v>
      </c>
      <c r="O15" s="18" t="s">
        <v>38</v>
      </c>
      <c r="P15" s="18">
        <v>7</v>
      </c>
      <c r="Q15" s="18">
        <v>39</v>
      </c>
      <c r="R15" s="18">
        <v>45286</v>
      </c>
      <c r="S15" s="18" t="s">
        <v>1426</v>
      </c>
      <c r="T15" s="18">
        <v>7</v>
      </c>
      <c r="U15" s="18">
        <v>41.4</v>
      </c>
      <c r="V15" s="19">
        <v>0.08</v>
      </c>
      <c r="W15" s="18">
        <v>38.088000000000001</v>
      </c>
      <c r="X15" s="18">
        <v>77.087999999999994</v>
      </c>
      <c r="Y15" s="18" t="s">
        <v>2075</v>
      </c>
      <c r="Z15" s="18" t="s">
        <v>2072</v>
      </c>
      <c r="AA15" s="20">
        <v>12</v>
      </c>
      <c r="AB15">
        <v>0</v>
      </c>
    </row>
    <row r="16" spans="1:28">
      <c r="A16" s="15" t="s">
        <v>1249</v>
      </c>
      <c r="B16" s="15" t="s">
        <v>68</v>
      </c>
      <c r="C16" s="15" t="s">
        <v>1250</v>
      </c>
      <c r="D16" s="15">
        <v>40</v>
      </c>
      <c r="E16" s="15" t="s">
        <v>31</v>
      </c>
      <c r="F16" s="15" t="s">
        <v>78</v>
      </c>
      <c r="G16" s="15" t="s">
        <v>1251</v>
      </c>
      <c r="H16" s="15" t="s">
        <v>1252</v>
      </c>
      <c r="I16" s="15" t="s">
        <v>1872</v>
      </c>
      <c r="J16" s="15">
        <v>45175</v>
      </c>
      <c r="K16" s="15" t="s">
        <v>1873</v>
      </c>
      <c r="L16" s="15" t="s">
        <v>202</v>
      </c>
      <c r="M16" s="15">
        <v>20.7</v>
      </c>
      <c r="N16" s="15">
        <v>2</v>
      </c>
      <c r="O16" s="15" t="s">
        <v>38</v>
      </c>
      <c r="P16" s="15">
        <v>5</v>
      </c>
      <c r="Q16" s="15">
        <v>61</v>
      </c>
      <c r="R16" s="15">
        <v>45177</v>
      </c>
      <c r="S16" s="15" t="s">
        <v>1874</v>
      </c>
      <c r="T16" s="15">
        <v>2</v>
      </c>
      <c r="U16" s="15">
        <v>41.4</v>
      </c>
      <c r="V16" s="16">
        <v>0.08</v>
      </c>
      <c r="W16" s="15">
        <v>38.088000000000001</v>
      </c>
      <c r="X16" s="15">
        <v>99.087999999999994</v>
      </c>
      <c r="Y16" s="15" t="s">
        <v>2076</v>
      </c>
      <c r="Z16" s="15" t="s">
        <v>2060</v>
      </c>
      <c r="AA16" s="17">
        <v>3</v>
      </c>
      <c r="AB16">
        <v>0</v>
      </c>
    </row>
    <row r="17" spans="1:28">
      <c r="A17" s="18" t="s">
        <v>1224</v>
      </c>
      <c r="B17" s="18" t="s">
        <v>1225</v>
      </c>
      <c r="C17" s="18" t="s">
        <v>1226</v>
      </c>
      <c r="D17" s="18">
        <v>19</v>
      </c>
      <c r="E17" s="18" t="s">
        <v>43</v>
      </c>
      <c r="F17" s="18" t="s">
        <v>78</v>
      </c>
      <c r="G17" s="18" t="s">
        <v>1227</v>
      </c>
      <c r="H17" s="18" t="s">
        <v>1228</v>
      </c>
      <c r="I17" s="18" t="s">
        <v>1433</v>
      </c>
      <c r="J17" s="18">
        <v>45272</v>
      </c>
      <c r="K17" s="18" t="s">
        <v>1434</v>
      </c>
      <c r="L17" s="18" t="s">
        <v>421</v>
      </c>
      <c r="M17" s="18">
        <v>44.5</v>
      </c>
      <c r="N17" s="18">
        <v>1</v>
      </c>
      <c r="O17" s="18" t="s">
        <v>98</v>
      </c>
      <c r="P17" s="18">
        <v>4</v>
      </c>
      <c r="Q17" s="18">
        <v>49</v>
      </c>
      <c r="R17" s="18">
        <v>45278</v>
      </c>
      <c r="S17" s="18" t="s">
        <v>1435</v>
      </c>
      <c r="T17" s="18">
        <v>6</v>
      </c>
      <c r="U17" s="18">
        <v>44.5</v>
      </c>
      <c r="V17" s="19">
        <v>0.1</v>
      </c>
      <c r="W17" s="18">
        <v>40.049999999999997</v>
      </c>
      <c r="X17" s="18">
        <v>89.05</v>
      </c>
      <c r="Y17" s="18" t="s">
        <v>2077</v>
      </c>
      <c r="Z17" s="18" t="s">
        <v>2064</v>
      </c>
      <c r="AA17" s="20">
        <v>6</v>
      </c>
      <c r="AB17">
        <v>0</v>
      </c>
    </row>
    <row r="18" spans="1:28">
      <c r="A18" s="15" t="s">
        <v>352</v>
      </c>
      <c r="B18" s="15" t="s">
        <v>353</v>
      </c>
      <c r="C18" s="15" t="s">
        <v>354</v>
      </c>
      <c r="D18" s="15">
        <v>70</v>
      </c>
      <c r="E18" s="15" t="s">
        <v>31</v>
      </c>
      <c r="F18" s="15" t="s">
        <v>170</v>
      </c>
      <c r="G18" s="15" t="s">
        <v>355</v>
      </c>
      <c r="H18" s="15" t="s">
        <v>356</v>
      </c>
      <c r="I18" s="15" t="s">
        <v>1675</v>
      </c>
      <c r="J18" s="15">
        <v>45270</v>
      </c>
      <c r="K18" s="15" t="s">
        <v>1676</v>
      </c>
      <c r="L18" s="15" t="s">
        <v>421</v>
      </c>
      <c r="M18" s="15">
        <v>44.5</v>
      </c>
      <c r="N18" s="15">
        <v>1</v>
      </c>
      <c r="O18" s="15" t="s">
        <v>65</v>
      </c>
      <c r="P18" s="15">
        <v>1</v>
      </c>
      <c r="Q18" s="15">
        <v>37</v>
      </c>
      <c r="R18" s="15">
        <v>45277</v>
      </c>
      <c r="S18" s="15" t="s">
        <v>1677</v>
      </c>
      <c r="T18" s="15">
        <v>7</v>
      </c>
      <c r="U18" s="15">
        <v>44.5</v>
      </c>
      <c r="V18" s="16">
        <v>0</v>
      </c>
      <c r="W18" s="15">
        <v>44.5</v>
      </c>
      <c r="X18" s="15">
        <v>44.5</v>
      </c>
      <c r="Y18" s="15" t="s">
        <v>2078</v>
      </c>
      <c r="Z18" s="15" t="s">
        <v>2064</v>
      </c>
      <c r="AA18" s="17">
        <v>2</v>
      </c>
      <c r="AB18">
        <v>109.004</v>
      </c>
    </row>
    <row r="19" spans="1:28">
      <c r="A19" s="18" t="s">
        <v>109</v>
      </c>
      <c r="B19" s="18" t="s">
        <v>110</v>
      </c>
      <c r="C19" s="18" t="s">
        <v>111</v>
      </c>
      <c r="D19" s="18">
        <v>48</v>
      </c>
      <c r="E19" s="18" t="s">
        <v>54</v>
      </c>
      <c r="F19" s="18" t="s">
        <v>44</v>
      </c>
      <c r="G19" s="18" t="s">
        <v>112</v>
      </c>
      <c r="H19" s="18" t="s">
        <v>113</v>
      </c>
      <c r="I19" s="18" t="s">
        <v>114</v>
      </c>
      <c r="J19" s="18">
        <v>45282</v>
      </c>
      <c r="K19" s="18" t="s">
        <v>115</v>
      </c>
      <c r="L19" s="18" t="s">
        <v>116</v>
      </c>
      <c r="M19" s="18">
        <v>48.45</v>
      </c>
      <c r="N19" s="18">
        <v>1</v>
      </c>
      <c r="O19" s="18" t="s">
        <v>60</v>
      </c>
      <c r="P19" s="18">
        <v>7</v>
      </c>
      <c r="Q19" s="18">
        <v>59</v>
      </c>
      <c r="R19" s="18">
        <v>45287</v>
      </c>
      <c r="S19" s="18" t="s">
        <v>117</v>
      </c>
      <c r="T19" s="18">
        <v>5</v>
      </c>
      <c r="U19" s="18">
        <v>48.45</v>
      </c>
      <c r="V19" s="19">
        <v>0.15</v>
      </c>
      <c r="W19" s="18">
        <v>41.182500000000005</v>
      </c>
      <c r="X19" s="18">
        <v>100.1825</v>
      </c>
      <c r="Y19" s="18" t="s">
        <v>2079</v>
      </c>
      <c r="Z19" s="18" t="s">
        <v>2060</v>
      </c>
      <c r="AA19" s="20">
        <v>9</v>
      </c>
      <c r="AB19">
        <v>0</v>
      </c>
    </row>
    <row r="20" spans="1:28">
      <c r="A20" s="15" t="s">
        <v>296</v>
      </c>
      <c r="B20" s="15" t="s">
        <v>297</v>
      </c>
      <c r="C20" s="15" t="s">
        <v>298</v>
      </c>
      <c r="D20" s="15">
        <v>48</v>
      </c>
      <c r="E20" s="15" t="s">
        <v>43</v>
      </c>
      <c r="F20" s="15" t="s">
        <v>92</v>
      </c>
      <c r="G20" s="15" t="s">
        <v>299</v>
      </c>
      <c r="H20" s="15" t="s">
        <v>300</v>
      </c>
      <c r="I20" s="15" t="s">
        <v>613</v>
      </c>
      <c r="J20" s="15">
        <v>45505</v>
      </c>
      <c r="K20" s="15" t="s">
        <v>614</v>
      </c>
      <c r="L20" s="15" t="s">
        <v>116</v>
      </c>
      <c r="M20" s="15">
        <v>48.45</v>
      </c>
      <c r="N20" s="15">
        <v>1</v>
      </c>
      <c r="O20" s="15" t="s">
        <v>60</v>
      </c>
      <c r="P20" s="15">
        <v>6</v>
      </c>
      <c r="Q20" s="15">
        <v>66</v>
      </c>
      <c r="R20" s="15">
        <v>45512</v>
      </c>
      <c r="S20" s="15" t="s">
        <v>615</v>
      </c>
      <c r="T20" s="15">
        <v>7</v>
      </c>
      <c r="U20" s="15">
        <v>48.45</v>
      </c>
      <c r="V20" s="16">
        <v>0.15</v>
      </c>
      <c r="W20" s="15">
        <v>41.182500000000005</v>
      </c>
      <c r="X20" s="15">
        <v>107.1825</v>
      </c>
      <c r="Y20" s="15" t="s">
        <v>2080</v>
      </c>
      <c r="Z20" s="15" t="s">
        <v>2064</v>
      </c>
      <c r="AA20" s="17">
        <v>1</v>
      </c>
      <c r="AB20">
        <v>19.380000000000003</v>
      </c>
    </row>
    <row r="21" spans="1:28">
      <c r="A21" s="18" t="s">
        <v>100</v>
      </c>
      <c r="B21" s="18" t="s">
        <v>101</v>
      </c>
      <c r="C21" s="18" t="s">
        <v>102</v>
      </c>
      <c r="D21" s="18">
        <v>39</v>
      </c>
      <c r="E21" s="18" t="s">
        <v>31</v>
      </c>
      <c r="F21" s="18" t="s">
        <v>32</v>
      </c>
      <c r="G21" s="18" t="s">
        <v>103</v>
      </c>
      <c r="H21" s="18" t="s">
        <v>104</v>
      </c>
      <c r="I21" s="18" t="s">
        <v>622</v>
      </c>
      <c r="J21" s="18">
        <v>45227</v>
      </c>
      <c r="K21" s="18" t="s">
        <v>623</v>
      </c>
      <c r="L21" s="18" t="s">
        <v>116</v>
      </c>
      <c r="M21" s="18">
        <v>48.45</v>
      </c>
      <c r="N21" s="18">
        <v>1</v>
      </c>
      <c r="O21" s="18" t="s">
        <v>87</v>
      </c>
      <c r="P21" s="18">
        <v>4</v>
      </c>
      <c r="Q21" s="18">
        <v>66</v>
      </c>
      <c r="R21" s="18">
        <v>45228</v>
      </c>
      <c r="S21" s="18" t="s">
        <v>624</v>
      </c>
      <c r="T21" s="18">
        <v>1</v>
      </c>
      <c r="U21" s="18">
        <v>48.45</v>
      </c>
      <c r="V21" s="19">
        <v>0.2</v>
      </c>
      <c r="W21" s="18">
        <v>38.760000000000005</v>
      </c>
      <c r="X21" s="18">
        <v>104.76</v>
      </c>
      <c r="Y21" s="18" t="s">
        <v>2081</v>
      </c>
      <c r="Z21" s="18" t="s">
        <v>2060</v>
      </c>
      <c r="AA21" s="20">
        <v>9</v>
      </c>
      <c r="AB21">
        <v>0</v>
      </c>
    </row>
    <row r="22" spans="1:28">
      <c r="A22" s="15" t="s">
        <v>674</v>
      </c>
      <c r="B22" s="15" t="s">
        <v>675</v>
      </c>
      <c r="C22" s="15" t="s">
        <v>676</v>
      </c>
      <c r="D22" s="15">
        <v>38</v>
      </c>
      <c r="E22" s="15" t="s">
        <v>43</v>
      </c>
      <c r="F22" s="15" t="s">
        <v>223</v>
      </c>
      <c r="G22" s="15" t="s">
        <v>677</v>
      </c>
      <c r="H22" s="15" t="s">
        <v>678</v>
      </c>
      <c r="I22" s="15" t="s">
        <v>1611</v>
      </c>
      <c r="J22" s="15">
        <v>45059</v>
      </c>
      <c r="K22" s="15" t="s">
        <v>1612</v>
      </c>
      <c r="L22" s="15" t="s">
        <v>116</v>
      </c>
      <c r="M22" s="15">
        <v>48.45</v>
      </c>
      <c r="N22" s="15">
        <v>1</v>
      </c>
      <c r="O22" s="15" t="s">
        <v>98</v>
      </c>
      <c r="P22" s="15">
        <v>2</v>
      </c>
      <c r="Q22" s="15">
        <v>41</v>
      </c>
      <c r="R22" s="15">
        <v>45062</v>
      </c>
      <c r="S22" s="15" t="s">
        <v>1613</v>
      </c>
      <c r="T22" s="15">
        <v>3</v>
      </c>
      <c r="U22" s="15">
        <v>48.45</v>
      </c>
      <c r="V22" s="16">
        <v>0.1</v>
      </c>
      <c r="W22" s="15">
        <v>43.605000000000004</v>
      </c>
      <c r="X22" s="15">
        <v>84.605000000000004</v>
      </c>
      <c r="Y22" s="15" t="s">
        <v>2082</v>
      </c>
      <c r="Z22" s="15" t="s">
        <v>2064</v>
      </c>
      <c r="AA22" s="17">
        <v>8</v>
      </c>
      <c r="AB22">
        <v>92.664000000000001</v>
      </c>
    </row>
    <row r="23" spans="1:28">
      <c r="A23" s="18" t="s">
        <v>1730</v>
      </c>
      <c r="B23" s="18" t="s">
        <v>1731</v>
      </c>
      <c r="C23" s="18" t="s">
        <v>371</v>
      </c>
      <c r="D23" s="18">
        <v>34</v>
      </c>
      <c r="E23" s="18" t="s">
        <v>54</v>
      </c>
      <c r="F23" s="18" t="s">
        <v>161</v>
      </c>
      <c r="G23" s="18" t="s">
        <v>1732</v>
      </c>
      <c r="H23" s="18" t="s">
        <v>1733</v>
      </c>
      <c r="I23" s="18" t="s">
        <v>1757</v>
      </c>
      <c r="J23" s="18">
        <v>45449</v>
      </c>
      <c r="K23" s="18" t="s">
        <v>1758</v>
      </c>
      <c r="L23" s="18" t="s">
        <v>116</v>
      </c>
      <c r="M23" s="18">
        <v>48.45</v>
      </c>
      <c r="N23" s="18">
        <v>1</v>
      </c>
      <c r="O23" s="18" t="s">
        <v>98</v>
      </c>
      <c r="P23" s="18">
        <v>5</v>
      </c>
      <c r="Q23" s="18">
        <v>38</v>
      </c>
      <c r="R23" s="18">
        <v>45456</v>
      </c>
      <c r="S23" s="18" t="s">
        <v>1759</v>
      </c>
      <c r="T23" s="18">
        <v>7</v>
      </c>
      <c r="U23" s="18">
        <v>48.45</v>
      </c>
      <c r="V23" s="19">
        <v>0.1</v>
      </c>
      <c r="W23" s="18">
        <v>43.605000000000004</v>
      </c>
      <c r="X23" s="18">
        <v>81.605000000000004</v>
      </c>
      <c r="Y23" s="18" t="s">
        <v>2083</v>
      </c>
      <c r="Z23" s="18" t="s">
        <v>2064</v>
      </c>
      <c r="AA23" s="20">
        <v>3</v>
      </c>
      <c r="AB23">
        <v>41.672000000000011</v>
      </c>
    </row>
    <row r="24" spans="1:28">
      <c r="A24" s="15" t="s">
        <v>1460</v>
      </c>
      <c r="B24" s="15" t="s">
        <v>276</v>
      </c>
      <c r="C24" s="15" t="s">
        <v>1461</v>
      </c>
      <c r="D24" s="15">
        <v>30</v>
      </c>
      <c r="E24" s="15" t="s">
        <v>31</v>
      </c>
      <c r="F24" s="15" t="s">
        <v>223</v>
      </c>
      <c r="G24" s="15" t="s">
        <v>1462</v>
      </c>
      <c r="H24" s="15" t="s">
        <v>1463</v>
      </c>
      <c r="I24" s="15" t="s">
        <v>1811</v>
      </c>
      <c r="J24" s="15">
        <v>45695</v>
      </c>
      <c r="K24" s="15" t="s">
        <v>1812</v>
      </c>
      <c r="L24" s="15" t="s">
        <v>777</v>
      </c>
      <c r="M24" s="15">
        <v>20</v>
      </c>
      <c r="N24" s="15">
        <v>3</v>
      </c>
      <c r="O24" s="15" t="s">
        <v>98</v>
      </c>
      <c r="P24" s="15">
        <v>7</v>
      </c>
      <c r="Q24" s="15">
        <v>65</v>
      </c>
      <c r="R24" s="15">
        <v>45701</v>
      </c>
      <c r="S24" s="15" t="s">
        <v>1813</v>
      </c>
      <c r="T24" s="15">
        <v>6</v>
      </c>
      <c r="U24" s="15">
        <v>60</v>
      </c>
      <c r="V24" s="16">
        <v>0.1</v>
      </c>
      <c r="W24" s="15">
        <v>54</v>
      </c>
      <c r="X24" s="15">
        <v>119</v>
      </c>
      <c r="Y24" s="15" t="s">
        <v>2084</v>
      </c>
      <c r="Z24" s="15" t="s">
        <v>2060</v>
      </c>
      <c r="AA24" s="17">
        <v>7</v>
      </c>
      <c r="AB24">
        <v>36.885600000000004</v>
      </c>
    </row>
    <row r="25" spans="1:28">
      <c r="A25" s="18" t="s">
        <v>212</v>
      </c>
      <c r="B25" s="18" t="s">
        <v>213</v>
      </c>
      <c r="C25" s="18" t="s">
        <v>214</v>
      </c>
      <c r="D25" s="18">
        <v>39</v>
      </c>
      <c r="E25" s="18" t="s">
        <v>43</v>
      </c>
      <c r="F25" s="18" t="s">
        <v>161</v>
      </c>
      <c r="G25" s="18" t="s">
        <v>215</v>
      </c>
      <c r="H25" s="18" t="s">
        <v>216</v>
      </c>
      <c r="I25" s="18" t="s">
        <v>1298</v>
      </c>
      <c r="J25" s="18">
        <v>45366</v>
      </c>
      <c r="K25" s="18" t="s">
        <v>1299</v>
      </c>
      <c r="L25" s="18" t="s">
        <v>202</v>
      </c>
      <c r="M25" s="18">
        <v>20.7</v>
      </c>
      <c r="N25" s="18">
        <v>3</v>
      </c>
      <c r="O25" s="18" t="s">
        <v>65</v>
      </c>
      <c r="P25" s="18">
        <v>1</v>
      </c>
      <c r="Q25" s="18">
        <v>67</v>
      </c>
      <c r="R25" s="18">
        <v>45372</v>
      </c>
      <c r="S25" s="18" t="s">
        <v>1300</v>
      </c>
      <c r="T25" s="18">
        <v>6</v>
      </c>
      <c r="U25" s="18">
        <v>62.099999999999994</v>
      </c>
      <c r="V25" s="19">
        <v>0</v>
      </c>
      <c r="W25" s="18">
        <v>62.099999999999994</v>
      </c>
      <c r="X25" s="18">
        <v>62.099999999999994</v>
      </c>
      <c r="Y25" s="18" t="s">
        <v>2085</v>
      </c>
      <c r="Z25" s="18" t="s">
        <v>2064</v>
      </c>
      <c r="AA25" s="20">
        <v>9</v>
      </c>
      <c r="AB25">
        <v>19.945499999999999</v>
      </c>
    </row>
    <row r="26" spans="1:28">
      <c r="A26" s="15" t="s">
        <v>195</v>
      </c>
      <c r="B26" s="15" t="s">
        <v>196</v>
      </c>
      <c r="C26" s="15" t="s">
        <v>197</v>
      </c>
      <c r="D26" s="15">
        <v>34</v>
      </c>
      <c r="E26" s="15" t="s">
        <v>31</v>
      </c>
      <c r="F26" s="15" t="s">
        <v>92</v>
      </c>
      <c r="G26" s="15" t="s">
        <v>198</v>
      </c>
      <c r="H26" s="15" t="s">
        <v>199</v>
      </c>
      <c r="I26" s="15" t="s">
        <v>1681</v>
      </c>
      <c r="J26" s="15">
        <v>45243</v>
      </c>
      <c r="K26" s="15" t="s">
        <v>1682</v>
      </c>
      <c r="L26" s="15" t="s">
        <v>202</v>
      </c>
      <c r="M26" s="15">
        <v>20.7</v>
      </c>
      <c r="N26" s="15">
        <v>3</v>
      </c>
      <c r="O26" s="15" t="s">
        <v>38</v>
      </c>
      <c r="P26" s="15">
        <v>5</v>
      </c>
      <c r="Q26" s="15">
        <v>46</v>
      </c>
      <c r="R26" s="15">
        <v>45245</v>
      </c>
      <c r="S26" s="15" t="s">
        <v>1683</v>
      </c>
      <c r="T26" s="15">
        <v>2</v>
      </c>
      <c r="U26" s="15">
        <v>62.099999999999994</v>
      </c>
      <c r="V26" s="16">
        <v>0.08</v>
      </c>
      <c r="W26" s="15">
        <v>57.131999999999991</v>
      </c>
      <c r="X26" s="15">
        <v>103.13199999999999</v>
      </c>
      <c r="Y26" s="15" t="s">
        <v>2086</v>
      </c>
      <c r="Z26" s="15" t="s">
        <v>2060</v>
      </c>
      <c r="AA26" s="17">
        <v>8</v>
      </c>
      <c r="AB26">
        <v>0</v>
      </c>
    </row>
    <row r="27" spans="1:28">
      <c r="A27" s="18" t="s">
        <v>266</v>
      </c>
      <c r="B27" s="18" t="s">
        <v>267</v>
      </c>
      <c r="C27" s="18" t="s">
        <v>268</v>
      </c>
      <c r="D27" s="18">
        <v>54</v>
      </c>
      <c r="E27" s="18" t="s">
        <v>43</v>
      </c>
      <c r="F27" s="18" t="s">
        <v>32</v>
      </c>
      <c r="G27" s="18" t="s">
        <v>269</v>
      </c>
      <c r="H27" s="18" t="s">
        <v>270</v>
      </c>
      <c r="I27" s="18" t="s">
        <v>271</v>
      </c>
      <c r="J27" s="18">
        <v>45224</v>
      </c>
      <c r="K27" s="18" t="s">
        <v>272</v>
      </c>
      <c r="L27" s="18" t="s">
        <v>273</v>
      </c>
      <c r="M27" s="18">
        <v>62.42</v>
      </c>
      <c r="N27" s="18">
        <v>1</v>
      </c>
      <c r="O27" s="18" t="s">
        <v>65</v>
      </c>
      <c r="P27" s="18">
        <v>3</v>
      </c>
      <c r="Q27" s="18">
        <v>58</v>
      </c>
      <c r="R27" s="18">
        <v>45229</v>
      </c>
      <c r="S27" s="18" t="s">
        <v>274</v>
      </c>
      <c r="T27" s="18">
        <v>5</v>
      </c>
      <c r="U27" s="18">
        <v>62.42</v>
      </c>
      <c r="V27" s="19">
        <v>0</v>
      </c>
      <c r="W27" s="18">
        <v>62.42</v>
      </c>
      <c r="X27" s="18">
        <v>62.42</v>
      </c>
      <c r="Y27" s="18" t="s">
        <v>2087</v>
      </c>
      <c r="Z27" s="18" t="s">
        <v>2064</v>
      </c>
      <c r="AA27" s="20">
        <v>7</v>
      </c>
      <c r="AB27">
        <v>0</v>
      </c>
    </row>
    <row r="28" spans="1:28">
      <c r="A28" s="15" t="s">
        <v>415</v>
      </c>
      <c r="B28" s="15" t="s">
        <v>231</v>
      </c>
      <c r="C28" s="15" t="s">
        <v>416</v>
      </c>
      <c r="D28" s="15">
        <v>28</v>
      </c>
      <c r="E28" s="15" t="s">
        <v>54</v>
      </c>
      <c r="F28" s="15" t="s">
        <v>142</v>
      </c>
      <c r="G28" s="15" t="s">
        <v>417</v>
      </c>
      <c r="H28" s="15" t="s">
        <v>418</v>
      </c>
      <c r="I28" s="15" t="s">
        <v>603</v>
      </c>
      <c r="J28" s="15">
        <v>45322</v>
      </c>
      <c r="K28" s="15" t="s">
        <v>604</v>
      </c>
      <c r="L28" s="15" t="s">
        <v>273</v>
      </c>
      <c r="M28" s="15">
        <v>62.42</v>
      </c>
      <c r="N28" s="15">
        <v>1</v>
      </c>
      <c r="O28" s="15" t="s">
        <v>87</v>
      </c>
      <c r="P28" s="15">
        <v>6</v>
      </c>
      <c r="Q28" s="15">
        <v>53</v>
      </c>
      <c r="R28" s="15">
        <v>45329</v>
      </c>
      <c r="S28" s="15" t="s">
        <v>605</v>
      </c>
      <c r="T28" s="15">
        <v>7</v>
      </c>
      <c r="U28" s="15">
        <v>62.42</v>
      </c>
      <c r="V28" s="16">
        <v>0.2</v>
      </c>
      <c r="W28" s="15">
        <v>49.936</v>
      </c>
      <c r="X28" s="15">
        <v>102.93600000000001</v>
      </c>
      <c r="Y28" s="15" t="s">
        <v>2088</v>
      </c>
      <c r="Z28" s="15" t="s">
        <v>2064</v>
      </c>
      <c r="AA28" s="17">
        <v>5</v>
      </c>
      <c r="AB28">
        <v>30.753599999999999</v>
      </c>
    </row>
    <row r="29" spans="1:28">
      <c r="A29" s="18" t="s">
        <v>1106</v>
      </c>
      <c r="B29" s="18" t="s">
        <v>1107</v>
      </c>
      <c r="C29" s="18" t="s">
        <v>1108</v>
      </c>
      <c r="D29" s="18">
        <v>18</v>
      </c>
      <c r="E29" s="18" t="s">
        <v>31</v>
      </c>
      <c r="F29" s="18" t="s">
        <v>78</v>
      </c>
      <c r="G29" s="18" t="s">
        <v>1109</v>
      </c>
      <c r="H29" s="18" t="s">
        <v>1110</v>
      </c>
      <c r="I29" s="18" t="s">
        <v>1421</v>
      </c>
      <c r="J29" s="18">
        <v>45563</v>
      </c>
      <c r="K29" s="18" t="s">
        <v>1422</v>
      </c>
      <c r="L29" s="18" t="s">
        <v>273</v>
      </c>
      <c r="M29" s="18">
        <v>62.42</v>
      </c>
      <c r="N29" s="18">
        <v>1</v>
      </c>
      <c r="O29" s="18" t="s">
        <v>38</v>
      </c>
      <c r="P29" s="18">
        <v>3</v>
      </c>
      <c r="Q29" s="18">
        <v>46</v>
      </c>
      <c r="R29" s="18">
        <v>45565</v>
      </c>
      <c r="S29" s="18" t="s">
        <v>1423</v>
      </c>
      <c r="T29" s="18">
        <v>2</v>
      </c>
      <c r="U29" s="18">
        <v>62.42</v>
      </c>
      <c r="V29" s="19">
        <v>0.08</v>
      </c>
      <c r="W29" s="18">
        <v>57.426400000000001</v>
      </c>
      <c r="X29" s="18">
        <v>103.4264</v>
      </c>
      <c r="Y29" s="18" t="s">
        <v>2089</v>
      </c>
      <c r="Z29" s="18" t="s">
        <v>2060</v>
      </c>
      <c r="AA29" s="20">
        <v>9</v>
      </c>
      <c r="AB29">
        <v>218.18400000000003</v>
      </c>
    </row>
    <row r="30" spans="1:28">
      <c r="A30" s="15" t="s">
        <v>1820</v>
      </c>
      <c r="B30" s="15" t="s">
        <v>1821</v>
      </c>
      <c r="C30" s="15" t="s">
        <v>197</v>
      </c>
      <c r="D30" s="15">
        <v>29</v>
      </c>
      <c r="E30" s="15" t="s">
        <v>54</v>
      </c>
      <c r="F30" s="15" t="s">
        <v>92</v>
      </c>
      <c r="G30" s="15" t="s">
        <v>1822</v>
      </c>
      <c r="H30" s="15" t="s">
        <v>1823</v>
      </c>
      <c r="I30" s="15" t="s">
        <v>1824</v>
      </c>
      <c r="J30" s="15">
        <v>45537</v>
      </c>
      <c r="K30" s="15" t="s">
        <v>1825</v>
      </c>
      <c r="L30" s="15" t="s">
        <v>273</v>
      </c>
      <c r="M30" s="15">
        <v>62.42</v>
      </c>
      <c r="N30" s="15">
        <v>1</v>
      </c>
      <c r="O30" s="15" t="s">
        <v>38</v>
      </c>
      <c r="P30" s="15">
        <v>3</v>
      </c>
      <c r="Q30" s="15">
        <v>48</v>
      </c>
      <c r="R30" s="15">
        <v>45542</v>
      </c>
      <c r="S30" s="15" t="s">
        <v>1826</v>
      </c>
      <c r="T30" s="15">
        <v>5</v>
      </c>
      <c r="U30" s="15">
        <v>62.42</v>
      </c>
      <c r="V30" s="16">
        <v>0.08</v>
      </c>
      <c r="W30" s="15">
        <v>57.426400000000001</v>
      </c>
      <c r="X30" s="15">
        <v>105.4264</v>
      </c>
      <c r="Y30" s="15" t="s">
        <v>2090</v>
      </c>
      <c r="Z30" s="15" t="s">
        <v>2064</v>
      </c>
      <c r="AA30" s="17">
        <v>3</v>
      </c>
      <c r="AB30">
        <v>109.092</v>
      </c>
    </row>
    <row r="31" spans="1:28">
      <c r="A31" s="18" t="s">
        <v>336</v>
      </c>
      <c r="B31" s="18" t="s">
        <v>337</v>
      </c>
      <c r="C31" s="18" t="s">
        <v>338</v>
      </c>
      <c r="D31" s="18">
        <v>23</v>
      </c>
      <c r="E31" s="18" t="s">
        <v>31</v>
      </c>
      <c r="F31" s="18" t="s">
        <v>32</v>
      </c>
      <c r="G31" s="18" t="s">
        <v>339</v>
      </c>
      <c r="H31" s="18" t="s">
        <v>340</v>
      </c>
      <c r="I31" s="18" t="s">
        <v>1385</v>
      </c>
      <c r="J31" s="18">
        <v>45659</v>
      </c>
      <c r="K31" s="18" t="s">
        <v>1386</v>
      </c>
      <c r="L31" s="18" t="s">
        <v>987</v>
      </c>
      <c r="M31" s="18">
        <v>33.49</v>
      </c>
      <c r="N31" s="18">
        <v>2</v>
      </c>
      <c r="O31" s="18" t="s">
        <v>38</v>
      </c>
      <c r="P31" s="18">
        <v>2</v>
      </c>
      <c r="Q31" s="18">
        <v>45</v>
      </c>
      <c r="R31" s="18">
        <v>45660</v>
      </c>
      <c r="S31" s="18" t="s">
        <v>1387</v>
      </c>
      <c r="T31" s="18">
        <v>1</v>
      </c>
      <c r="U31" s="18">
        <v>66.98</v>
      </c>
      <c r="V31" s="19">
        <v>0.08</v>
      </c>
      <c r="W31" s="18">
        <v>61.621600000000001</v>
      </c>
      <c r="X31" s="18">
        <v>106.6216</v>
      </c>
      <c r="Y31" s="18" t="s">
        <v>2091</v>
      </c>
      <c r="Z31" s="18" t="s">
        <v>2060</v>
      </c>
      <c r="AA31" s="20">
        <v>10</v>
      </c>
      <c r="AB31">
        <v>0</v>
      </c>
    </row>
    <row r="32" spans="1:28">
      <c r="A32" s="15" t="s">
        <v>1763</v>
      </c>
      <c r="B32" s="15" t="s">
        <v>1764</v>
      </c>
      <c r="C32" s="15" t="s">
        <v>398</v>
      </c>
      <c r="D32" s="15">
        <v>57</v>
      </c>
      <c r="E32" s="15" t="s">
        <v>43</v>
      </c>
      <c r="F32" s="15" t="s">
        <v>92</v>
      </c>
      <c r="G32" s="15" t="s">
        <v>1765</v>
      </c>
      <c r="H32" s="15" t="s">
        <v>1766</v>
      </c>
      <c r="I32" s="15" t="s">
        <v>1767</v>
      </c>
      <c r="J32" s="15">
        <v>45333</v>
      </c>
      <c r="K32" s="15" t="s">
        <v>1768</v>
      </c>
      <c r="L32" s="15" t="s">
        <v>777</v>
      </c>
      <c r="M32" s="15">
        <v>20</v>
      </c>
      <c r="N32" s="15">
        <v>4</v>
      </c>
      <c r="O32" s="15" t="s">
        <v>87</v>
      </c>
      <c r="P32" s="15">
        <v>1</v>
      </c>
      <c r="Q32" s="15">
        <v>51</v>
      </c>
      <c r="R32" s="15">
        <v>45334</v>
      </c>
      <c r="S32" s="15" t="s">
        <v>1769</v>
      </c>
      <c r="T32" s="15">
        <v>1</v>
      </c>
      <c r="U32" s="15">
        <v>80</v>
      </c>
      <c r="V32" s="16">
        <v>0.2</v>
      </c>
      <c r="W32" s="15">
        <v>64</v>
      </c>
      <c r="X32" s="15">
        <v>115</v>
      </c>
      <c r="Y32" s="15" t="s">
        <v>2092</v>
      </c>
      <c r="Z32" s="15" t="s">
        <v>2072</v>
      </c>
      <c r="AA32" s="17">
        <v>4</v>
      </c>
      <c r="AB32">
        <v>0</v>
      </c>
    </row>
    <row r="33" spans="1:28">
      <c r="A33" s="18" t="s">
        <v>178</v>
      </c>
      <c r="B33" s="18" t="s">
        <v>179</v>
      </c>
      <c r="C33" s="18" t="s">
        <v>180</v>
      </c>
      <c r="D33" s="18">
        <v>36</v>
      </c>
      <c r="E33" s="18" t="s">
        <v>54</v>
      </c>
      <c r="F33" s="18" t="s">
        <v>142</v>
      </c>
      <c r="G33" s="18" t="s">
        <v>181</v>
      </c>
      <c r="H33" s="18" t="s">
        <v>182</v>
      </c>
      <c r="I33" s="18" t="s">
        <v>2038</v>
      </c>
      <c r="J33" s="18">
        <v>45182</v>
      </c>
      <c r="K33" s="18" t="s">
        <v>2039</v>
      </c>
      <c r="L33" s="18" t="s">
        <v>202</v>
      </c>
      <c r="M33" s="18">
        <v>20.7</v>
      </c>
      <c r="N33" s="18">
        <v>4</v>
      </c>
      <c r="O33" s="18" t="s">
        <v>87</v>
      </c>
      <c r="P33" s="18">
        <v>1</v>
      </c>
      <c r="Q33" s="18">
        <v>61</v>
      </c>
      <c r="R33" s="18">
        <v>45184</v>
      </c>
      <c r="S33" s="18" t="s">
        <v>2040</v>
      </c>
      <c r="T33" s="18">
        <v>2</v>
      </c>
      <c r="U33" s="18">
        <v>82.8</v>
      </c>
      <c r="V33" s="19">
        <v>0.2</v>
      </c>
      <c r="W33" s="18">
        <v>66.239999999999995</v>
      </c>
      <c r="X33" s="18">
        <v>127.24</v>
      </c>
      <c r="Y33" s="18" t="s">
        <v>2071</v>
      </c>
      <c r="Z33" s="18" t="s">
        <v>2064</v>
      </c>
      <c r="AA33" s="20">
        <v>4</v>
      </c>
      <c r="AB33">
        <v>126.11199999999999</v>
      </c>
    </row>
    <row r="34" spans="1:28">
      <c r="A34" s="15" t="s">
        <v>734</v>
      </c>
      <c r="B34" s="15" t="s">
        <v>735</v>
      </c>
      <c r="C34" s="15" t="s">
        <v>736</v>
      </c>
      <c r="D34" s="15">
        <v>30</v>
      </c>
      <c r="E34" s="15" t="s">
        <v>31</v>
      </c>
      <c r="F34" s="15" t="s">
        <v>161</v>
      </c>
      <c r="G34" s="15" t="s">
        <v>737</v>
      </c>
      <c r="H34" s="15" t="s">
        <v>738</v>
      </c>
      <c r="I34" s="15" t="s">
        <v>1089</v>
      </c>
      <c r="J34" s="15">
        <v>45320</v>
      </c>
      <c r="K34" s="15" t="s">
        <v>1090</v>
      </c>
      <c r="L34" s="15" t="s">
        <v>484</v>
      </c>
      <c r="M34" s="15">
        <v>87.09</v>
      </c>
      <c r="N34" s="15">
        <v>1</v>
      </c>
      <c r="O34" s="15" t="s">
        <v>98</v>
      </c>
      <c r="P34" s="15">
        <v>1</v>
      </c>
      <c r="Q34" s="15">
        <v>61</v>
      </c>
      <c r="R34" s="15">
        <v>45321</v>
      </c>
      <c r="S34" s="15" t="s">
        <v>1091</v>
      </c>
      <c r="T34" s="15">
        <v>1</v>
      </c>
      <c r="U34" s="15">
        <v>87.09</v>
      </c>
      <c r="V34" s="16">
        <v>0.1</v>
      </c>
      <c r="W34" s="15">
        <v>78.381</v>
      </c>
      <c r="X34" s="15">
        <v>139.381</v>
      </c>
      <c r="Y34" s="15" t="s">
        <v>2093</v>
      </c>
      <c r="Z34" s="15" t="s">
        <v>2072</v>
      </c>
      <c r="AA34" s="17">
        <v>9</v>
      </c>
      <c r="AB34">
        <v>158.53</v>
      </c>
    </row>
    <row r="35" spans="1:28">
      <c r="A35" s="18" t="s">
        <v>642</v>
      </c>
      <c r="B35" s="18" t="s">
        <v>150</v>
      </c>
      <c r="C35" s="18" t="s">
        <v>643</v>
      </c>
      <c r="D35" s="18">
        <v>44</v>
      </c>
      <c r="E35" s="18" t="s">
        <v>54</v>
      </c>
      <c r="F35" s="18" t="s">
        <v>92</v>
      </c>
      <c r="G35" s="18" t="s">
        <v>644</v>
      </c>
      <c r="H35" s="18" t="s">
        <v>645</v>
      </c>
      <c r="I35" s="18" t="s">
        <v>973</v>
      </c>
      <c r="J35" s="18">
        <v>45561</v>
      </c>
      <c r="K35" s="18" t="s">
        <v>974</v>
      </c>
      <c r="L35" s="18" t="s">
        <v>421</v>
      </c>
      <c r="M35" s="18">
        <v>44.5</v>
      </c>
      <c r="N35" s="18">
        <v>2</v>
      </c>
      <c r="O35" s="18" t="s">
        <v>60</v>
      </c>
      <c r="P35" s="18">
        <v>5</v>
      </c>
      <c r="Q35" s="18">
        <v>52</v>
      </c>
      <c r="R35" s="18">
        <v>45563</v>
      </c>
      <c r="S35" s="18" t="s">
        <v>975</v>
      </c>
      <c r="T35" s="18">
        <v>2</v>
      </c>
      <c r="U35" s="18">
        <v>89</v>
      </c>
      <c r="V35" s="19">
        <v>0.15</v>
      </c>
      <c r="W35" s="18">
        <v>75.650000000000006</v>
      </c>
      <c r="X35" s="18">
        <v>127.65</v>
      </c>
      <c r="Y35" s="18" t="s">
        <v>2065</v>
      </c>
      <c r="Z35" s="18" t="s">
        <v>2060</v>
      </c>
      <c r="AA35" s="20">
        <v>4</v>
      </c>
      <c r="AB35">
        <v>14.9808</v>
      </c>
    </row>
    <row r="36" spans="1:28">
      <c r="A36" s="15" t="s">
        <v>897</v>
      </c>
      <c r="B36" s="15" t="s">
        <v>150</v>
      </c>
      <c r="C36" s="15" t="s">
        <v>898</v>
      </c>
      <c r="D36" s="15">
        <v>29</v>
      </c>
      <c r="E36" s="15" t="s">
        <v>31</v>
      </c>
      <c r="F36" s="15" t="s">
        <v>44</v>
      </c>
      <c r="G36" s="15" t="s">
        <v>899</v>
      </c>
      <c r="H36" s="15" t="s">
        <v>900</v>
      </c>
      <c r="I36" s="15" t="s">
        <v>1770</v>
      </c>
      <c r="J36" s="15">
        <v>45681</v>
      </c>
      <c r="K36" s="15" t="s">
        <v>1771</v>
      </c>
      <c r="L36" s="15" t="s">
        <v>116</v>
      </c>
      <c r="M36" s="15">
        <v>48.45</v>
      </c>
      <c r="N36" s="15">
        <v>2</v>
      </c>
      <c r="O36" s="15" t="s">
        <v>60</v>
      </c>
      <c r="P36" s="15">
        <v>7</v>
      </c>
      <c r="Q36" s="15">
        <v>56</v>
      </c>
      <c r="R36" s="15">
        <v>45687</v>
      </c>
      <c r="S36" s="15" t="s">
        <v>1772</v>
      </c>
      <c r="T36" s="15">
        <v>6</v>
      </c>
      <c r="U36" s="15">
        <v>96.9</v>
      </c>
      <c r="V36" s="16">
        <v>0.15</v>
      </c>
      <c r="W36" s="15">
        <v>82.365000000000009</v>
      </c>
      <c r="X36" s="15">
        <v>138.36500000000001</v>
      </c>
      <c r="Y36" s="15" t="s">
        <v>2094</v>
      </c>
      <c r="Z36" s="15" t="s">
        <v>2060</v>
      </c>
      <c r="AA36" s="17">
        <v>8</v>
      </c>
      <c r="AB36">
        <v>12.975000000000001</v>
      </c>
    </row>
    <row r="37" spans="1:28">
      <c r="A37" s="18" t="s">
        <v>361</v>
      </c>
      <c r="B37" s="18" t="s">
        <v>362</v>
      </c>
      <c r="C37" s="18" t="s">
        <v>363</v>
      </c>
      <c r="D37" s="18">
        <v>32</v>
      </c>
      <c r="E37" s="18" t="s">
        <v>43</v>
      </c>
      <c r="F37" s="18" t="s">
        <v>170</v>
      </c>
      <c r="G37" s="18" t="s">
        <v>364</v>
      </c>
      <c r="H37" s="18" t="s">
        <v>365</v>
      </c>
      <c r="I37" s="18" t="s">
        <v>876</v>
      </c>
      <c r="J37" s="18">
        <v>45199</v>
      </c>
      <c r="K37" s="18" t="s">
        <v>877</v>
      </c>
      <c r="L37" s="18" t="s">
        <v>777</v>
      </c>
      <c r="M37" s="18">
        <v>20</v>
      </c>
      <c r="N37" s="18">
        <v>5</v>
      </c>
      <c r="O37" s="18" t="s">
        <v>60</v>
      </c>
      <c r="P37" s="18">
        <v>7</v>
      </c>
      <c r="Q37" s="18">
        <v>40</v>
      </c>
      <c r="R37" s="18">
        <v>45203</v>
      </c>
      <c r="S37" s="18" t="s">
        <v>878</v>
      </c>
      <c r="T37" s="18">
        <v>4</v>
      </c>
      <c r="U37" s="18">
        <v>100</v>
      </c>
      <c r="V37" s="19">
        <v>0.15</v>
      </c>
      <c r="W37" s="18">
        <v>85</v>
      </c>
      <c r="X37" s="18">
        <v>125</v>
      </c>
      <c r="Y37" s="18" t="s">
        <v>2095</v>
      </c>
      <c r="Z37" s="18" t="s">
        <v>2060</v>
      </c>
      <c r="AA37" s="20">
        <v>11</v>
      </c>
      <c r="AB37">
        <v>63.055999999999997</v>
      </c>
    </row>
    <row r="38" spans="1:28">
      <c r="A38" s="15" t="s">
        <v>139</v>
      </c>
      <c r="B38" s="15" t="s">
        <v>140</v>
      </c>
      <c r="C38" s="15" t="s">
        <v>141</v>
      </c>
      <c r="D38" s="15">
        <v>25</v>
      </c>
      <c r="E38" s="15" t="s">
        <v>54</v>
      </c>
      <c r="F38" s="15" t="s">
        <v>142</v>
      </c>
      <c r="G38" s="15" t="s">
        <v>143</v>
      </c>
      <c r="H38" s="15" t="s">
        <v>144</v>
      </c>
      <c r="I38" s="15" t="s">
        <v>1003</v>
      </c>
      <c r="J38" s="15">
        <v>45457</v>
      </c>
      <c r="K38" s="15" t="s">
        <v>1004</v>
      </c>
      <c r="L38" s="15" t="s">
        <v>777</v>
      </c>
      <c r="M38" s="15">
        <v>20</v>
      </c>
      <c r="N38" s="15">
        <v>5</v>
      </c>
      <c r="O38" s="15" t="s">
        <v>60</v>
      </c>
      <c r="P38" s="15">
        <v>6</v>
      </c>
      <c r="Q38" s="15">
        <v>36</v>
      </c>
      <c r="R38" s="15">
        <v>45463</v>
      </c>
      <c r="S38" s="15" t="s">
        <v>1005</v>
      </c>
      <c r="T38" s="15">
        <v>6</v>
      </c>
      <c r="U38" s="15">
        <v>100</v>
      </c>
      <c r="V38" s="16">
        <v>0.15</v>
      </c>
      <c r="W38" s="15">
        <v>85</v>
      </c>
      <c r="X38" s="15">
        <v>121</v>
      </c>
      <c r="Y38" s="15" t="s">
        <v>2063</v>
      </c>
      <c r="Z38" s="15" t="s">
        <v>2072</v>
      </c>
      <c r="AA38" s="17">
        <v>11</v>
      </c>
      <c r="AB38">
        <v>0</v>
      </c>
    </row>
    <row r="39" spans="1:28">
      <c r="A39" s="18" t="s">
        <v>510</v>
      </c>
      <c r="B39" s="18" t="s">
        <v>511</v>
      </c>
      <c r="C39" s="18" t="s">
        <v>512</v>
      </c>
      <c r="D39" s="18">
        <v>64</v>
      </c>
      <c r="E39" s="18" t="s">
        <v>31</v>
      </c>
      <c r="F39" s="18" t="s">
        <v>32</v>
      </c>
      <c r="G39" s="18" t="s">
        <v>513</v>
      </c>
      <c r="H39" s="18" t="s">
        <v>514</v>
      </c>
      <c r="I39" s="18" t="s">
        <v>1052</v>
      </c>
      <c r="J39" s="18">
        <v>45282</v>
      </c>
      <c r="K39" s="18" t="s">
        <v>1053</v>
      </c>
      <c r="L39" s="18" t="s">
        <v>987</v>
      </c>
      <c r="M39" s="18">
        <v>33.49</v>
      </c>
      <c r="N39" s="18">
        <v>3</v>
      </c>
      <c r="O39" s="18" t="s">
        <v>60</v>
      </c>
      <c r="P39" s="18">
        <v>2</v>
      </c>
      <c r="Q39" s="18">
        <v>62</v>
      </c>
      <c r="R39" s="18">
        <v>45284</v>
      </c>
      <c r="S39" s="18" t="s">
        <v>1054</v>
      </c>
      <c r="T39" s="18">
        <v>2</v>
      </c>
      <c r="U39" s="18">
        <v>100.47</v>
      </c>
      <c r="V39" s="19">
        <v>0.15</v>
      </c>
      <c r="W39" s="18">
        <v>85.399500000000003</v>
      </c>
      <c r="X39" s="18">
        <v>147.39949999999999</v>
      </c>
      <c r="Y39" s="18" t="s">
        <v>2096</v>
      </c>
      <c r="Z39" s="18" t="s">
        <v>2072</v>
      </c>
      <c r="AA39" s="20">
        <v>9</v>
      </c>
      <c r="AB39">
        <v>144.44399999999999</v>
      </c>
    </row>
    <row r="40" spans="1:28">
      <c r="A40" s="15" t="s">
        <v>691</v>
      </c>
      <c r="B40" s="15" t="s">
        <v>692</v>
      </c>
      <c r="C40" s="15" t="s">
        <v>693</v>
      </c>
      <c r="D40" s="15">
        <v>65</v>
      </c>
      <c r="E40" s="15" t="s">
        <v>43</v>
      </c>
      <c r="F40" s="15" t="s">
        <v>92</v>
      </c>
      <c r="G40" s="15" t="s">
        <v>694</v>
      </c>
      <c r="H40" s="15" t="s">
        <v>695</v>
      </c>
      <c r="I40" s="15" t="s">
        <v>1857</v>
      </c>
      <c r="J40" s="15">
        <v>45167</v>
      </c>
      <c r="K40" s="15" t="s">
        <v>1858</v>
      </c>
      <c r="L40" s="15" t="s">
        <v>987</v>
      </c>
      <c r="M40" s="15">
        <v>33.49</v>
      </c>
      <c r="N40" s="15">
        <v>3</v>
      </c>
      <c r="O40" s="15" t="s">
        <v>98</v>
      </c>
      <c r="P40" s="15">
        <v>1</v>
      </c>
      <c r="Q40" s="15">
        <v>50</v>
      </c>
      <c r="R40" s="15">
        <v>45172</v>
      </c>
      <c r="S40" s="15" t="s">
        <v>1859</v>
      </c>
      <c r="T40" s="15">
        <v>5</v>
      </c>
      <c r="U40" s="15">
        <v>100.47</v>
      </c>
      <c r="V40" s="16">
        <v>0.1</v>
      </c>
      <c r="W40" s="15">
        <v>90.423000000000002</v>
      </c>
      <c r="X40" s="15">
        <v>140.423</v>
      </c>
      <c r="Y40" s="15" t="s">
        <v>2097</v>
      </c>
      <c r="Z40" s="15" t="s">
        <v>2064</v>
      </c>
      <c r="AA40" s="17">
        <v>12</v>
      </c>
      <c r="AB40">
        <v>0</v>
      </c>
    </row>
    <row r="41" spans="1:28">
      <c r="A41" s="18" t="s">
        <v>195</v>
      </c>
      <c r="B41" s="18" t="s">
        <v>196</v>
      </c>
      <c r="C41" s="18" t="s">
        <v>197</v>
      </c>
      <c r="D41" s="18">
        <v>34</v>
      </c>
      <c r="E41" s="18" t="s">
        <v>31</v>
      </c>
      <c r="F41" s="18" t="s">
        <v>92</v>
      </c>
      <c r="G41" s="18" t="s">
        <v>198</v>
      </c>
      <c r="H41" s="18" t="s">
        <v>199</v>
      </c>
      <c r="I41" s="18" t="s">
        <v>200</v>
      </c>
      <c r="J41" s="18">
        <v>45556</v>
      </c>
      <c r="K41" s="18" t="s">
        <v>201</v>
      </c>
      <c r="L41" s="18" t="s">
        <v>202</v>
      </c>
      <c r="M41" s="18">
        <v>20.7</v>
      </c>
      <c r="N41" s="18">
        <v>5</v>
      </c>
      <c r="O41" s="18" t="s">
        <v>65</v>
      </c>
      <c r="P41" s="18">
        <v>7</v>
      </c>
      <c r="Q41" s="18">
        <v>38</v>
      </c>
      <c r="R41" s="18">
        <v>45561</v>
      </c>
      <c r="S41" s="18" t="s">
        <v>203</v>
      </c>
      <c r="T41" s="18">
        <v>5</v>
      </c>
      <c r="U41" s="18">
        <v>103.5</v>
      </c>
      <c r="V41" s="19">
        <v>0</v>
      </c>
      <c r="W41" s="18">
        <v>103.5</v>
      </c>
      <c r="X41" s="18">
        <v>103.5</v>
      </c>
      <c r="Y41" s="18" t="s">
        <v>2086</v>
      </c>
      <c r="Z41" s="18" t="s">
        <v>2060</v>
      </c>
      <c r="AA41" s="20">
        <v>10</v>
      </c>
      <c r="AB41">
        <v>0</v>
      </c>
    </row>
    <row r="42" spans="1:28">
      <c r="A42" s="15" t="s">
        <v>67</v>
      </c>
      <c r="B42" s="15" t="s">
        <v>68</v>
      </c>
      <c r="C42" s="15" t="s">
        <v>69</v>
      </c>
      <c r="D42" s="15">
        <v>49</v>
      </c>
      <c r="E42" s="15" t="s">
        <v>54</v>
      </c>
      <c r="F42" s="15" t="s">
        <v>32</v>
      </c>
      <c r="G42" s="15" t="s">
        <v>70</v>
      </c>
      <c r="H42" s="15" t="s">
        <v>71</v>
      </c>
      <c r="I42" s="15" t="s">
        <v>316</v>
      </c>
      <c r="J42" s="15">
        <v>45242</v>
      </c>
      <c r="K42" s="15" t="s">
        <v>317</v>
      </c>
      <c r="L42" s="15" t="s">
        <v>202</v>
      </c>
      <c r="M42" s="15">
        <v>20.7</v>
      </c>
      <c r="N42" s="15">
        <v>5</v>
      </c>
      <c r="O42" s="15" t="s">
        <v>65</v>
      </c>
      <c r="P42" s="15">
        <v>2</v>
      </c>
      <c r="Q42" s="15">
        <v>64</v>
      </c>
      <c r="R42" s="15">
        <v>45248</v>
      </c>
      <c r="S42" s="15" t="s">
        <v>318</v>
      </c>
      <c r="T42" s="15">
        <v>6</v>
      </c>
      <c r="U42" s="15">
        <v>103.5</v>
      </c>
      <c r="V42" s="16">
        <v>0</v>
      </c>
      <c r="W42" s="15">
        <v>103.5</v>
      </c>
      <c r="X42" s="15">
        <v>103.5</v>
      </c>
      <c r="Y42" s="15" t="s">
        <v>2098</v>
      </c>
      <c r="Z42" s="15" t="s">
        <v>2064</v>
      </c>
      <c r="AA42" s="17">
        <v>9</v>
      </c>
      <c r="AB42">
        <v>89.42880000000001</v>
      </c>
    </row>
    <row r="43" spans="1:28">
      <c r="A43" s="18" t="s">
        <v>453</v>
      </c>
      <c r="B43" s="18" t="s">
        <v>454</v>
      </c>
      <c r="C43" s="18" t="s">
        <v>455</v>
      </c>
      <c r="D43" s="18">
        <v>69</v>
      </c>
      <c r="E43" s="18" t="s">
        <v>31</v>
      </c>
      <c r="F43" s="18" t="s">
        <v>32</v>
      </c>
      <c r="G43" s="18" t="s">
        <v>456</v>
      </c>
      <c r="H43" s="18" t="s">
        <v>457</v>
      </c>
      <c r="I43" s="18" t="s">
        <v>458</v>
      </c>
      <c r="J43" s="18">
        <v>45213</v>
      </c>
      <c r="K43" s="18" t="s">
        <v>459</v>
      </c>
      <c r="L43" s="18" t="s">
        <v>202</v>
      </c>
      <c r="M43" s="18">
        <v>20.7</v>
      </c>
      <c r="N43" s="18">
        <v>5</v>
      </c>
      <c r="O43" s="18" t="s">
        <v>60</v>
      </c>
      <c r="P43" s="18">
        <v>7</v>
      </c>
      <c r="Q43" s="18">
        <v>57</v>
      </c>
      <c r="R43" s="18">
        <v>45218</v>
      </c>
      <c r="S43" s="18" t="s">
        <v>460</v>
      </c>
      <c r="T43" s="18">
        <v>5</v>
      </c>
      <c r="U43" s="18">
        <v>103.5</v>
      </c>
      <c r="V43" s="19">
        <v>0.15</v>
      </c>
      <c r="W43" s="18">
        <v>87.974999999999994</v>
      </c>
      <c r="X43" s="18">
        <v>144.97499999999999</v>
      </c>
      <c r="Y43" s="18" t="s">
        <v>2099</v>
      </c>
      <c r="Z43" s="18" t="s">
        <v>2060</v>
      </c>
      <c r="AA43" s="20">
        <v>10</v>
      </c>
      <c r="AB43">
        <v>89.42880000000001</v>
      </c>
    </row>
    <row r="44" spans="1:28">
      <c r="A44" s="15" t="s">
        <v>1213</v>
      </c>
      <c r="B44" s="15" t="s">
        <v>1214</v>
      </c>
      <c r="C44" s="15" t="s">
        <v>1215</v>
      </c>
      <c r="D44" s="15">
        <v>50</v>
      </c>
      <c r="E44" s="15" t="s">
        <v>54</v>
      </c>
      <c r="F44" s="15" t="s">
        <v>170</v>
      </c>
      <c r="G44" s="15" t="s">
        <v>1216</v>
      </c>
      <c r="H44" s="15" t="s">
        <v>1217</v>
      </c>
      <c r="I44" s="15" t="s">
        <v>1342</v>
      </c>
      <c r="J44" s="15">
        <v>45599</v>
      </c>
      <c r="K44" s="15" t="s">
        <v>1343</v>
      </c>
      <c r="L44" s="15" t="s">
        <v>185</v>
      </c>
      <c r="M44" s="15">
        <v>104.18</v>
      </c>
      <c r="N44" s="15">
        <v>1</v>
      </c>
      <c r="O44" s="15" t="s">
        <v>38</v>
      </c>
      <c r="P44" s="15">
        <v>1</v>
      </c>
      <c r="Q44" s="15">
        <v>48</v>
      </c>
      <c r="R44" s="15">
        <v>45603</v>
      </c>
      <c r="S44" s="15" t="s">
        <v>1344</v>
      </c>
      <c r="T44" s="15">
        <v>4</v>
      </c>
      <c r="U44" s="15">
        <v>104.18</v>
      </c>
      <c r="V44" s="16">
        <v>0.08</v>
      </c>
      <c r="W44" s="15">
        <v>95.845600000000005</v>
      </c>
      <c r="X44" s="15">
        <v>143.84559999999999</v>
      </c>
      <c r="Y44" s="15" t="s">
        <v>2100</v>
      </c>
      <c r="Z44" s="15" t="s">
        <v>2064</v>
      </c>
      <c r="AA44" s="17">
        <v>8</v>
      </c>
      <c r="AB44">
        <v>223.46549999999999</v>
      </c>
    </row>
    <row r="45" spans="1:28">
      <c r="A45" s="18" t="s">
        <v>1213</v>
      </c>
      <c r="B45" s="18" t="s">
        <v>1214</v>
      </c>
      <c r="C45" s="18" t="s">
        <v>1215</v>
      </c>
      <c r="D45" s="18">
        <v>50</v>
      </c>
      <c r="E45" s="18" t="s">
        <v>54</v>
      </c>
      <c r="F45" s="18" t="s">
        <v>170</v>
      </c>
      <c r="G45" s="18" t="s">
        <v>1216</v>
      </c>
      <c r="H45" s="18" t="s">
        <v>1217</v>
      </c>
      <c r="I45" s="18" t="s">
        <v>1415</v>
      </c>
      <c r="J45" s="18">
        <v>45557</v>
      </c>
      <c r="K45" s="18" t="s">
        <v>1416</v>
      </c>
      <c r="L45" s="18" t="s">
        <v>185</v>
      </c>
      <c r="M45" s="18">
        <v>104.18</v>
      </c>
      <c r="N45" s="18">
        <v>1</v>
      </c>
      <c r="O45" s="18" t="s">
        <v>38</v>
      </c>
      <c r="P45" s="18">
        <v>3</v>
      </c>
      <c r="Q45" s="18">
        <v>60</v>
      </c>
      <c r="R45" s="18">
        <v>45563</v>
      </c>
      <c r="S45" s="18" t="s">
        <v>1417</v>
      </c>
      <c r="T45" s="18">
        <v>6</v>
      </c>
      <c r="U45" s="18">
        <v>104.18</v>
      </c>
      <c r="V45" s="19">
        <v>0.08</v>
      </c>
      <c r="W45" s="18">
        <v>95.845600000000005</v>
      </c>
      <c r="X45" s="18">
        <v>155.84559999999999</v>
      </c>
      <c r="Y45" s="18" t="s">
        <v>2100</v>
      </c>
      <c r="Z45" s="18" t="s">
        <v>2064</v>
      </c>
      <c r="AA45" s="20">
        <v>4</v>
      </c>
      <c r="AB45">
        <v>12.975000000000001</v>
      </c>
    </row>
    <row r="46" spans="1:28">
      <c r="A46" s="15" t="s">
        <v>1241</v>
      </c>
      <c r="B46" s="15" t="s">
        <v>1242</v>
      </c>
      <c r="C46" s="15" t="s">
        <v>1243</v>
      </c>
      <c r="D46" s="15">
        <v>55</v>
      </c>
      <c r="E46" s="15" t="s">
        <v>43</v>
      </c>
      <c r="F46" s="15" t="s">
        <v>161</v>
      </c>
      <c r="G46" s="15" t="s">
        <v>1244</v>
      </c>
      <c r="H46" s="15" t="s">
        <v>1245</v>
      </c>
      <c r="I46" s="15" t="s">
        <v>1848</v>
      </c>
      <c r="J46" s="15">
        <v>45005</v>
      </c>
      <c r="K46" s="15" t="s">
        <v>1849</v>
      </c>
      <c r="L46" s="15" t="s">
        <v>185</v>
      </c>
      <c r="M46" s="15">
        <v>104.18</v>
      </c>
      <c r="N46" s="15">
        <v>1</v>
      </c>
      <c r="O46" s="15" t="s">
        <v>38</v>
      </c>
      <c r="P46" s="15">
        <v>5</v>
      </c>
      <c r="Q46" s="15">
        <v>37</v>
      </c>
      <c r="R46" s="15">
        <v>45007</v>
      </c>
      <c r="S46" s="15" t="s">
        <v>1850</v>
      </c>
      <c r="T46" s="15">
        <v>2</v>
      </c>
      <c r="U46" s="15">
        <v>104.18</v>
      </c>
      <c r="V46" s="16">
        <v>0.08</v>
      </c>
      <c r="W46" s="15">
        <v>95.845600000000005</v>
      </c>
      <c r="X46" s="15">
        <v>132.84559999999999</v>
      </c>
      <c r="Y46" s="15" t="s">
        <v>2101</v>
      </c>
      <c r="Z46" s="15" t="s">
        <v>2060</v>
      </c>
      <c r="AA46" s="17">
        <v>2</v>
      </c>
      <c r="AB46">
        <v>76.040000000000006</v>
      </c>
    </row>
    <row r="47" spans="1:28">
      <c r="A47" s="18" t="s">
        <v>319</v>
      </c>
      <c r="B47" s="18" t="s">
        <v>320</v>
      </c>
      <c r="C47" s="18" t="s">
        <v>321</v>
      </c>
      <c r="D47" s="18">
        <v>45</v>
      </c>
      <c r="E47" s="18" t="s">
        <v>31</v>
      </c>
      <c r="F47" s="18" t="s">
        <v>44</v>
      </c>
      <c r="G47" s="18" t="s">
        <v>322</v>
      </c>
      <c r="H47" s="18" t="s">
        <v>323</v>
      </c>
      <c r="I47" s="18" t="s">
        <v>1024</v>
      </c>
      <c r="J47" s="18">
        <v>45099</v>
      </c>
      <c r="K47" s="18" t="s">
        <v>1025</v>
      </c>
      <c r="L47" s="18" t="s">
        <v>944</v>
      </c>
      <c r="M47" s="18">
        <v>107.47</v>
      </c>
      <c r="N47" s="18">
        <v>1</v>
      </c>
      <c r="O47" s="18" t="s">
        <v>98</v>
      </c>
      <c r="P47" s="18">
        <v>5</v>
      </c>
      <c r="Q47" s="18">
        <v>56</v>
      </c>
      <c r="R47" s="18">
        <v>45104</v>
      </c>
      <c r="S47" s="18" t="s">
        <v>1026</v>
      </c>
      <c r="T47" s="18">
        <v>5</v>
      </c>
      <c r="U47" s="18">
        <v>107.47</v>
      </c>
      <c r="V47" s="19">
        <v>0.1</v>
      </c>
      <c r="W47" s="18">
        <v>96.722999999999999</v>
      </c>
      <c r="X47" s="18">
        <v>152.72300000000001</v>
      </c>
      <c r="Y47" s="18" t="s">
        <v>2102</v>
      </c>
      <c r="Z47" s="18" t="s">
        <v>2072</v>
      </c>
      <c r="AA47" s="20">
        <v>3</v>
      </c>
      <c r="AB47">
        <v>38.020000000000003</v>
      </c>
    </row>
    <row r="48" spans="1:28">
      <c r="A48" s="15" t="s">
        <v>1321</v>
      </c>
      <c r="B48" s="15" t="s">
        <v>1322</v>
      </c>
      <c r="C48" s="15" t="s">
        <v>1323</v>
      </c>
      <c r="D48" s="15">
        <v>43</v>
      </c>
      <c r="E48" s="15" t="s">
        <v>31</v>
      </c>
      <c r="F48" s="15" t="s">
        <v>142</v>
      </c>
      <c r="G48" s="15" t="s">
        <v>1324</v>
      </c>
      <c r="H48" s="15" t="s">
        <v>1325</v>
      </c>
      <c r="I48" s="15" t="s">
        <v>1326</v>
      </c>
      <c r="J48" s="15">
        <v>45428</v>
      </c>
      <c r="K48" s="15" t="s">
        <v>1327</v>
      </c>
      <c r="L48" s="15" t="s">
        <v>944</v>
      </c>
      <c r="M48" s="15">
        <v>107.47</v>
      </c>
      <c r="N48" s="15">
        <v>1</v>
      </c>
      <c r="O48" s="15" t="s">
        <v>38</v>
      </c>
      <c r="P48" s="15">
        <v>4</v>
      </c>
      <c r="Q48" s="15">
        <v>36</v>
      </c>
      <c r="R48" s="15">
        <v>45430</v>
      </c>
      <c r="S48" s="15" t="s">
        <v>1328</v>
      </c>
      <c r="T48" s="15">
        <v>2</v>
      </c>
      <c r="U48" s="15">
        <v>107.47</v>
      </c>
      <c r="V48" s="16">
        <v>0.08</v>
      </c>
      <c r="W48" s="15">
        <v>98.872399999999999</v>
      </c>
      <c r="X48" s="15">
        <v>134.8724</v>
      </c>
      <c r="Y48" s="15" t="s">
        <v>2103</v>
      </c>
      <c r="Z48" s="15" t="s">
        <v>2060</v>
      </c>
      <c r="AA48" s="17">
        <v>1</v>
      </c>
      <c r="AB48">
        <v>172.57599999999999</v>
      </c>
    </row>
    <row r="49" spans="1:28">
      <c r="A49" s="18" t="s">
        <v>446</v>
      </c>
      <c r="B49" s="18" t="s">
        <v>101</v>
      </c>
      <c r="C49" s="18" t="s">
        <v>447</v>
      </c>
      <c r="D49" s="18">
        <v>36</v>
      </c>
      <c r="E49" s="18" t="s">
        <v>43</v>
      </c>
      <c r="F49" s="18" t="s">
        <v>32</v>
      </c>
      <c r="G49" s="18" t="s">
        <v>448</v>
      </c>
      <c r="H49" s="18" t="s">
        <v>449</v>
      </c>
      <c r="I49" s="18" t="s">
        <v>450</v>
      </c>
      <c r="J49" s="18">
        <v>45149</v>
      </c>
      <c r="K49" s="18" t="s">
        <v>451</v>
      </c>
      <c r="L49" s="18" t="s">
        <v>273</v>
      </c>
      <c r="M49" s="18">
        <v>62.42</v>
      </c>
      <c r="N49" s="18">
        <v>2</v>
      </c>
      <c r="O49" s="18" t="s">
        <v>60</v>
      </c>
      <c r="P49" s="18">
        <v>1</v>
      </c>
      <c r="Q49" s="18">
        <v>53</v>
      </c>
      <c r="R49" s="18">
        <v>45154</v>
      </c>
      <c r="S49" s="18" t="s">
        <v>452</v>
      </c>
      <c r="T49" s="18">
        <v>5</v>
      </c>
      <c r="U49" s="18">
        <v>124.84</v>
      </c>
      <c r="V49" s="19">
        <v>0.15</v>
      </c>
      <c r="W49" s="18">
        <v>106.114</v>
      </c>
      <c r="X49" s="18">
        <v>159.114</v>
      </c>
      <c r="Y49" s="18" t="s">
        <v>2104</v>
      </c>
      <c r="Z49" s="18" t="s">
        <v>2064</v>
      </c>
      <c r="AA49" s="20">
        <v>5</v>
      </c>
      <c r="AB49">
        <v>50.444799999999994</v>
      </c>
    </row>
    <row r="50" spans="1:28">
      <c r="A50" s="15" t="s">
        <v>167</v>
      </c>
      <c r="B50" s="15" t="s">
        <v>168</v>
      </c>
      <c r="C50" s="15" t="s">
        <v>169</v>
      </c>
      <c r="D50" s="15">
        <v>46</v>
      </c>
      <c r="E50" s="15" t="s">
        <v>31</v>
      </c>
      <c r="F50" s="15" t="s">
        <v>170</v>
      </c>
      <c r="G50" s="15" t="s">
        <v>171</v>
      </c>
      <c r="H50" s="15" t="s">
        <v>172</v>
      </c>
      <c r="I50" s="15" t="s">
        <v>1027</v>
      </c>
      <c r="J50" s="15">
        <v>45586</v>
      </c>
      <c r="K50" s="15" t="s">
        <v>1028</v>
      </c>
      <c r="L50" s="15" t="s">
        <v>245</v>
      </c>
      <c r="M50" s="15">
        <v>126.19</v>
      </c>
      <c r="N50" s="15">
        <v>1</v>
      </c>
      <c r="O50" s="15" t="s">
        <v>87</v>
      </c>
      <c r="P50" s="15">
        <v>5</v>
      </c>
      <c r="Q50" s="15">
        <v>68</v>
      </c>
      <c r="R50" s="15">
        <v>45588</v>
      </c>
      <c r="S50" s="15" t="s">
        <v>1029</v>
      </c>
      <c r="T50" s="15">
        <v>2</v>
      </c>
      <c r="U50" s="15">
        <v>126.19</v>
      </c>
      <c r="V50" s="16">
        <v>0.2</v>
      </c>
      <c r="W50" s="15">
        <v>100.952</v>
      </c>
      <c r="X50" s="15">
        <v>168.952</v>
      </c>
      <c r="Y50" s="15" t="s">
        <v>2069</v>
      </c>
      <c r="Z50" s="15" t="s">
        <v>2060</v>
      </c>
      <c r="AA50" s="17">
        <v>11</v>
      </c>
      <c r="AB50">
        <v>0</v>
      </c>
    </row>
    <row r="51" spans="1:28">
      <c r="A51" s="18" t="s">
        <v>40</v>
      </c>
      <c r="B51" s="18" t="s">
        <v>41</v>
      </c>
      <c r="C51" s="18" t="s">
        <v>42</v>
      </c>
      <c r="D51" s="18">
        <v>53</v>
      </c>
      <c r="E51" s="18" t="s">
        <v>43</v>
      </c>
      <c r="F51" s="18" t="s">
        <v>44</v>
      </c>
      <c r="G51" s="18" t="s">
        <v>45</v>
      </c>
      <c r="H51" s="18" t="s">
        <v>46</v>
      </c>
      <c r="I51" s="18" t="s">
        <v>571</v>
      </c>
      <c r="J51" s="18">
        <v>45041</v>
      </c>
      <c r="K51" s="18" t="s">
        <v>572</v>
      </c>
      <c r="L51" s="18" t="s">
        <v>253</v>
      </c>
      <c r="M51" s="18">
        <v>128.13999999999999</v>
      </c>
      <c r="N51" s="18">
        <v>1</v>
      </c>
      <c r="O51" s="18" t="s">
        <v>38</v>
      </c>
      <c r="P51" s="18">
        <v>7</v>
      </c>
      <c r="Q51" s="18">
        <v>70</v>
      </c>
      <c r="R51" s="18">
        <v>45045</v>
      </c>
      <c r="S51" s="18" t="s">
        <v>573</v>
      </c>
      <c r="T51" s="18">
        <v>4</v>
      </c>
      <c r="U51" s="18">
        <v>128.13999999999999</v>
      </c>
      <c r="V51" s="19">
        <v>0.08</v>
      </c>
      <c r="W51" s="18">
        <v>117.88879999999999</v>
      </c>
      <c r="X51" s="18">
        <v>187.8888</v>
      </c>
      <c r="Y51" s="18" t="s">
        <v>2105</v>
      </c>
      <c r="Z51" s="18" t="s">
        <v>2060</v>
      </c>
      <c r="AA51" s="20">
        <v>9</v>
      </c>
      <c r="AB51">
        <v>4.1399999999999997</v>
      </c>
    </row>
    <row r="52" spans="1:28">
      <c r="A52" s="15" t="s">
        <v>1171</v>
      </c>
      <c r="B52" s="15" t="s">
        <v>1172</v>
      </c>
      <c r="C52" s="15" t="s">
        <v>1173</v>
      </c>
      <c r="D52" s="15">
        <v>59</v>
      </c>
      <c r="E52" s="15" t="s">
        <v>54</v>
      </c>
      <c r="F52" s="15" t="s">
        <v>170</v>
      </c>
      <c r="G52" s="15" t="s">
        <v>1174</v>
      </c>
      <c r="H52" s="15" t="s">
        <v>1175</v>
      </c>
      <c r="I52" s="15" t="s">
        <v>1176</v>
      </c>
      <c r="J52" s="15">
        <v>45251</v>
      </c>
      <c r="K52" s="15" t="s">
        <v>1177</v>
      </c>
      <c r="L52" s="15" t="s">
        <v>253</v>
      </c>
      <c r="M52" s="15">
        <v>128.13999999999999</v>
      </c>
      <c r="N52" s="15">
        <v>1</v>
      </c>
      <c r="O52" s="15" t="s">
        <v>98</v>
      </c>
      <c r="P52" s="15">
        <v>7</v>
      </c>
      <c r="Q52" s="15">
        <v>52</v>
      </c>
      <c r="R52" s="15">
        <v>45254</v>
      </c>
      <c r="S52" s="15" t="s">
        <v>1178</v>
      </c>
      <c r="T52" s="15">
        <v>3</v>
      </c>
      <c r="U52" s="15">
        <v>128.13999999999999</v>
      </c>
      <c r="V52" s="16">
        <v>0.1</v>
      </c>
      <c r="W52" s="15">
        <v>115.32599999999999</v>
      </c>
      <c r="X52" s="15">
        <v>167.32599999999999</v>
      </c>
      <c r="Y52" s="15" t="s">
        <v>2106</v>
      </c>
      <c r="Z52" s="15" t="s">
        <v>2060</v>
      </c>
      <c r="AA52" s="17">
        <v>10</v>
      </c>
      <c r="AB52">
        <v>51.900000000000006</v>
      </c>
    </row>
    <row r="53" spans="1:28">
      <c r="A53" s="18" t="s">
        <v>1082</v>
      </c>
      <c r="B53" s="18" t="s">
        <v>221</v>
      </c>
      <c r="C53" s="18" t="s">
        <v>1083</v>
      </c>
      <c r="D53" s="18">
        <v>55</v>
      </c>
      <c r="E53" s="18" t="s">
        <v>43</v>
      </c>
      <c r="F53" s="18" t="s">
        <v>161</v>
      </c>
      <c r="G53" s="18" t="s">
        <v>1084</v>
      </c>
      <c r="H53" s="18" t="s">
        <v>1085</v>
      </c>
      <c r="I53" s="18" t="s">
        <v>1454</v>
      </c>
      <c r="J53" s="18">
        <v>44976</v>
      </c>
      <c r="K53" s="18" t="s">
        <v>1455</v>
      </c>
      <c r="L53" s="18" t="s">
        <v>253</v>
      </c>
      <c r="M53" s="18">
        <v>128.13999999999999</v>
      </c>
      <c r="N53" s="18">
        <v>1</v>
      </c>
      <c r="O53" s="18" t="s">
        <v>98</v>
      </c>
      <c r="P53" s="18">
        <v>1</v>
      </c>
      <c r="Q53" s="18">
        <v>39</v>
      </c>
      <c r="R53" s="18">
        <v>44982</v>
      </c>
      <c r="S53" s="18" t="s">
        <v>1456</v>
      </c>
      <c r="T53" s="18">
        <v>6</v>
      </c>
      <c r="U53" s="18">
        <v>128.13999999999999</v>
      </c>
      <c r="V53" s="19">
        <v>0.1</v>
      </c>
      <c r="W53" s="18">
        <v>115.32599999999999</v>
      </c>
      <c r="X53" s="18">
        <v>154.32599999999999</v>
      </c>
      <c r="Y53" s="18" t="s">
        <v>2107</v>
      </c>
      <c r="Z53" s="18" t="s">
        <v>2064</v>
      </c>
      <c r="AA53" s="20">
        <v>3</v>
      </c>
      <c r="AB53">
        <v>14.24</v>
      </c>
    </row>
    <row r="54" spans="1:28">
      <c r="A54" s="15" t="s">
        <v>369</v>
      </c>
      <c r="B54" s="15" t="s">
        <v>370</v>
      </c>
      <c r="C54" s="15" t="s">
        <v>371</v>
      </c>
      <c r="D54" s="15">
        <v>31</v>
      </c>
      <c r="E54" s="15" t="s">
        <v>54</v>
      </c>
      <c r="F54" s="15" t="s">
        <v>142</v>
      </c>
      <c r="G54" s="15" t="s">
        <v>372</v>
      </c>
      <c r="H54" s="15" t="s">
        <v>373</v>
      </c>
      <c r="I54" s="15" t="s">
        <v>1799</v>
      </c>
      <c r="J54" s="15">
        <v>45653</v>
      </c>
      <c r="K54" s="15" t="s">
        <v>1800</v>
      </c>
      <c r="L54" s="15" t="s">
        <v>253</v>
      </c>
      <c r="M54" s="15">
        <v>128.13999999999999</v>
      </c>
      <c r="N54" s="15">
        <v>1</v>
      </c>
      <c r="O54" s="15" t="s">
        <v>65</v>
      </c>
      <c r="P54" s="15">
        <v>3</v>
      </c>
      <c r="Q54" s="15">
        <v>55</v>
      </c>
      <c r="R54" s="15">
        <v>45655</v>
      </c>
      <c r="S54" s="15" t="s">
        <v>1801</v>
      </c>
      <c r="T54" s="15">
        <v>2</v>
      </c>
      <c r="U54" s="15">
        <v>128.13999999999999</v>
      </c>
      <c r="V54" s="16">
        <v>0</v>
      </c>
      <c r="W54" s="15">
        <v>128.13999999999999</v>
      </c>
      <c r="X54" s="15">
        <v>128.13999999999999</v>
      </c>
      <c r="Y54" s="15" t="s">
        <v>2108</v>
      </c>
      <c r="Z54" s="15" t="s">
        <v>2060</v>
      </c>
      <c r="AA54" s="17">
        <v>8</v>
      </c>
      <c r="AB54">
        <v>96.10499999999999</v>
      </c>
    </row>
    <row r="55" spans="1:28">
      <c r="A55" s="18" t="s">
        <v>304</v>
      </c>
      <c r="B55" s="18" t="s">
        <v>305</v>
      </c>
      <c r="C55" s="18" t="s">
        <v>306</v>
      </c>
      <c r="D55" s="18">
        <v>26</v>
      </c>
      <c r="E55" s="18" t="s">
        <v>54</v>
      </c>
      <c r="F55" s="18" t="s">
        <v>170</v>
      </c>
      <c r="G55" s="18" t="s">
        <v>307</v>
      </c>
      <c r="H55" s="18" t="s">
        <v>308</v>
      </c>
      <c r="I55" s="18" t="s">
        <v>309</v>
      </c>
      <c r="J55" s="18">
        <v>45168</v>
      </c>
      <c r="K55" s="18" t="s">
        <v>310</v>
      </c>
      <c r="L55" s="18" t="s">
        <v>311</v>
      </c>
      <c r="M55" s="18">
        <v>129.75</v>
      </c>
      <c r="N55" s="18">
        <v>1</v>
      </c>
      <c r="O55" s="18" t="s">
        <v>98</v>
      </c>
      <c r="P55" s="18">
        <v>5</v>
      </c>
      <c r="Q55" s="18">
        <v>70</v>
      </c>
      <c r="R55" s="18">
        <v>45172</v>
      </c>
      <c r="S55" s="18" t="s">
        <v>312</v>
      </c>
      <c r="T55" s="18">
        <v>4</v>
      </c>
      <c r="U55" s="18">
        <v>129.75</v>
      </c>
      <c r="V55" s="19">
        <v>0.1</v>
      </c>
      <c r="W55" s="18">
        <v>116.77500000000001</v>
      </c>
      <c r="X55" s="18">
        <v>186.77500000000001</v>
      </c>
      <c r="Y55" s="18" t="s">
        <v>2109</v>
      </c>
      <c r="Z55" s="18" t="s">
        <v>2060</v>
      </c>
      <c r="AA55" s="20">
        <v>1</v>
      </c>
      <c r="AB55">
        <v>73.805999999999997</v>
      </c>
    </row>
    <row r="56" spans="1:28">
      <c r="A56" s="15" t="s">
        <v>361</v>
      </c>
      <c r="B56" s="15" t="s">
        <v>362</v>
      </c>
      <c r="C56" s="15" t="s">
        <v>363</v>
      </c>
      <c r="D56" s="15">
        <v>32</v>
      </c>
      <c r="E56" s="15" t="s">
        <v>43</v>
      </c>
      <c r="F56" s="15" t="s">
        <v>170</v>
      </c>
      <c r="G56" s="15" t="s">
        <v>364</v>
      </c>
      <c r="H56" s="15" t="s">
        <v>365</v>
      </c>
      <c r="I56" s="15" t="s">
        <v>366</v>
      </c>
      <c r="J56" s="15">
        <v>45020</v>
      </c>
      <c r="K56" s="15" t="s">
        <v>367</v>
      </c>
      <c r="L56" s="15" t="s">
        <v>311</v>
      </c>
      <c r="M56" s="15">
        <v>129.75</v>
      </c>
      <c r="N56" s="15">
        <v>1</v>
      </c>
      <c r="O56" s="15" t="s">
        <v>98</v>
      </c>
      <c r="P56" s="15">
        <v>6</v>
      </c>
      <c r="Q56" s="15">
        <v>43</v>
      </c>
      <c r="R56" s="15">
        <v>45026</v>
      </c>
      <c r="S56" s="15" t="s">
        <v>368</v>
      </c>
      <c r="T56" s="15">
        <v>6</v>
      </c>
      <c r="U56" s="15">
        <v>129.75</v>
      </c>
      <c r="V56" s="16">
        <v>0.1</v>
      </c>
      <c r="W56" s="15">
        <v>116.77500000000001</v>
      </c>
      <c r="X56" s="15">
        <v>159.77500000000001</v>
      </c>
      <c r="Y56" s="15" t="s">
        <v>2095</v>
      </c>
      <c r="Z56" s="15" t="s">
        <v>2072</v>
      </c>
      <c r="AA56" s="17">
        <v>11</v>
      </c>
      <c r="AB56">
        <v>36.363999999999997</v>
      </c>
    </row>
    <row r="57" spans="1:28">
      <c r="A57" s="18" t="s">
        <v>275</v>
      </c>
      <c r="B57" s="18" t="s">
        <v>276</v>
      </c>
      <c r="C57" s="18" t="s">
        <v>277</v>
      </c>
      <c r="D57" s="18">
        <v>44</v>
      </c>
      <c r="E57" s="18" t="s">
        <v>31</v>
      </c>
      <c r="F57" s="18" t="s">
        <v>223</v>
      </c>
      <c r="G57" s="18" t="s">
        <v>278</v>
      </c>
      <c r="H57" s="18" t="s">
        <v>279</v>
      </c>
      <c r="I57" s="18" t="s">
        <v>913</v>
      </c>
      <c r="J57" s="18">
        <v>45584</v>
      </c>
      <c r="K57" s="18" t="s">
        <v>914</v>
      </c>
      <c r="L57" s="18" t="s">
        <v>311</v>
      </c>
      <c r="M57" s="18">
        <v>129.75</v>
      </c>
      <c r="N57" s="18">
        <v>1</v>
      </c>
      <c r="O57" s="18" t="s">
        <v>65</v>
      </c>
      <c r="P57" s="18">
        <v>7</v>
      </c>
      <c r="Q57" s="18">
        <v>44</v>
      </c>
      <c r="R57" s="18">
        <v>45591</v>
      </c>
      <c r="S57" s="18" t="s">
        <v>915</v>
      </c>
      <c r="T57" s="18">
        <v>7</v>
      </c>
      <c r="U57" s="18">
        <v>129.75</v>
      </c>
      <c r="V57" s="19">
        <v>0</v>
      </c>
      <c r="W57" s="18">
        <v>129.75</v>
      </c>
      <c r="X57" s="18">
        <v>129.75</v>
      </c>
      <c r="Y57" s="18" t="s">
        <v>2110</v>
      </c>
      <c r="Z57" s="18" t="s">
        <v>2072</v>
      </c>
      <c r="AA57" s="20">
        <v>10</v>
      </c>
      <c r="AB57">
        <v>0</v>
      </c>
    </row>
    <row r="58" spans="1:28">
      <c r="A58" s="15" t="s">
        <v>361</v>
      </c>
      <c r="B58" s="15" t="s">
        <v>362</v>
      </c>
      <c r="C58" s="15" t="s">
        <v>363</v>
      </c>
      <c r="D58" s="15">
        <v>32</v>
      </c>
      <c r="E58" s="15" t="s">
        <v>43</v>
      </c>
      <c r="F58" s="15" t="s">
        <v>170</v>
      </c>
      <c r="G58" s="15" t="s">
        <v>364</v>
      </c>
      <c r="H58" s="15" t="s">
        <v>365</v>
      </c>
      <c r="I58" s="15" t="s">
        <v>2035</v>
      </c>
      <c r="J58" s="15">
        <v>45217</v>
      </c>
      <c r="K58" s="15" t="s">
        <v>2036</v>
      </c>
      <c r="L58" s="15" t="s">
        <v>311</v>
      </c>
      <c r="M58" s="15">
        <v>129.75</v>
      </c>
      <c r="N58" s="15">
        <v>1</v>
      </c>
      <c r="O58" s="15" t="s">
        <v>38</v>
      </c>
      <c r="P58" s="15">
        <v>7</v>
      </c>
      <c r="Q58" s="15">
        <v>56</v>
      </c>
      <c r="R58" s="15">
        <v>45219</v>
      </c>
      <c r="S58" s="15" t="s">
        <v>2037</v>
      </c>
      <c r="T58" s="15">
        <v>2</v>
      </c>
      <c r="U58" s="15">
        <v>129.75</v>
      </c>
      <c r="V58" s="16">
        <v>0.08</v>
      </c>
      <c r="W58" s="15">
        <v>119.37</v>
      </c>
      <c r="X58" s="15">
        <v>175.37</v>
      </c>
      <c r="Y58" s="15" t="s">
        <v>2095</v>
      </c>
      <c r="Z58" s="15" t="s">
        <v>2060</v>
      </c>
      <c r="AA58" s="17">
        <v>8</v>
      </c>
      <c r="AB58">
        <v>18.725999999999999</v>
      </c>
    </row>
    <row r="59" spans="1:28">
      <c r="A59" s="18" t="s">
        <v>230</v>
      </c>
      <c r="B59" s="18" t="s">
        <v>231</v>
      </c>
      <c r="C59" s="18" t="s">
        <v>232</v>
      </c>
      <c r="D59" s="18">
        <v>64</v>
      </c>
      <c r="E59" s="18" t="s">
        <v>43</v>
      </c>
      <c r="F59" s="18" t="s">
        <v>44</v>
      </c>
      <c r="G59" s="18" t="s">
        <v>233</v>
      </c>
      <c r="H59" s="18" t="s">
        <v>234</v>
      </c>
      <c r="I59" s="18" t="s">
        <v>235</v>
      </c>
      <c r="J59" s="18">
        <v>45194</v>
      </c>
      <c r="K59" s="18" t="s">
        <v>236</v>
      </c>
      <c r="L59" s="18" t="s">
        <v>237</v>
      </c>
      <c r="M59" s="18">
        <v>132.97</v>
      </c>
      <c r="N59" s="18">
        <v>1</v>
      </c>
      <c r="O59" s="18" t="s">
        <v>60</v>
      </c>
      <c r="P59" s="18">
        <v>4</v>
      </c>
      <c r="Q59" s="18">
        <v>55</v>
      </c>
      <c r="R59" s="18">
        <v>45198</v>
      </c>
      <c r="S59" s="18" t="s">
        <v>238</v>
      </c>
      <c r="T59" s="18">
        <v>4</v>
      </c>
      <c r="U59" s="18">
        <v>132.97</v>
      </c>
      <c r="V59" s="19">
        <v>0.15</v>
      </c>
      <c r="W59" s="18">
        <v>113.0245</v>
      </c>
      <c r="X59" s="18">
        <v>168.02449999999999</v>
      </c>
      <c r="Y59" s="18" t="s">
        <v>2111</v>
      </c>
      <c r="Z59" s="18" t="s">
        <v>2072</v>
      </c>
      <c r="AA59" s="20">
        <v>10</v>
      </c>
      <c r="AB59">
        <v>15.524999999999999</v>
      </c>
    </row>
    <row r="60" spans="1:28">
      <c r="A60" s="15" t="s">
        <v>275</v>
      </c>
      <c r="B60" s="15" t="s">
        <v>276</v>
      </c>
      <c r="C60" s="15" t="s">
        <v>277</v>
      </c>
      <c r="D60" s="15">
        <v>44</v>
      </c>
      <c r="E60" s="15" t="s">
        <v>31</v>
      </c>
      <c r="F60" s="15" t="s">
        <v>223</v>
      </c>
      <c r="G60" s="15" t="s">
        <v>278</v>
      </c>
      <c r="H60" s="15" t="s">
        <v>279</v>
      </c>
      <c r="I60" s="15" t="s">
        <v>280</v>
      </c>
      <c r="J60" s="15">
        <v>45389</v>
      </c>
      <c r="K60" s="15" t="s">
        <v>281</v>
      </c>
      <c r="L60" s="15" t="s">
        <v>237</v>
      </c>
      <c r="M60" s="15">
        <v>132.97</v>
      </c>
      <c r="N60" s="15">
        <v>1</v>
      </c>
      <c r="O60" s="15" t="s">
        <v>65</v>
      </c>
      <c r="P60" s="15">
        <v>6</v>
      </c>
      <c r="Q60" s="15">
        <v>57</v>
      </c>
      <c r="R60" s="15">
        <v>45396</v>
      </c>
      <c r="S60" s="15" t="s">
        <v>282</v>
      </c>
      <c r="T60" s="15">
        <v>7</v>
      </c>
      <c r="U60" s="15">
        <v>132.97</v>
      </c>
      <c r="V60" s="16">
        <v>0</v>
      </c>
      <c r="W60" s="15">
        <v>132.97</v>
      </c>
      <c r="X60" s="15">
        <v>132.97</v>
      </c>
      <c r="Y60" s="15" t="s">
        <v>2110</v>
      </c>
      <c r="Z60" s="15" t="s">
        <v>2064</v>
      </c>
      <c r="AA60" s="17">
        <v>12</v>
      </c>
      <c r="AB60">
        <v>109.09200000000001</v>
      </c>
    </row>
    <row r="61" spans="1:28">
      <c r="A61" s="18" t="s">
        <v>1740</v>
      </c>
      <c r="B61" s="18" t="s">
        <v>1741</v>
      </c>
      <c r="C61" s="18" t="s">
        <v>1742</v>
      </c>
      <c r="D61" s="18">
        <v>47</v>
      </c>
      <c r="E61" s="18" t="s">
        <v>43</v>
      </c>
      <c r="F61" s="18" t="s">
        <v>32</v>
      </c>
      <c r="G61" s="18" t="s">
        <v>1743</v>
      </c>
      <c r="H61" s="18" t="s">
        <v>1744</v>
      </c>
      <c r="I61" s="18" t="s">
        <v>1929</v>
      </c>
      <c r="J61" s="18">
        <v>45183</v>
      </c>
      <c r="K61" s="18" t="s">
        <v>1930</v>
      </c>
      <c r="L61" s="18" t="s">
        <v>237</v>
      </c>
      <c r="M61" s="18">
        <v>132.97</v>
      </c>
      <c r="N61" s="18">
        <v>1</v>
      </c>
      <c r="O61" s="18" t="s">
        <v>60</v>
      </c>
      <c r="P61" s="18">
        <v>6</v>
      </c>
      <c r="Q61" s="18">
        <v>37</v>
      </c>
      <c r="R61" s="18">
        <v>45190</v>
      </c>
      <c r="S61" s="18" t="s">
        <v>1931</v>
      </c>
      <c r="T61" s="18">
        <v>7</v>
      </c>
      <c r="U61" s="18">
        <v>132.97</v>
      </c>
      <c r="V61" s="19">
        <v>0.15</v>
      </c>
      <c r="W61" s="18">
        <v>113.0245</v>
      </c>
      <c r="X61" s="18">
        <v>150.02449999999999</v>
      </c>
      <c r="Y61" s="18" t="s">
        <v>2112</v>
      </c>
      <c r="Z61" s="18" t="s">
        <v>2064</v>
      </c>
      <c r="AA61" s="20">
        <v>2</v>
      </c>
      <c r="AB61">
        <v>171.64200000000002</v>
      </c>
    </row>
    <row r="62" spans="1:28">
      <c r="A62" s="15" t="s">
        <v>283</v>
      </c>
      <c r="B62" s="15" t="s">
        <v>284</v>
      </c>
      <c r="C62" s="15" t="s">
        <v>285</v>
      </c>
      <c r="D62" s="15">
        <v>64</v>
      </c>
      <c r="E62" s="15" t="s">
        <v>54</v>
      </c>
      <c r="F62" s="15" t="s">
        <v>32</v>
      </c>
      <c r="G62" s="15" t="s">
        <v>286</v>
      </c>
      <c r="H62" s="15" t="s">
        <v>287</v>
      </c>
      <c r="I62" s="15" t="s">
        <v>894</v>
      </c>
      <c r="J62" s="15">
        <v>44989</v>
      </c>
      <c r="K62" s="15" t="s">
        <v>895</v>
      </c>
      <c r="L62" s="15" t="s">
        <v>421</v>
      </c>
      <c r="M62" s="15">
        <v>44.5</v>
      </c>
      <c r="N62" s="15">
        <v>3</v>
      </c>
      <c r="O62" s="15" t="s">
        <v>38</v>
      </c>
      <c r="P62" s="15">
        <v>6</v>
      </c>
      <c r="Q62" s="15">
        <v>46</v>
      </c>
      <c r="R62" s="15">
        <v>44991</v>
      </c>
      <c r="S62" s="15" t="s">
        <v>896</v>
      </c>
      <c r="T62" s="15">
        <v>2</v>
      </c>
      <c r="U62" s="15">
        <v>133.5</v>
      </c>
      <c r="V62" s="16">
        <v>0.08</v>
      </c>
      <c r="W62" s="15">
        <v>122.82</v>
      </c>
      <c r="X62" s="15">
        <v>168.82</v>
      </c>
      <c r="Y62" s="15" t="s">
        <v>2113</v>
      </c>
      <c r="Z62" s="15" t="s">
        <v>2060</v>
      </c>
      <c r="AA62" s="17">
        <v>5</v>
      </c>
      <c r="AB62">
        <v>0</v>
      </c>
    </row>
    <row r="63" spans="1:28">
      <c r="A63" s="18" t="s">
        <v>67</v>
      </c>
      <c r="B63" s="18" t="s">
        <v>68</v>
      </c>
      <c r="C63" s="18" t="s">
        <v>69</v>
      </c>
      <c r="D63" s="18">
        <v>49</v>
      </c>
      <c r="E63" s="18" t="s">
        <v>54</v>
      </c>
      <c r="F63" s="18" t="s">
        <v>32</v>
      </c>
      <c r="G63" s="18" t="s">
        <v>70</v>
      </c>
      <c r="H63" s="18" t="s">
        <v>71</v>
      </c>
      <c r="I63" s="18" t="s">
        <v>1964</v>
      </c>
      <c r="J63" s="18">
        <v>45377</v>
      </c>
      <c r="K63" s="18" t="s">
        <v>1965</v>
      </c>
      <c r="L63" s="18" t="s">
        <v>421</v>
      </c>
      <c r="M63" s="18">
        <v>44.5</v>
      </c>
      <c r="N63" s="18">
        <v>3</v>
      </c>
      <c r="O63" s="18" t="s">
        <v>87</v>
      </c>
      <c r="P63" s="18">
        <v>7</v>
      </c>
      <c r="Q63" s="18">
        <v>40</v>
      </c>
      <c r="R63" s="18">
        <v>45382</v>
      </c>
      <c r="S63" s="18" t="s">
        <v>1966</v>
      </c>
      <c r="T63" s="18">
        <v>5</v>
      </c>
      <c r="U63" s="18">
        <v>133.5</v>
      </c>
      <c r="V63" s="19">
        <v>0.2</v>
      </c>
      <c r="W63" s="18">
        <v>106.8</v>
      </c>
      <c r="X63" s="18">
        <v>146.80000000000001</v>
      </c>
      <c r="Y63" s="18" t="s">
        <v>2098</v>
      </c>
      <c r="Z63" s="18" t="s">
        <v>2060</v>
      </c>
      <c r="AA63" s="20">
        <v>3</v>
      </c>
      <c r="AB63">
        <v>88.140799999999999</v>
      </c>
    </row>
    <row r="64" spans="1:28">
      <c r="A64" s="15" t="s">
        <v>1194</v>
      </c>
      <c r="B64" s="15" t="s">
        <v>42</v>
      </c>
      <c r="C64" s="15" t="s">
        <v>1195</v>
      </c>
      <c r="D64" s="15">
        <v>34</v>
      </c>
      <c r="E64" s="15" t="s">
        <v>54</v>
      </c>
      <c r="F64" s="15" t="s">
        <v>223</v>
      </c>
      <c r="G64" s="15" t="s">
        <v>1196</v>
      </c>
      <c r="H64" s="15" t="s">
        <v>1197</v>
      </c>
      <c r="I64" s="15" t="s">
        <v>1198</v>
      </c>
      <c r="J64" s="15">
        <v>45595</v>
      </c>
      <c r="K64" s="15" t="s">
        <v>1199</v>
      </c>
      <c r="L64" s="15" t="s">
        <v>566</v>
      </c>
      <c r="M64" s="15">
        <v>133.62</v>
      </c>
      <c r="N64" s="15">
        <v>1</v>
      </c>
      <c r="O64" s="15" t="s">
        <v>38</v>
      </c>
      <c r="P64" s="15">
        <v>1</v>
      </c>
      <c r="Q64" s="15">
        <v>57</v>
      </c>
      <c r="R64" s="15">
        <v>45602</v>
      </c>
      <c r="S64" s="15" t="s">
        <v>1200</v>
      </c>
      <c r="T64" s="15">
        <v>7</v>
      </c>
      <c r="U64" s="15">
        <v>133.62</v>
      </c>
      <c r="V64" s="16">
        <v>0.08</v>
      </c>
      <c r="W64" s="15">
        <v>122.93040000000001</v>
      </c>
      <c r="X64" s="15">
        <v>179.93040000000002</v>
      </c>
      <c r="Y64" s="15" t="s">
        <v>2061</v>
      </c>
      <c r="Z64" s="15" t="s">
        <v>2064</v>
      </c>
      <c r="AA64" s="17">
        <v>1</v>
      </c>
      <c r="AB64">
        <v>42.17</v>
      </c>
    </row>
    <row r="65" spans="1:28">
      <c r="A65" s="18" t="s">
        <v>649</v>
      </c>
      <c r="B65" s="18" t="s">
        <v>650</v>
      </c>
      <c r="C65" s="18" t="s">
        <v>651</v>
      </c>
      <c r="D65" s="18">
        <v>45</v>
      </c>
      <c r="E65" s="18" t="s">
        <v>54</v>
      </c>
      <c r="F65" s="18" t="s">
        <v>92</v>
      </c>
      <c r="G65" s="18" t="s">
        <v>652</v>
      </c>
      <c r="H65" s="18" t="s">
        <v>653</v>
      </c>
      <c r="I65" s="18" t="s">
        <v>1654</v>
      </c>
      <c r="J65" s="18">
        <v>45446</v>
      </c>
      <c r="K65" s="18" t="s">
        <v>1655</v>
      </c>
      <c r="L65" s="18" t="s">
        <v>566</v>
      </c>
      <c r="M65" s="18">
        <v>133.62</v>
      </c>
      <c r="N65" s="18">
        <v>1</v>
      </c>
      <c r="O65" s="18" t="s">
        <v>60</v>
      </c>
      <c r="P65" s="18">
        <v>5</v>
      </c>
      <c r="Q65" s="18">
        <v>39</v>
      </c>
      <c r="R65" s="18">
        <v>45451</v>
      </c>
      <c r="S65" s="18" t="s">
        <v>1656</v>
      </c>
      <c r="T65" s="18">
        <v>5</v>
      </c>
      <c r="U65" s="18">
        <v>133.62</v>
      </c>
      <c r="V65" s="19">
        <v>0.15</v>
      </c>
      <c r="W65" s="18">
        <v>113.577</v>
      </c>
      <c r="X65" s="18">
        <v>152.577</v>
      </c>
      <c r="Y65" s="18" t="s">
        <v>2114</v>
      </c>
      <c r="Z65" s="18" t="s">
        <v>2072</v>
      </c>
      <c r="AA65" s="20">
        <v>12</v>
      </c>
      <c r="AB65">
        <v>54.502000000000002</v>
      </c>
    </row>
    <row r="66" spans="1:28">
      <c r="A66" s="15" t="s">
        <v>396</v>
      </c>
      <c r="B66" s="15" t="s">
        <v>397</v>
      </c>
      <c r="C66" s="15" t="s">
        <v>398</v>
      </c>
      <c r="D66" s="15">
        <v>40</v>
      </c>
      <c r="E66" s="15" t="s">
        <v>54</v>
      </c>
      <c r="F66" s="15" t="s">
        <v>170</v>
      </c>
      <c r="G66" s="15" t="s">
        <v>399</v>
      </c>
      <c r="H66" s="15" t="s">
        <v>400</v>
      </c>
      <c r="I66" s="15" t="s">
        <v>1737</v>
      </c>
      <c r="J66" s="15">
        <v>45033</v>
      </c>
      <c r="K66" s="15" t="s">
        <v>1738</v>
      </c>
      <c r="L66" s="15" t="s">
        <v>566</v>
      </c>
      <c r="M66" s="15">
        <v>133.62</v>
      </c>
      <c r="N66" s="15">
        <v>1</v>
      </c>
      <c r="O66" s="15" t="s">
        <v>60</v>
      </c>
      <c r="P66" s="15">
        <v>5</v>
      </c>
      <c r="Q66" s="15">
        <v>66</v>
      </c>
      <c r="R66" s="15">
        <v>45037</v>
      </c>
      <c r="S66" s="15" t="s">
        <v>1739</v>
      </c>
      <c r="T66" s="15">
        <v>4</v>
      </c>
      <c r="U66" s="15">
        <v>133.62</v>
      </c>
      <c r="V66" s="16">
        <v>0.15</v>
      </c>
      <c r="W66" s="15">
        <v>113.577</v>
      </c>
      <c r="X66" s="15">
        <v>179.577</v>
      </c>
      <c r="Y66" s="15" t="s">
        <v>2115</v>
      </c>
      <c r="Z66" s="15" t="s">
        <v>2060</v>
      </c>
      <c r="AA66" s="17">
        <v>2</v>
      </c>
      <c r="AB66">
        <v>42.223199999999999</v>
      </c>
    </row>
    <row r="67" spans="1:28">
      <c r="A67" s="18" t="s">
        <v>1213</v>
      </c>
      <c r="B67" s="18" t="s">
        <v>1214</v>
      </c>
      <c r="C67" s="18" t="s">
        <v>1215</v>
      </c>
      <c r="D67" s="18">
        <v>50</v>
      </c>
      <c r="E67" s="18" t="s">
        <v>54</v>
      </c>
      <c r="F67" s="18" t="s">
        <v>170</v>
      </c>
      <c r="G67" s="18" t="s">
        <v>1216</v>
      </c>
      <c r="H67" s="18" t="s">
        <v>1217</v>
      </c>
      <c r="I67" s="18" t="s">
        <v>1525</v>
      </c>
      <c r="J67" s="18">
        <v>45289</v>
      </c>
      <c r="K67" s="18" t="s">
        <v>1526</v>
      </c>
      <c r="L67" s="18" t="s">
        <v>987</v>
      </c>
      <c r="M67" s="18">
        <v>33.49</v>
      </c>
      <c r="N67" s="18">
        <v>4</v>
      </c>
      <c r="O67" s="18" t="s">
        <v>60</v>
      </c>
      <c r="P67" s="18">
        <v>4</v>
      </c>
      <c r="Q67" s="18">
        <v>67</v>
      </c>
      <c r="R67" s="18">
        <v>45294</v>
      </c>
      <c r="S67" s="18" t="s">
        <v>1527</v>
      </c>
      <c r="T67" s="18">
        <v>5</v>
      </c>
      <c r="U67" s="18">
        <v>133.96</v>
      </c>
      <c r="V67" s="19">
        <v>0.15</v>
      </c>
      <c r="W67" s="18">
        <v>113.86600000000001</v>
      </c>
      <c r="X67" s="18">
        <v>180.86600000000001</v>
      </c>
      <c r="Y67" s="18" t="s">
        <v>2100</v>
      </c>
      <c r="Z67" s="18" t="s">
        <v>2064</v>
      </c>
      <c r="AA67" s="20">
        <v>7</v>
      </c>
      <c r="AB67">
        <v>102.22499999999999</v>
      </c>
    </row>
    <row r="68" spans="1:28">
      <c r="A68" s="15" t="s">
        <v>578</v>
      </c>
      <c r="B68" s="15" t="s">
        <v>259</v>
      </c>
      <c r="C68" s="15" t="s">
        <v>579</v>
      </c>
      <c r="D68" s="15">
        <v>35</v>
      </c>
      <c r="E68" s="15" t="s">
        <v>31</v>
      </c>
      <c r="F68" s="15" t="s">
        <v>32</v>
      </c>
      <c r="G68" s="15" t="s">
        <v>580</v>
      </c>
      <c r="H68" s="15" t="s">
        <v>581</v>
      </c>
      <c r="I68" s="15" t="s">
        <v>2026</v>
      </c>
      <c r="J68" s="15">
        <v>45007</v>
      </c>
      <c r="K68" s="15" t="s">
        <v>2027</v>
      </c>
      <c r="L68" s="15" t="s">
        <v>987</v>
      </c>
      <c r="M68" s="15">
        <v>33.49</v>
      </c>
      <c r="N68" s="15">
        <v>4</v>
      </c>
      <c r="O68" s="15" t="s">
        <v>87</v>
      </c>
      <c r="P68" s="15">
        <v>7</v>
      </c>
      <c r="Q68" s="15">
        <v>54</v>
      </c>
      <c r="R68" s="15">
        <v>45008</v>
      </c>
      <c r="S68" s="15" t="s">
        <v>2028</v>
      </c>
      <c r="T68" s="15">
        <v>1</v>
      </c>
      <c r="U68" s="15">
        <v>133.96</v>
      </c>
      <c r="V68" s="16">
        <v>0.2</v>
      </c>
      <c r="W68" s="15">
        <v>107.16800000000001</v>
      </c>
      <c r="X68" s="15">
        <v>161.16800000000001</v>
      </c>
      <c r="Y68" s="15" t="s">
        <v>2116</v>
      </c>
      <c r="Z68" s="15" t="s">
        <v>2060</v>
      </c>
      <c r="AA68" s="17">
        <v>6</v>
      </c>
      <c r="AB68">
        <v>88.206000000000003</v>
      </c>
    </row>
    <row r="69" spans="1:28">
      <c r="A69" s="18" t="s">
        <v>396</v>
      </c>
      <c r="B69" s="18" t="s">
        <v>397</v>
      </c>
      <c r="C69" s="18" t="s">
        <v>398</v>
      </c>
      <c r="D69" s="18">
        <v>40</v>
      </c>
      <c r="E69" s="18" t="s">
        <v>54</v>
      </c>
      <c r="F69" s="18" t="s">
        <v>170</v>
      </c>
      <c r="G69" s="18" t="s">
        <v>399</v>
      </c>
      <c r="H69" s="18" t="s">
        <v>400</v>
      </c>
      <c r="I69" s="18" t="s">
        <v>796</v>
      </c>
      <c r="J69" s="18">
        <v>45186</v>
      </c>
      <c r="K69" s="18" t="s">
        <v>797</v>
      </c>
      <c r="L69" s="18" t="s">
        <v>517</v>
      </c>
      <c r="M69" s="18">
        <v>136.30000000000001</v>
      </c>
      <c r="N69" s="18">
        <v>1</v>
      </c>
      <c r="O69" s="18" t="s">
        <v>87</v>
      </c>
      <c r="P69" s="18">
        <v>4</v>
      </c>
      <c r="Q69" s="18">
        <v>41</v>
      </c>
      <c r="R69" s="18">
        <v>45189</v>
      </c>
      <c r="S69" s="18" t="s">
        <v>798</v>
      </c>
      <c r="T69" s="18">
        <v>3</v>
      </c>
      <c r="U69" s="18">
        <v>136.30000000000001</v>
      </c>
      <c r="V69" s="19">
        <v>0.2</v>
      </c>
      <c r="W69" s="18">
        <v>109.04</v>
      </c>
      <c r="X69" s="18">
        <v>150.04000000000002</v>
      </c>
      <c r="Y69" s="18" t="s">
        <v>2115</v>
      </c>
      <c r="Z69" s="18" t="s">
        <v>2060</v>
      </c>
      <c r="AA69" s="20">
        <v>1</v>
      </c>
      <c r="AB69">
        <v>295.22399999999999</v>
      </c>
    </row>
    <row r="70" spans="1:28">
      <c r="A70" s="15" t="s">
        <v>753</v>
      </c>
      <c r="B70" s="15" t="s">
        <v>754</v>
      </c>
      <c r="C70" s="15" t="s">
        <v>755</v>
      </c>
      <c r="D70" s="15">
        <v>43</v>
      </c>
      <c r="E70" s="15" t="s">
        <v>54</v>
      </c>
      <c r="F70" s="15" t="s">
        <v>161</v>
      </c>
      <c r="G70" s="15" t="s">
        <v>756</v>
      </c>
      <c r="H70" s="15" t="s">
        <v>757</v>
      </c>
      <c r="I70" s="15" t="s">
        <v>916</v>
      </c>
      <c r="J70" s="15">
        <v>45291</v>
      </c>
      <c r="K70" s="15" t="s">
        <v>917</v>
      </c>
      <c r="L70" s="15" t="s">
        <v>517</v>
      </c>
      <c r="M70" s="15">
        <v>136.30000000000001</v>
      </c>
      <c r="N70" s="15">
        <v>1</v>
      </c>
      <c r="O70" s="15" t="s">
        <v>60</v>
      </c>
      <c r="P70" s="15">
        <v>1</v>
      </c>
      <c r="Q70" s="15">
        <v>64</v>
      </c>
      <c r="R70" s="15">
        <v>45296</v>
      </c>
      <c r="S70" s="15" t="s">
        <v>918</v>
      </c>
      <c r="T70" s="15">
        <v>5</v>
      </c>
      <c r="U70" s="15">
        <v>136.30000000000001</v>
      </c>
      <c r="V70" s="16">
        <v>0.15</v>
      </c>
      <c r="W70" s="15">
        <v>115.85500000000002</v>
      </c>
      <c r="X70" s="15">
        <v>179.85500000000002</v>
      </c>
      <c r="Y70" s="15" t="s">
        <v>2117</v>
      </c>
      <c r="Z70" s="15" t="s">
        <v>2064</v>
      </c>
      <c r="AA70" s="17">
        <v>12</v>
      </c>
      <c r="AB70">
        <v>297.95399999999995</v>
      </c>
    </row>
    <row r="71" spans="1:28">
      <c r="A71" s="18" t="s">
        <v>649</v>
      </c>
      <c r="B71" s="18" t="s">
        <v>650</v>
      </c>
      <c r="C71" s="18" t="s">
        <v>651</v>
      </c>
      <c r="D71" s="18">
        <v>45</v>
      </c>
      <c r="E71" s="18" t="s">
        <v>54</v>
      </c>
      <c r="F71" s="18" t="s">
        <v>92</v>
      </c>
      <c r="G71" s="18" t="s">
        <v>652</v>
      </c>
      <c r="H71" s="18" t="s">
        <v>653</v>
      </c>
      <c r="I71" s="18" t="s">
        <v>1817</v>
      </c>
      <c r="J71" s="18">
        <v>44987</v>
      </c>
      <c r="K71" s="18" t="s">
        <v>1818</v>
      </c>
      <c r="L71" s="18" t="s">
        <v>517</v>
      </c>
      <c r="M71" s="18">
        <v>136.30000000000001</v>
      </c>
      <c r="N71" s="18">
        <v>1</v>
      </c>
      <c r="O71" s="18" t="s">
        <v>38</v>
      </c>
      <c r="P71" s="18">
        <v>4</v>
      </c>
      <c r="Q71" s="18">
        <v>41</v>
      </c>
      <c r="R71" s="18">
        <v>44988</v>
      </c>
      <c r="S71" s="18" t="s">
        <v>1819</v>
      </c>
      <c r="T71" s="18">
        <v>1</v>
      </c>
      <c r="U71" s="18">
        <v>136.30000000000001</v>
      </c>
      <c r="V71" s="19">
        <v>0.08</v>
      </c>
      <c r="W71" s="18">
        <v>125.39600000000002</v>
      </c>
      <c r="X71" s="18">
        <v>166.39600000000002</v>
      </c>
      <c r="Y71" s="18" t="s">
        <v>2114</v>
      </c>
      <c r="Z71" s="18" t="s">
        <v>2060</v>
      </c>
      <c r="AA71" s="20">
        <v>10</v>
      </c>
      <c r="AB71">
        <v>79.454399999999993</v>
      </c>
    </row>
    <row r="72" spans="1:28">
      <c r="A72" s="15" t="s">
        <v>1460</v>
      </c>
      <c r="B72" s="15" t="s">
        <v>276</v>
      </c>
      <c r="C72" s="15" t="s">
        <v>1461</v>
      </c>
      <c r="D72" s="15">
        <v>30</v>
      </c>
      <c r="E72" s="15" t="s">
        <v>31</v>
      </c>
      <c r="F72" s="15" t="s">
        <v>223</v>
      </c>
      <c r="G72" s="15" t="s">
        <v>1462</v>
      </c>
      <c r="H72" s="15" t="s">
        <v>1463</v>
      </c>
      <c r="I72" s="15" t="s">
        <v>1501</v>
      </c>
      <c r="J72" s="15">
        <v>45420</v>
      </c>
      <c r="K72" s="15" t="s">
        <v>1502</v>
      </c>
      <c r="L72" s="15" t="s">
        <v>116</v>
      </c>
      <c r="M72" s="15">
        <v>48.45</v>
      </c>
      <c r="N72" s="15">
        <v>3</v>
      </c>
      <c r="O72" s="15" t="s">
        <v>98</v>
      </c>
      <c r="P72" s="15">
        <v>2</v>
      </c>
      <c r="Q72" s="15">
        <v>63</v>
      </c>
      <c r="R72" s="15">
        <v>45422</v>
      </c>
      <c r="S72" s="15" t="s">
        <v>1503</v>
      </c>
      <c r="T72" s="15">
        <v>2</v>
      </c>
      <c r="U72" s="15">
        <v>145.35000000000002</v>
      </c>
      <c r="V72" s="16">
        <v>0.1</v>
      </c>
      <c r="W72" s="15">
        <v>130.81500000000003</v>
      </c>
      <c r="X72" s="15">
        <v>193.81500000000003</v>
      </c>
      <c r="Y72" s="15" t="s">
        <v>2084</v>
      </c>
      <c r="Z72" s="15" t="s">
        <v>2072</v>
      </c>
      <c r="AA72" s="17">
        <v>10</v>
      </c>
      <c r="AB72">
        <v>0</v>
      </c>
    </row>
    <row r="73" spans="1:28">
      <c r="A73" s="18" t="s">
        <v>1082</v>
      </c>
      <c r="B73" s="18" t="s">
        <v>221</v>
      </c>
      <c r="C73" s="18" t="s">
        <v>1083</v>
      </c>
      <c r="D73" s="18">
        <v>55</v>
      </c>
      <c r="E73" s="18" t="s">
        <v>43</v>
      </c>
      <c r="F73" s="18" t="s">
        <v>161</v>
      </c>
      <c r="G73" s="18" t="s">
        <v>1084</v>
      </c>
      <c r="H73" s="18" t="s">
        <v>1085</v>
      </c>
      <c r="I73" s="18" t="s">
        <v>1602</v>
      </c>
      <c r="J73" s="18">
        <v>45045</v>
      </c>
      <c r="K73" s="18" t="s">
        <v>1603</v>
      </c>
      <c r="L73" s="18" t="s">
        <v>116</v>
      </c>
      <c r="M73" s="18">
        <v>48.45</v>
      </c>
      <c r="N73" s="18">
        <v>3</v>
      </c>
      <c r="O73" s="18" t="s">
        <v>65</v>
      </c>
      <c r="P73" s="18">
        <v>6</v>
      </c>
      <c r="Q73" s="18">
        <v>58</v>
      </c>
      <c r="R73" s="18">
        <v>45046</v>
      </c>
      <c r="S73" s="18" t="s">
        <v>1604</v>
      </c>
      <c r="T73" s="18">
        <v>1</v>
      </c>
      <c r="U73" s="18">
        <v>145.35000000000002</v>
      </c>
      <c r="V73" s="19">
        <v>0</v>
      </c>
      <c r="W73" s="18">
        <v>145.35000000000002</v>
      </c>
      <c r="X73" s="18">
        <v>145.35000000000002</v>
      </c>
      <c r="Y73" s="18" t="s">
        <v>2107</v>
      </c>
      <c r="Z73" s="18" t="s">
        <v>2060</v>
      </c>
      <c r="AA73" s="20">
        <v>7</v>
      </c>
      <c r="AB73">
        <v>0</v>
      </c>
    </row>
    <row r="74" spans="1:28">
      <c r="A74" s="15" t="s">
        <v>1617</v>
      </c>
      <c r="B74" s="15" t="s">
        <v>276</v>
      </c>
      <c r="C74" s="15" t="s">
        <v>1618</v>
      </c>
      <c r="D74" s="15">
        <v>62</v>
      </c>
      <c r="E74" s="15" t="s">
        <v>43</v>
      </c>
      <c r="F74" s="15" t="s">
        <v>44</v>
      </c>
      <c r="G74" s="15" t="s">
        <v>1619</v>
      </c>
      <c r="H74" s="15" t="s">
        <v>1620</v>
      </c>
      <c r="I74" s="15" t="s">
        <v>1715</v>
      </c>
      <c r="J74" s="15">
        <v>45340</v>
      </c>
      <c r="K74" s="15" t="s">
        <v>1716</v>
      </c>
      <c r="L74" s="15" t="s">
        <v>116</v>
      </c>
      <c r="M74" s="15">
        <v>48.45</v>
      </c>
      <c r="N74" s="15">
        <v>3</v>
      </c>
      <c r="O74" s="15" t="s">
        <v>60</v>
      </c>
      <c r="P74" s="15">
        <v>5</v>
      </c>
      <c r="Q74" s="15">
        <v>42</v>
      </c>
      <c r="R74" s="15">
        <v>45347</v>
      </c>
      <c r="S74" s="15" t="s">
        <v>1717</v>
      </c>
      <c r="T74" s="15">
        <v>7</v>
      </c>
      <c r="U74" s="15">
        <v>145.35000000000002</v>
      </c>
      <c r="V74" s="16">
        <v>0.15</v>
      </c>
      <c r="W74" s="15">
        <v>123.54750000000001</v>
      </c>
      <c r="X74" s="15">
        <v>165.54750000000001</v>
      </c>
      <c r="Y74" s="15" t="s">
        <v>2067</v>
      </c>
      <c r="Z74" s="15" t="s">
        <v>2064</v>
      </c>
      <c r="AA74" s="17">
        <v>3</v>
      </c>
      <c r="AB74">
        <v>30.888000000000002</v>
      </c>
    </row>
    <row r="75" spans="1:28">
      <c r="A75" s="18" t="s">
        <v>1241</v>
      </c>
      <c r="B75" s="18" t="s">
        <v>1242</v>
      </c>
      <c r="C75" s="18" t="s">
        <v>1243</v>
      </c>
      <c r="D75" s="18">
        <v>55</v>
      </c>
      <c r="E75" s="18" t="s">
        <v>43</v>
      </c>
      <c r="F75" s="18" t="s">
        <v>161</v>
      </c>
      <c r="G75" s="18" t="s">
        <v>1244</v>
      </c>
      <c r="H75" s="18" t="s">
        <v>1245</v>
      </c>
      <c r="I75" s="18" t="s">
        <v>2017</v>
      </c>
      <c r="J75" s="18">
        <v>45356</v>
      </c>
      <c r="K75" s="18" t="s">
        <v>2018</v>
      </c>
      <c r="L75" s="18" t="s">
        <v>116</v>
      </c>
      <c r="M75" s="18">
        <v>48.45</v>
      </c>
      <c r="N75" s="18">
        <v>3</v>
      </c>
      <c r="O75" s="18" t="s">
        <v>87</v>
      </c>
      <c r="P75" s="18">
        <v>6</v>
      </c>
      <c r="Q75" s="18">
        <v>43</v>
      </c>
      <c r="R75" s="18">
        <v>45358</v>
      </c>
      <c r="S75" s="18" t="s">
        <v>2019</v>
      </c>
      <c r="T75" s="18">
        <v>2</v>
      </c>
      <c r="U75" s="18">
        <v>145.35000000000002</v>
      </c>
      <c r="V75" s="19">
        <v>0.2</v>
      </c>
      <c r="W75" s="18">
        <v>116.28000000000002</v>
      </c>
      <c r="X75" s="18">
        <v>159.28000000000003</v>
      </c>
      <c r="Y75" s="18" t="s">
        <v>2101</v>
      </c>
      <c r="Z75" s="18" t="s">
        <v>2060</v>
      </c>
      <c r="AA75" s="20">
        <v>7</v>
      </c>
      <c r="AB75">
        <v>323.58</v>
      </c>
    </row>
    <row r="76" spans="1:28">
      <c r="A76" s="15" t="s">
        <v>531</v>
      </c>
      <c r="B76" s="15" t="s">
        <v>397</v>
      </c>
      <c r="C76" s="15" t="s">
        <v>532</v>
      </c>
      <c r="D76" s="15">
        <v>51</v>
      </c>
      <c r="E76" s="15" t="s">
        <v>54</v>
      </c>
      <c r="F76" s="15" t="s">
        <v>142</v>
      </c>
      <c r="G76" s="15" t="s">
        <v>533</v>
      </c>
      <c r="H76" s="15" t="s">
        <v>534</v>
      </c>
      <c r="I76" s="15" t="s">
        <v>793</v>
      </c>
      <c r="J76" s="15">
        <v>45335</v>
      </c>
      <c r="K76" s="15" t="s">
        <v>794</v>
      </c>
      <c r="L76" s="15" t="s">
        <v>343</v>
      </c>
      <c r="M76" s="15">
        <v>77.84</v>
      </c>
      <c r="N76" s="15">
        <v>2</v>
      </c>
      <c r="O76" s="15" t="s">
        <v>38</v>
      </c>
      <c r="P76" s="15">
        <v>6</v>
      </c>
      <c r="Q76" s="15">
        <v>36</v>
      </c>
      <c r="R76" s="15">
        <v>45341</v>
      </c>
      <c r="S76" s="15" t="s">
        <v>795</v>
      </c>
      <c r="T76" s="15">
        <v>6</v>
      </c>
      <c r="U76" s="15">
        <v>155.68</v>
      </c>
      <c r="V76" s="16">
        <v>0.08</v>
      </c>
      <c r="W76" s="15">
        <v>143.22560000000001</v>
      </c>
      <c r="X76" s="15">
        <v>179.22560000000001</v>
      </c>
      <c r="Y76" s="15" t="s">
        <v>2118</v>
      </c>
      <c r="Z76" s="15" t="s">
        <v>2072</v>
      </c>
      <c r="AA76" s="17">
        <v>12</v>
      </c>
      <c r="AB76">
        <v>26.724000000000004</v>
      </c>
    </row>
    <row r="77" spans="1:28">
      <c r="A77" s="18" t="s">
        <v>478</v>
      </c>
      <c r="B77" s="18" t="s">
        <v>110</v>
      </c>
      <c r="C77" s="18" t="s">
        <v>479</v>
      </c>
      <c r="D77" s="18">
        <v>33</v>
      </c>
      <c r="E77" s="18" t="s">
        <v>31</v>
      </c>
      <c r="F77" s="18" t="s">
        <v>170</v>
      </c>
      <c r="G77" s="18" t="s">
        <v>480</v>
      </c>
      <c r="H77" s="18" t="s">
        <v>481</v>
      </c>
      <c r="I77" s="18" t="s">
        <v>1678</v>
      </c>
      <c r="J77" s="18">
        <v>45060</v>
      </c>
      <c r="K77" s="18" t="s">
        <v>1679</v>
      </c>
      <c r="L77" s="18" t="s">
        <v>290</v>
      </c>
      <c r="M77" s="18">
        <v>157.63999999999999</v>
      </c>
      <c r="N77" s="18">
        <v>1</v>
      </c>
      <c r="O77" s="18" t="s">
        <v>98</v>
      </c>
      <c r="P77" s="18">
        <v>7</v>
      </c>
      <c r="Q77" s="18">
        <v>48</v>
      </c>
      <c r="R77" s="18">
        <v>45067</v>
      </c>
      <c r="S77" s="18" t="s">
        <v>1680</v>
      </c>
      <c r="T77" s="18">
        <v>7</v>
      </c>
      <c r="U77" s="18">
        <v>157.63999999999999</v>
      </c>
      <c r="V77" s="19">
        <v>0.1</v>
      </c>
      <c r="W77" s="18">
        <v>141.87599999999998</v>
      </c>
      <c r="X77" s="18">
        <v>189.87599999999998</v>
      </c>
      <c r="Y77" s="18" t="s">
        <v>2119</v>
      </c>
      <c r="Z77" s="18" t="s">
        <v>2072</v>
      </c>
      <c r="AA77" s="20">
        <v>6</v>
      </c>
      <c r="AB77">
        <v>0</v>
      </c>
    </row>
    <row r="78" spans="1:28">
      <c r="A78" s="15" t="s">
        <v>438</v>
      </c>
      <c r="B78" s="15" t="s">
        <v>439</v>
      </c>
      <c r="C78" s="15" t="s">
        <v>440</v>
      </c>
      <c r="D78" s="15">
        <v>28</v>
      </c>
      <c r="E78" s="15" t="s">
        <v>54</v>
      </c>
      <c r="F78" s="15" t="s">
        <v>78</v>
      </c>
      <c r="G78" s="15" t="s">
        <v>441</v>
      </c>
      <c r="H78" s="15" t="s">
        <v>442</v>
      </c>
      <c r="I78" s="15" t="s">
        <v>1754</v>
      </c>
      <c r="J78" s="15">
        <v>45350</v>
      </c>
      <c r="K78" s="15" t="s">
        <v>1755</v>
      </c>
      <c r="L78" s="15" t="s">
        <v>290</v>
      </c>
      <c r="M78" s="15">
        <v>157.63999999999999</v>
      </c>
      <c r="N78" s="15">
        <v>1</v>
      </c>
      <c r="O78" s="15" t="s">
        <v>87</v>
      </c>
      <c r="P78" s="15">
        <v>1</v>
      </c>
      <c r="Q78" s="15">
        <v>59</v>
      </c>
      <c r="R78" s="15">
        <v>45356</v>
      </c>
      <c r="S78" s="15" t="s">
        <v>1756</v>
      </c>
      <c r="T78" s="15">
        <v>6</v>
      </c>
      <c r="U78" s="15">
        <v>157.63999999999999</v>
      </c>
      <c r="V78" s="16">
        <v>0.2</v>
      </c>
      <c r="W78" s="15">
        <v>126.11199999999999</v>
      </c>
      <c r="X78" s="15">
        <v>185.11199999999999</v>
      </c>
      <c r="Y78" s="15" t="s">
        <v>2120</v>
      </c>
      <c r="Z78" s="15" t="s">
        <v>2064</v>
      </c>
      <c r="AA78" s="17">
        <v>4</v>
      </c>
      <c r="AB78">
        <v>10.251199999999999</v>
      </c>
    </row>
    <row r="79" spans="1:28">
      <c r="A79" s="18" t="s">
        <v>369</v>
      </c>
      <c r="B79" s="18" t="s">
        <v>370</v>
      </c>
      <c r="C79" s="18" t="s">
        <v>371</v>
      </c>
      <c r="D79" s="18">
        <v>31</v>
      </c>
      <c r="E79" s="18" t="s">
        <v>54</v>
      </c>
      <c r="F79" s="18" t="s">
        <v>142</v>
      </c>
      <c r="G79" s="18" t="s">
        <v>372</v>
      </c>
      <c r="H79" s="18" t="s">
        <v>373</v>
      </c>
      <c r="I79" s="18" t="s">
        <v>1920</v>
      </c>
      <c r="J79" s="18">
        <v>45525</v>
      </c>
      <c r="K79" s="18" t="s">
        <v>1921</v>
      </c>
      <c r="L79" s="18" t="s">
        <v>290</v>
      </c>
      <c r="M79" s="18">
        <v>157.63999999999999</v>
      </c>
      <c r="N79" s="18">
        <v>1</v>
      </c>
      <c r="O79" s="18" t="s">
        <v>87</v>
      </c>
      <c r="P79" s="18">
        <v>7</v>
      </c>
      <c r="Q79" s="18">
        <v>46</v>
      </c>
      <c r="R79" s="18">
        <v>45527</v>
      </c>
      <c r="S79" s="18" t="s">
        <v>1922</v>
      </c>
      <c r="T79" s="18">
        <v>2</v>
      </c>
      <c r="U79" s="18">
        <v>157.63999999999999</v>
      </c>
      <c r="V79" s="19">
        <v>0.2</v>
      </c>
      <c r="W79" s="18">
        <v>126.11199999999999</v>
      </c>
      <c r="X79" s="18">
        <v>172.11199999999999</v>
      </c>
      <c r="Y79" s="18" t="s">
        <v>2108</v>
      </c>
      <c r="Z79" s="18" t="s">
        <v>2060</v>
      </c>
      <c r="AA79" s="20">
        <v>1</v>
      </c>
      <c r="AB79">
        <v>76.403199999999998</v>
      </c>
    </row>
    <row r="80" spans="1:28">
      <c r="A80" s="15" t="s">
        <v>67</v>
      </c>
      <c r="B80" s="15" t="s">
        <v>68</v>
      </c>
      <c r="C80" s="15" t="s">
        <v>69</v>
      </c>
      <c r="D80" s="15">
        <v>49</v>
      </c>
      <c r="E80" s="15" t="s">
        <v>54</v>
      </c>
      <c r="F80" s="15" t="s">
        <v>32</v>
      </c>
      <c r="G80" s="15" t="s">
        <v>70</v>
      </c>
      <c r="H80" s="15" t="s">
        <v>71</v>
      </c>
      <c r="I80" s="15" t="s">
        <v>72</v>
      </c>
      <c r="J80" s="15">
        <v>45391</v>
      </c>
      <c r="K80" s="15" t="s">
        <v>73</v>
      </c>
      <c r="L80" s="15" t="s">
        <v>49</v>
      </c>
      <c r="M80" s="15">
        <v>166.28</v>
      </c>
      <c r="N80" s="15">
        <v>1</v>
      </c>
      <c r="O80" s="15" t="s">
        <v>38</v>
      </c>
      <c r="P80" s="15">
        <v>2</v>
      </c>
      <c r="Q80" s="15">
        <v>54</v>
      </c>
      <c r="R80" s="15">
        <v>45395</v>
      </c>
      <c r="S80" s="15" t="s">
        <v>74</v>
      </c>
      <c r="T80" s="15">
        <v>4</v>
      </c>
      <c r="U80" s="15">
        <v>166.28</v>
      </c>
      <c r="V80" s="16">
        <v>0.08</v>
      </c>
      <c r="W80" s="15">
        <v>152.9776</v>
      </c>
      <c r="X80" s="15">
        <v>206.9776</v>
      </c>
      <c r="Y80" s="15" t="s">
        <v>2098</v>
      </c>
      <c r="Z80" s="15" t="s">
        <v>2064</v>
      </c>
      <c r="AA80" s="17">
        <v>5</v>
      </c>
      <c r="AB80">
        <v>0</v>
      </c>
    </row>
    <row r="81" spans="1:28">
      <c r="A81" s="18" t="s">
        <v>649</v>
      </c>
      <c r="B81" s="18" t="s">
        <v>650</v>
      </c>
      <c r="C81" s="18" t="s">
        <v>651</v>
      </c>
      <c r="D81" s="18">
        <v>45</v>
      </c>
      <c r="E81" s="18" t="s">
        <v>54</v>
      </c>
      <c r="F81" s="18" t="s">
        <v>92</v>
      </c>
      <c r="G81" s="18" t="s">
        <v>652</v>
      </c>
      <c r="H81" s="18" t="s">
        <v>653</v>
      </c>
      <c r="I81" s="18" t="s">
        <v>1985</v>
      </c>
      <c r="J81" s="18">
        <v>45327</v>
      </c>
      <c r="K81" s="18" t="s">
        <v>1986</v>
      </c>
      <c r="L81" s="18" t="s">
        <v>49</v>
      </c>
      <c r="M81" s="18">
        <v>166.28</v>
      </c>
      <c r="N81" s="18">
        <v>1</v>
      </c>
      <c r="O81" s="18" t="s">
        <v>65</v>
      </c>
      <c r="P81" s="18">
        <v>2</v>
      </c>
      <c r="Q81" s="18">
        <v>38</v>
      </c>
      <c r="R81" s="18">
        <v>45328</v>
      </c>
      <c r="S81" s="18" t="s">
        <v>1987</v>
      </c>
      <c r="T81" s="18">
        <v>1</v>
      </c>
      <c r="U81" s="18">
        <v>166.28</v>
      </c>
      <c r="V81" s="19">
        <v>0</v>
      </c>
      <c r="W81" s="18">
        <v>166.28</v>
      </c>
      <c r="X81" s="18">
        <v>166.28</v>
      </c>
      <c r="Y81" s="18" t="s">
        <v>2114</v>
      </c>
      <c r="Z81" s="18" t="s">
        <v>2060</v>
      </c>
      <c r="AA81" s="20">
        <v>5</v>
      </c>
      <c r="AB81">
        <v>192.59200000000001</v>
      </c>
    </row>
    <row r="82" spans="1:28">
      <c r="A82" s="15" t="s">
        <v>404</v>
      </c>
      <c r="B82" s="15" t="s">
        <v>405</v>
      </c>
      <c r="C82" s="15" t="s">
        <v>406</v>
      </c>
      <c r="D82" s="15">
        <v>70</v>
      </c>
      <c r="E82" s="15" t="s">
        <v>31</v>
      </c>
      <c r="F82" s="15" t="s">
        <v>32</v>
      </c>
      <c r="G82" s="15" t="s">
        <v>407</v>
      </c>
      <c r="H82" s="15" t="s">
        <v>408</v>
      </c>
      <c r="I82" s="15" t="s">
        <v>1805</v>
      </c>
      <c r="J82" s="15">
        <v>45622</v>
      </c>
      <c r="K82" s="15" t="s">
        <v>1806</v>
      </c>
      <c r="L82" s="15" t="s">
        <v>987</v>
      </c>
      <c r="M82" s="15">
        <v>33.49</v>
      </c>
      <c r="N82" s="15">
        <v>5</v>
      </c>
      <c r="O82" s="15" t="s">
        <v>87</v>
      </c>
      <c r="P82" s="15">
        <v>5</v>
      </c>
      <c r="Q82" s="15">
        <v>64</v>
      </c>
      <c r="R82" s="15">
        <v>45628</v>
      </c>
      <c r="S82" s="15" t="s">
        <v>1807</v>
      </c>
      <c r="T82" s="15">
        <v>6</v>
      </c>
      <c r="U82" s="15">
        <v>167.45000000000002</v>
      </c>
      <c r="V82" s="16">
        <v>0.2</v>
      </c>
      <c r="W82" s="15">
        <v>133.96</v>
      </c>
      <c r="X82" s="15">
        <v>197.96</v>
      </c>
      <c r="Y82" s="15" t="s">
        <v>2073</v>
      </c>
      <c r="Z82" s="15" t="s">
        <v>2064</v>
      </c>
      <c r="AA82" s="17">
        <v>1</v>
      </c>
      <c r="AB82">
        <v>138.99599999999998</v>
      </c>
    </row>
    <row r="83" spans="1:28">
      <c r="A83" s="18" t="s">
        <v>734</v>
      </c>
      <c r="B83" s="18" t="s">
        <v>735</v>
      </c>
      <c r="C83" s="18" t="s">
        <v>736</v>
      </c>
      <c r="D83" s="18">
        <v>30</v>
      </c>
      <c r="E83" s="18" t="s">
        <v>31</v>
      </c>
      <c r="F83" s="18" t="s">
        <v>161</v>
      </c>
      <c r="G83" s="18" t="s">
        <v>737</v>
      </c>
      <c r="H83" s="18" t="s">
        <v>738</v>
      </c>
      <c r="I83" s="18" t="s">
        <v>1814</v>
      </c>
      <c r="J83" s="18">
        <v>45587</v>
      </c>
      <c r="K83" s="18" t="s">
        <v>1815</v>
      </c>
      <c r="L83" s="18" t="s">
        <v>987</v>
      </c>
      <c r="M83" s="18">
        <v>33.49</v>
      </c>
      <c r="N83" s="18">
        <v>5</v>
      </c>
      <c r="O83" s="18" t="s">
        <v>87</v>
      </c>
      <c r="P83" s="18">
        <v>2</v>
      </c>
      <c r="Q83" s="18">
        <v>58</v>
      </c>
      <c r="R83" s="18">
        <v>45589</v>
      </c>
      <c r="S83" s="18" t="s">
        <v>1816</v>
      </c>
      <c r="T83" s="18">
        <v>2</v>
      </c>
      <c r="U83" s="18">
        <v>167.45000000000002</v>
      </c>
      <c r="V83" s="19">
        <v>0.2</v>
      </c>
      <c r="W83" s="18">
        <v>133.96</v>
      </c>
      <c r="X83" s="18">
        <v>191.96</v>
      </c>
      <c r="Y83" s="18" t="s">
        <v>2093</v>
      </c>
      <c r="Z83" s="18" t="s">
        <v>2072</v>
      </c>
      <c r="AA83" s="20">
        <v>8</v>
      </c>
      <c r="AB83">
        <v>80.605999999999995</v>
      </c>
    </row>
    <row r="84" spans="1:28">
      <c r="A84" s="15" t="s">
        <v>1241</v>
      </c>
      <c r="B84" s="15" t="s">
        <v>1242</v>
      </c>
      <c r="C84" s="15" t="s">
        <v>1243</v>
      </c>
      <c r="D84" s="15">
        <v>55</v>
      </c>
      <c r="E84" s="15" t="s">
        <v>43</v>
      </c>
      <c r="F84" s="15" t="s">
        <v>161</v>
      </c>
      <c r="G84" s="15" t="s">
        <v>1244</v>
      </c>
      <c r="H84" s="15" t="s">
        <v>1245</v>
      </c>
      <c r="I84" s="15" t="s">
        <v>1593</v>
      </c>
      <c r="J84" s="15">
        <v>44982</v>
      </c>
      <c r="K84" s="15" t="s">
        <v>1594</v>
      </c>
      <c r="L84" s="15" t="s">
        <v>484</v>
      </c>
      <c r="M84" s="15">
        <v>87.09</v>
      </c>
      <c r="N84" s="15">
        <v>2</v>
      </c>
      <c r="O84" s="15" t="s">
        <v>60</v>
      </c>
      <c r="P84" s="15">
        <v>3</v>
      </c>
      <c r="Q84" s="15">
        <v>62</v>
      </c>
      <c r="R84" s="15">
        <v>44987</v>
      </c>
      <c r="S84" s="15" t="s">
        <v>1595</v>
      </c>
      <c r="T84" s="15">
        <v>5</v>
      </c>
      <c r="U84" s="15">
        <v>174.18</v>
      </c>
      <c r="V84" s="16">
        <v>0.15</v>
      </c>
      <c r="W84" s="15">
        <v>148.053</v>
      </c>
      <c r="X84" s="15">
        <v>210.053</v>
      </c>
      <c r="Y84" s="15" t="s">
        <v>2101</v>
      </c>
      <c r="Z84" s="15" t="s">
        <v>2064</v>
      </c>
      <c r="AA84" s="17">
        <v>4</v>
      </c>
      <c r="AB84">
        <v>52.817600000000006</v>
      </c>
    </row>
    <row r="85" spans="1:28">
      <c r="A85" s="18" t="s">
        <v>538</v>
      </c>
      <c r="B85" s="18" t="s">
        <v>539</v>
      </c>
      <c r="C85" s="18" t="s">
        <v>540</v>
      </c>
      <c r="D85" s="18">
        <v>32</v>
      </c>
      <c r="E85" s="18" t="s">
        <v>54</v>
      </c>
      <c r="F85" s="18" t="s">
        <v>92</v>
      </c>
      <c r="G85" s="18" t="s">
        <v>541</v>
      </c>
      <c r="H85" s="18" t="s">
        <v>542</v>
      </c>
      <c r="I85" s="18" t="s">
        <v>1645</v>
      </c>
      <c r="J85" s="18">
        <v>45006</v>
      </c>
      <c r="K85" s="18" t="s">
        <v>1646</v>
      </c>
      <c r="L85" s="18" t="s">
        <v>484</v>
      </c>
      <c r="M85" s="18">
        <v>87.09</v>
      </c>
      <c r="N85" s="18">
        <v>2</v>
      </c>
      <c r="O85" s="18" t="s">
        <v>65</v>
      </c>
      <c r="P85" s="18">
        <v>4</v>
      </c>
      <c r="Q85" s="18">
        <v>67</v>
      </c>
      <c r="R85" s="18">
        <v>45010</v>
      </c>
      <c r="S85" s="18" t="s">
        <v>1647</v>
      </c>
      <c r="T85" s="18">
        <v>4</v>
      </c>
      <c r="U85" s="18">
        <v>174.18</v>
      </c>
      <c r="V85" s="19">
        <v>0</v>
      </c>
      <c r="W85" s="18">
        <v>174.18</v>
      </c>
      <c r="X85" s="18">
        <v>174.18</v>
      </c>
      <c r="Y85" s="18" t="s">
        <v>2121</v>
      </c>
      <c r="Z85" s="18" t="s">
        <v>2072</v>
      </c>
      <c r="AA85" s="20">
        <v>1</v>
      </c>
      <c r="AB85">
        <v>12.484000000000002</v>
      </c>
    </row>
    <row r="86" spans="1:28">
      <c r="A86" s="15" t="s">
        <v>415</v>
      </c>
      <c r="B86" s="15" t="s">
        <v>231</v>
      </c>
      <c r="C86" s="15" t="s">
        <v>416</v>
      </c>
      <c r="D86" s="15">
        <v>28</v>
      </c>
      <c r="E86" s="15" t="s">
        <v>54</v>
      </c>
      <c r="F86" s="15" t="s">
        <v>142</v>
      </c>
      <c r="G86" s="15" t="s">
        <v>417</v>
      </c>
      <c r="H86" s="15" t="s">
        <v>418</v>
      </c>
      <c r="I86" s="15" t="s">
        <v>419</v>
      </c>
      <c r="J86" s="15">
        <v>45365</v>
      </c>
      <c r="K86" s="15" t="s">
        <v>420</v>
      </c>
      <c r="L86" s="15" t="s">
        <v>421</v>
      </c>
      <c r="M86" s="15">
        <v>44.5</v>
      </c>
      <c r="N86" s="15">
        <v>4</v>
      </c>
      <c r="O86" s="15" t="s">
        <v>38</v>
      </c>
      <c r="P86" s="15">
        <v>2</v>
      </c>
      <c r="Q86" s="15">
        <v>40</v>
      </c>
      <c r="R86" s="15">
        <v>45368</v>
      </c>
      <c r="S86" s="15" t="s">
        <v>422</v>
      </c>
      <c r="T86" s="15">
        <v>3</v>
      </c>
      <c r="U86" s="15">
        <v>178</v>
      </c>
      <c r="V86" s="16">
        <v>0.08</v>
      </c>
      <c r="W86" s="15">
        <v>163.76</v>
      </c>
      <c r="X86" s="15">
        <v>203.76</v>
      </c>
      <c r="Y86" s="15" t="s">
        <v>2088</v>
      </c>
      <c r="Z86" s="15" t="s">
        <v>2064</v>
      </c>
      <c r="AA86" s="17">
        <v>11</v>
      </c>
      <c r="AB86">
        <v>66.022000000000006</v>
      </c>
    </row>
    <row r="87" spans="1:28">
      <c r="A87" s="18" t="s">
        <v>928</v>
      </c>
      <c r="B87" s="18" t="s">
        <v>929</v>
      </c>
      <c r="C87" s="18" t="s">
        <v>930</v>
      </c>
      <c r="D87" s="18">
        <v>24</v>
      </c>
      <c r="E87" s="18" t="s">
        <v>54</v>
      </c>
      <c r="F87" s="18" t="s">
        <v>223</v>
      </c>
      <c r="G87" s="18" t="s">
        <v>931</v>
      </c>
      <c r="H87" s="18" t="s">
        <v>932</v>
      </c>
      <c r="I87" s="18" t="s">
        <v>970</v>
      </c>
      <c r="J87" s="18">
        <v>45525</v>
      </c>
      <c r="K87" s="18" t="s">
        <v>971</v>
      </c>
      <c r="L87" s="18" t="s">
        <v>421</v>
      </c>
      <c r="M87" s="18">
        <v>44.5</v>
      </c>
      <c r="N87" s="18">
        <v>4</v>
      </c>
      <c r="O87" s="18" t="s">
        <v>38</v>
      </c>
      <c r="P87" s="18">
        <v>5</v>
      </c>
      <c r="Q87" s="18">
        <v>40</v>
      </c>
      <c r="R87" s="18">
        <v>45531</v>
      </c>
      <c r="S87" s="18" t="s">
        <v>972</v>
      </c>
      <c r="T87" s="18">
        <v>6</v>
      </c>
      <c r="U87" s="18">
        <v>178</v>
      </c>
      <c r="V87" s="19">
        <v>0.08</v>
      </c>
      <c r="W87" s="18">
        <v>163.76</v>
      </c>
      <c r="X87" s="18">
        <v>203.76</v>
      </c>
      <c r="Y87" s="18" t="s">
        <v>2122</v>
      </c>
      <c r="Z87" s="18" t="s">
        <v>2064</v>
      </c>
      <c r="AA87" s="20">
        <v>8</v>
      </c>
      <c r="AB87">
        <v>7.2675000000000001</v>
      </c>
    </row>
    <row r="88" spans="1:28">
      <c r="A88" s="15" t="s">
        <v>239</v>
      </c>
      <c r="B88" s="15" t="s">
        <v>68</v>
      </c>
      <c r="C88" s="15" t="s">
        <v>240</v>
      </c>
      <c r="D88" s="15">
        <v>52</v>
      </c>
      <c r="E88" s="15" t="s">
        <v>54</v>
      </c>
      <c r="F88" s="15" t="s">
        <v>44</v>
      </c>
      <c r="G88" s="15" t="s">
        <v>241</v>
      </c>
      <c r="H88" s="15" t="s">
        <v>242</v>
      </c>
      <c r="I88" s="15" t="s">
        <v>2056</v>
      </c>
      <c r="J88" s="15">
        <v>45501</v>
      </c>
      <c r="K88" s="15" t="s">
        <v>2057</v>
      </c>
      <c r="L88" s="15" t="s">
        <v>421</v>
      </c>
      <c r="M88" s="15">
        <v>44.5</v>
      </c>
      <c r="N88" s="15">
        <v>4</v>
      </c>
      <c r="O88" s="15" t="s">
        <v>65</v>
      </c>
      <c r="P88" s="15">
        <v>3</v>
      </c>
      <c r="Q88" s="15">
        <v>45</v>
      </c>
      <c r="R88" s="15">
        <v>45504</v>
      </c>
      <c r="S88" s="15" t="s">
        <v>2058</v>
      </c>
      <c r="T88" s="15">
        <v>3</v>
      </c>
      <c r="U88" s="15">
        <v>178</v>
      </c>
      <c r="V88" s="16">
        <v>0</v>
      </c>
      <c r="W88" s="15">
        <v>178</v>
      </c>
      <c r="X88" s="15">
        <v>178</v>
      </c>
      <c r="Y88" s="15" t="s">
        <v>2123</v>
      </c>
      <c r="Z88" s="15" t="s">
        <v>2072</v>
      </c>
      <c r="AA88" s="17">
        <v>11</v>
      </c>
      <c r="AB88">
        <v>0</v>
      </c>
    </row>
    <row r="89" spans="1:28">
      <c r="A89" s="18" t="s">
        <v>296</v>
      </c>
      <c r="B89" s="18" t="s">
        <v>297</v>
      </c>
      <c r="C89" s="18" t="s">
        <v>298</v>
      </c>
      <c r="D89" s="18">
        <v>48</v>
      </c>
      <c r="E89" s="18" t="s">
        <v>43</v>
      </c>
      <c r="F89" s="18" t="s">
        <v>92</v>
      </c>
      <c r="G89" s="18" t="s">
        <v>299</v>
      </c>
      <c r="H89" s="18" t="s">
        <v>300</v>
      </c>
      <c r="I89" s="18" t="s">
        <v>301</v>
      </c>
      <c r="J89" s="18">
        <v>45407</v>
      </c>
      <c r="K89" s="18" t="s">
        <v>302</v>
      </c>
      <c r="L89" s="18" t="s">
        <v>273</v>
      </c>
      <c r="M89" s="18">
        <v>62.42</v>
      </c>
      <c r="N89" s="18">
        <v>3</v>
      </c>
      <c r="O89" s="18" t="s">
        <v>38</v>
      </c>
      <c r="P89" s="18">
        <v>4</v>
      </c>
      <c r="Q89" s="18">
        <v>36</v>
      </c>
      <c r="R89" s="18">
        <v>45414</v>
      </c>
      <c r="S89" s="18" t="s">
        <v>303</v>
      </c>
      <c r="T89" s="18">
        <v>7</v>
      </c>
      <c r="U89" s="18">
        <v>187.26</v>
      </c>
      <c r="V89" s="19">
        <v>0.08</v>
      </c>
      <c r="W89" s="18">
        <v>172.2792</v>
      </c>
      <c r="X89" s="18">
        <v>208.2792</v>
      </c>
      <c r="Y89" s="18" t="s">
        <v>2080</v>
      </c>
      <c r="Z89" s="18" t="s">
        <v>2064</v>
      </c>
      <c r="AA89" s="20">
        <v>10</v>
      </c>
      <c r="AB89">
        <v>99.317999999999998</v>
      </c>
    </row>
    <row r="90" spans="1:28">
      <c r="A90" s="15" t="s">
        <v>304</v>
      </c>
      <c r="B90" s="15" t="s">
        <v>305</v>
      </c>
      <c r="C90" s="15" t="s">
        <v>306</v>
      </c>
      <c r="D90" s="15">
        <v>26</v>
      </c>
      <c r="E90" s="15" t="s">
        <v>54</v>
      </c>
      <c r="F90" s="15" t="s">
        <v>170</v>
      </c>
      <c r="G90" s="15" t="s">
        <v>307</v>
      </c>
      <c r="H90" s="15" t="s">
        <v>308</v>
      </c>
      <c r="I90" s="15" t="s">
        <v>1073</v>
      </c>
      <c r="J90" s="15">
        <v>45053</v>
      </c>
      <c r="K90" s="15" t="s">
        <v>1074</v>
      </c>
      <c r="L90" s="15" t="s">
        <v>273</v>
      </c>
      <c r="M90" s="15">
        <v>62.42</v>
      </c>
      <c r="N90" s="15">
        <v>3</v>
      </c>
      <c r="O90" s="15" t="s">
        <v>60</v>
      </c>
      <c r="P90" s="15">
        <v>5</v>
      </c>
      <c r="Q90" s="15">
        <v>62</v>
      </c>
      <c r="R90" s="15">
        <v>45058</v>
      </c>
      <c r="S90" s="15" t="s">
        <v>1075</v>
      </c>
      <c r="T90" s="15">
        <v>5</v>
      </c>
      <c r="U90" s="15">
        <v>187.26</v>
      </c>
      <c r="V90" s="16">
        <v>0.15</v>
      </c>
      <c r="W90" s="15">
        <v>159.17099999999999</v>
      </c>
      <c r="X90" s="15">
        <v>221.17099999999999</v>
      </c>
      <c r="Y90" s="15" t="s">
        <v>2109</v>
      </c>
      <c r="Z90" s="15" t="s">
        <v>2072</v>
      </c>
      <c r="AA90" s="17">
        <v>10</v>
      </c>
      <c r="AB90">
        <v>9.6900000000000013</v>
      </c>
    </row>
    <row r="91" spans="1:28">
      <c r="A91" s="18" t="s">
        <v>1082</v>
      </c>
      <c r="B91" s="18" t="s">
        <v>221</v>
      </c>
      <c r="C91" s="18" t="s">
        <v>1083</v>
      </c>
      <c r="D91" s="18">
        <v>55</v>
      </c>
      <c r="E91" s="18" t="s">
        <v>43</v>
      </c>
      <c r="F91" s="18" t="s">
        <v>161</v>
      </c>
      <c r="G91" s="18" t="s">
        <v>1084</v>
      </c>
      <c r="H91" s="18" t="s">
        <v>1085</v>
      </c>
      <c r="I91" s="18" t="s">
        <v>1283</v>
      </c>
      <c r="J91" s="18">
        <v>45026</v>
      </c>
      <c r="K91" s="18" t="s">
        <v>1284</v>
      </c>
      <c r="L91" s="18" t="s">
        <v>273</v>
      </c>
      <c r="M91" s="18">
        <v>62.42</v>
      </c>
      <c r="N91" s="18">
        <v>3</v>
      </c>
      <c r="O91" s="18" t="s">
        <v>38</v>
      </c>
      <c r="P91" s="18">
        <v>3</v>
      </c>
      <c r="Q91" s="18">
        <v>37</v>
      </c>
      <c r="R91" s="18">
        <v>45031</v>
      </c>
      <c r="S91" s="18" t="s">
        <v>1285</v>
      </c>
      <c r="T91" s="18">
        <v>5</v>
      </c>
      <c r="U91" s="18">
        <v>187.26</v>
      </c>
      <c r="V91" s="19">
        <v>0.08</v>
      </c>
      <c r="W91" s="18">
        <v>172.2792</v>
      </c>
      <c r="X91" s="18">
        <v>209.2792</v>
      </c>
      <c r="Y91" s="18" t="s">
        <v>2107</v>
      </c>
      <c r="Z91" s="18" t="s">
        <v>2064</v>
      </c>
      <c r="AA91" s="20">
        <v>5</v>
      </c>
      <c r="AB91">
        <v>0</v>
      </c>
    </row>
    <row r="92" spans="1:28">
      <c r="A92" s="15" t="s">
        <v>187</v>
      </c>
      <c r="B92" s="15" t="s">
        <v>188</v>
      </c>
      <c r="C92" s="15" t="s">
        <v>189</v>
      </c>
      <c r="D92" s="15">
        <v>42</v>
      </c>
      <c r="E92" s="15" t="s">
        <v>43</v>
      </c>
      <c r="F92" s="15" t="s">
        <v>170</v>
      </c>
      <c r="G92" s="15" t="s">
        <v>190</v>
      </c>
      <c r="H92" s="15" t="s">
        <v>191</v>
      </c>
      <c r="I92" s="15" t="s">
        <v>2008</v>
      </c>
      <c r="J92" s="15">
        <v>45128</v>
      </c>
      <c r="K92" s="15" t="s">
        <v>2009</v>
      </c>
      <c r="L92" s="15" t="s">
        <v>273</v>
      </c>
      <c r="M92" s="15">
        <v>62.42</v>
      </c>
      <c r="N92" s="15">
        <v>3</v>
      </c>
      <c r="O92" s="15" t="s">
        <v>38</v>
      </c>
      <c r="P92" s="15">
        <v>6</v>
      </c>
      <c r="Q92" s="15">
        <v>39</v>
      </c>
      <c r="R92" s="15">
        <v>45129</v>
      </c>
      <c r="S92" s="15" t="s">
        <v>2010</v>
      </c>
      <c r="T92" s="15">
        <v>1</v>
      </c>
      <c r="U92" s="15">
        <v>187.26</v>
      </c>
      <c r="V92" s="16">
        <v>0.08</v>
      </c>
      <c r="W92" s="15">
        <v>172.2792</v>
      </c>
      <c r="X92" s="15">
        <v>211.2792</v>
      </c>
      <c r="Y92" s="15" t="s">
        <v>2062</v>
      </c>
      <c r="Z92" s="15" t="s">
        <v>2060</v>
      </c>
      <c r="AA92" s="17">
        <v>9</v>
      </c>
      <c r="AB92">
        <v>214.55249999999998</v>
      </c>
    </row>
    <row r="93" spans="1:28">
      <c r="A93" s="18" t="s">
        <v>139</v>
      </c>
      <c r="B93" s="18" t="s">
        <v>140</v>
      </c>
      <c r="C93" s="18" t="s">
        <v>141</v>
      </c>
      <c r="D93" s="18">
        <v>25</v>
      </c>
      <c r="E93" s="18" t="s">
        <v>54</v>
      </c>
      <c r="F93" s="18" t="s">
        <v>142</v>
      </c>
      <c r="G93" s="18" t="s">
        <v>143</v>
      </c>
      <c r="H93" s="18" t="s">
        <v>144</v>
      </c>
      <c r="I93" s="18" t="s">
        <v>145</v>
      </c>
      <c r="J93" s="18">
        <v>45267</v>
      </c>
      <c r="K93" s="18" t="s">
        <v>146</v>
      </c>
      <c r="L93" s="18" t="s">
        <v>147</v>
      </c>
      <c r="M93" s="18">
        <v>190.1</v>
      </c>
      <c r="N93" s="18">
        <v>1</v>
      </c>
      <c r="O93" s="18" t="s">
        <v>65</v>
      </c>
      <c r="P93" s="18">
        <v>1</v>
      </c>
      <c r="Q93" s="18">
        <v>70</v>
      </c>
      <c r="R93" s="18">
        <v>45270</v>
      </c>
      <c r="S93" s="18" t="s">
        <v>148</v>
      </c>
      <c r="T93" s="18">
        <v>3</v>
      </c>
      <c r="U93" s="18">
        <v>190.1</v>
      </c>
      <c r="V93" s="19">
        <v>0</v>
      </c>
      <c r="W93" s="18">
        <v>190.1</v>
      </c>
      <c r="X93" s="18">
        <v>190.1</v>
      </c>
      <c r="Y93" s="18" t="s">
        <v>2063</v>
      </c>
      <c r="Z93" s="18" t="s">
        <v>2064</v>
      </c>
      <c r="AA93" s="20">
        <v>7</v>
      </c>
      <c r="AB93">
        <v>20.1904</v>
      </c>
    </row>
    <row r="94" spans="1:28">
      <c r="A94" s="15" t="s">
        <v>377</v>
      </c>
      <c r="B94" s="15" t="s">
        <v>42</v>
      </c>
      <c r="C94" s="15" t="s">
        <v>378</v>
      </c>
      <c r="D94" s="15">
        <v>50</v>
      </c>
      <c r="E94" s="15" t="s">
        <v>54</v>
      </c>
      <c r="F94" s="15" t="s">
        <v>142</v>
      </c>
      <c r="G94" s="15" t="s">
        <v>379</v>
      </c>
      <c r="H94" s="15" t="s">
        <v>380</v>
      </c>
      <c r="I94" s="15" t="s">
        <v>381</v>
      </c>
      <c r="J94" s="15">
        <v>44987</v>
      </c>
      <c r="K94" s="15" t="s">
        <v>382</v>
      </c>
      <c r="L94" s="15" t="s">
        <v>147</v>
      </c>
      <c r="M94" s="15">
        <v>190.1</v>
      </c>
      <c r="N94" s="15">
        <v>1</v>
      </c>
      <c r="O94" s="15" t="s">
        <v>87</v>
      </c>
      <c r="P94" s="15">
        <v>4</v>
      </c>
      <c r="Q94" s="15">
        <v>63</v>
      </c>
      <c r="R94" s="15">
        <v>44992</v>
      </c>
      <c r="S94" s="15" t="s">
        <v>383</v>
      </c>
      <c r="T94" s="15">
        <v>5</v>
      </c>
      <c r="U94" s="15">
        <v>190.1</v>
      </c>
      <c r="V94" s="16">
        <v>0.2</v>
      </c>
      <c r="W94" s="15">
        <v>152.07999999999998</v>
      </c>
      <c r="X94" s="15">
        <v>215.07999999999998</v>
      </c>
      <c r="Y94" s="15" t="s">
        <v>2124</v>
      </c>
      <c r="Z94" s="15" t="s">
        <v>2064</v>
      </c>
      <c r="AA94" s="17">
        <v>1</v>
      </c>
      <c r="AB94">
        <v>334.35750000000002</v>
      </c>
    </row>
    <row r="95" spans="1:28">
      <c r="A95" s="18" t="s">
        <v>158</v>
      </c>
      <c r="B95" s="18" t="s">
        <v>159</v>
      </c>
      <c r="C95" s="18" t="s">
        <v>160</v>
      </c>
      <c r="D95" s="18">
        <v>24</v>
      </c>
      <c r="E95" s="18" t="s">
        <v>31</v>
      </c>
      <c r="F95" s="18" t="s">
        <v>161</v>
      </c>
      <c r="G95" s="18" t="s">
        <v>162</v>
      </c>
      <c r="H95" s="18" t="s">
        <v>163</v>
      </c>
      <c r="I95" s="18" t="s">
        <v>1427</v>
      </c>
      <c r="J95" s="18">
        <v>45206</v>
      </c>
      <c r="K95" s="18" t="s">
        <v>1428</v>
      </c>
      <c r="L95" s="18" t="s">
        <v>147</v>
      </c>
      <c r="M95" s="18">
        <v>190.1</v>
      </c>
      <c r="N95" s="18">
        <v>1</v>
      </c>
      <c r="O95" s="18" t="s">
        <v>87</v>
      </c>
      <c r="P95" s="18">
        <v>3</v>
      </c>
      <c r="Q95" s="18">
        <v>63</v>
      </c>
      <c r="R95" s="18">
        <v>45207</v>
      </c>
      <c r="S95" s="18" t="s">
        <v>1429</v>
      </c>
      <c r="T95" s="18">
        <v>1</v>
      </c>
      <c r="U95" s="18">
        <v>190.1</v>
      </c>
      <c r="V95" s="19">
        <v>0.2</v>
      </c>
      <c r="W95" s="18">
        <v>152.07999999999998</v>
      </c>
      <c r="X95" s="18">
        <v>215.07999999999998</v>
      </c>
      <c r="Y95" s="18" t="s">
        <v>2125</v>
      </c>
      <c r="Z95" s="18" t="s">
        <v>2060</v>
      </c>
      <c r="AA95" s="20">
        <v>11</v>
      </c>
      <c r="AB95">
        <v>295.22399999999999</v>
      </c>
    </row>
    <row r="96" spans="1:28">
      <c r="A96" s="15" t="s">
        <v>187</v>
      </c>
      <c r="B96" s="15" t="s">
        <v>188</v>
      </c>
      <c r="C96" s="15" t="s">
        <v>189</v>
      </c>
      <c r="D96" s="15">
        <v>42</v>
      </c>
      <c r="E96" s="15" t="s">
        <v>43</v>
      </c>
      <c r="F96" s="15" t="s">
        <v>170</v>
      </c>
      <c r="G96" s="15" t="s">
        <v>190</v>
      </c>
      <c r="H96" s="15" t="s">
        <v>191</v>
      </c>
      <c r="I96" s="15" t="s">
        <v>192</v>
      </c>
      <c r="J96" s="15">
        <v>45665</v>
      </c>
      <c r="K96" s="15" t="s">
        <v>193</v>
      </c>
      <c r="L96" s="15" t="s">
        <v>116</v>
      </c>
      <c r="M96" s="15">
        <v>48.45</v>
      </c>
      <c r="N96" s="15">
        <v>4</v>
      </c>
      <c r="O96" s="15" t="s">
        <v>98</v>
      </c>
      <c r="P96" s="15">
        <v>1</v>
      </c>
      <c r="Q96" s="15">
        <v>70</v>
      </c>
      <c r="R96" s="15">
        <v>45670</v>
      </c>
      <c r="S96" s="15" t="s">
        <v>194</v>
      </c>
      <c r="T96" s="15">
        <v>5</v>
      </c>
      <c r="U96" s="15">
        <v>193.8</v>
      </c>
      <c r="V96" s="16">
        <v>0.1</v>
      </c>
      <c r="W96" s="15">
        <v>174.42000000000002</v>
      </c>
      <c r="X96" s="15">
        <v>244.42000000000002</v>
      </c>
      <c r="Y96" s="15" t="s">
        <v>2062</v>
      </c>
      <c r="Z96" s="15" t="s">
        <v>2064</v>
      </c>
      <c r="AA96" s="17">
        <v>7</v>
      </c>
      <c r="AB96">
        <v>173.44800000000001</v>
      </c>
    </row>
    <row r="97" spans="1:28">
      <c r="A97" s="18" t="s">
        <v>51</v>
      </c>
      <c r="B97" s="18" t="s">
        <v>52</v>
      </c>
      <c r="C97" s="18" t="s">
        <v>53</v>
      </c>
      <c r="D97" s="18">
        <v>60</v>
      </c>
      <c r="E97" s="18" t="s">
        <v>54</v>
      </c>
      <c r="F97" s="18" t="s">
        <v>32</v>
      </c>
      <c r="G97" s="18" t="s">
        <v>55</v>
      </c>
      <c r="H97" s="18" t="s">
        <v>56</v>
      </c>
      <c r="I97" s="18" t="s">
        <v>57</v>
      </c>
      <c r="J97" s="18">
        <v>45342</v>
      </c>
      <c r="K97" s="18" t="s">
        <v>58</v>
      </c>
      <c r="L97" s="18" t="s">
        <v>59</v>
      </c>
      <c r="M97" s="18">
        <v>202.54</v>
      </c>
      <c r="N97" s="18">
        <v>1</v>
      </c>
      <c r="O97" s="18" t="s">
        <v>60</v>
      </c>
      <c r="P97" s="18">
        <v>3</v>
      </c>
      <c r="Q97" s="18">
        <v>47</v>
      </c>
      <c r="R97" s="18">
        <v>45344</v>
      </c>
      <c r="S97" s="18" t="s">
        <v>61</v>
      </c>
      <c r="T97" s="18">
        <v>2</v>
      </c>
      <c r="U97" s="18">
        <v>202.54</v>
      </c>
      <c r="V97" s="19">
        <v>0.15</v>
      </c>
      <c r="W97" s="18">
        <v>172.15899999999999</v>
      </c>
      <c r="X97" s="18">
        <v>219.15899999999999</v>
      </c>
      <c r="Y97" s="18" t="s">
        <v>2126</v>
      </c>
      <c r="Z97" s="18" t="s">
        <v>2060</v>
      </c>
      <c r="AA97" s="20">
        <v>7</v>
      </c>
      <c r="AB97">
        <v>188.50400000000002</v>
      </c>
    </row>
    <row r="98" spans="1:28">
      <c r="A98" s="15" t="s">
        <v>493</v>
      </c>
      <c r="B98" s="15" t="s">
        <v>189</v>
      </c>
      <c r="C98" s="15" t="s">
        <v>330</v>
      </c>
      <c r="D98" s="15">
        <v>39</v>
      </c>
      <c r="E98" s="15" t="s">
        <v>54</v>
      </c>
      <c r="F98" s="15" t="s">
        <v>44</v>
      </c>
      <c r="G98" s="15" t="s">
        <v>494</v>
      </c>
      <c r="H98" s="15" t="s">
        <v>495</v>
      </c>
      <c r="I98" s="15" t="s">
        <v>885</v>
      </c>
      <c r="J98" s="15">
        <v>45609</v>
      </c>
      <c r="K98" s="15" t="s">
        <v>886</v>
      </c>
      <c r="L98" s="15" t="s">
        <v>59</v>
      </c>
      <c r="M98" s="15">
        <v>202.54</v>
      </c>
      <c r="N98" s="15">
        <v>1</v>
      </c>
      <c r="O98" s="15" t="s">
        <v>38</v>
      </c>
      <c r="P98" s="15">
        <v>4</v>
      </c>
      <c r="Q98" s="15">
        <v>48</v>
      </c>
      <c r="R98" s="15">
        <v>45611</v>
      </c>
      <c r="S98" s="15" t="s">
        <v>887</v>
      </c>
      <c r="T98" s="15">
        <v>2</v>
      </c>
      <c r="U98" s="15">
        <v>202.54</v>
      </c>
      <c r="V98" s="16">
        <v>0.08</v>
      </c>
      <c r="W98" s="15">
        <v>186.33679999999998</v>
      </c>
      <c r="X98" s="15">
        <v>234.33679999999998</v>
      </c>
      <c r="Y98" s="15" t="s">
        <v>2127</v>
      </c>
      <c r="Z98" s="15" t="s">
        <v>2060</v>
      </c>
      <c r="AA98" s="17">
        <v>7</v>
      </c>
      <c r="AB98">
        <v>158.53</v>
      </c>
    </row>
    <row r="99" spans="1:28">
      <c r="A99" s="18" t="s">
        <v>178</v>
      </c>
      <c r="B99" s="18" t="s">
        <v>179</v>
      </c>
      <c r="C99" s="18" t="s">
        <v>180</v>
      </c>
      <c r="D99" s="18">
        <v>36</v>
      </c>
      <c r="E99" s="18" t="s">
        <v>54</v>
      </c>
      <c r="F99" s="18" t="s">
        <v>142</v>
      </c>
      <c r="G99" s="18" t="s">
        <v>181</v>
      </c>
      <c r="H99" s="18" t="s">
        <v>182</v>
      </c>
      <c r="I99" s="18" t="s">
        <v>183</v>
      </c>
      <c r="J99" s="18">
        <v>45542</v>
      </c>
      <c r="K99" s="18" t="s">
        <v>184</v>
      </c>
      <c r="L99" s="18" t="s">
        <v>185</v>
      </c>
      <c r="M99" s="18">
        <v>104.18</v>
      </c>
      <c r="N99" s="18">
        <v>2</v>
      </c>
      <c r="O99" s="18" t="s">
        <v>65</v>
      </c>
      <c r="P99" s="18">
        <v>4</v>
      </c>
      <c r="Q99" s="18">
        <v>44</v>
      </c>
      <c r="R99" s="18">
        <v>45545</v>
      </c>
      <c r="S99" s="18" t="s">
        <v>186</v>
      </c>
      <c r="T99" s="18">
        <v>3</v>
      </c>
      <c r="U99" s="18">
        <v>208.36</v>
      </c>
      <c r="V99" s="19">
        <v>0</v>
      </c>
      <c r="W99" s="18">
        <v>208.36</v>
      </c>
      <c r="X99" s="18">
        <v>208.36</v>
      </c>
      <c r="Y99" s="18" t="s">
        <v>2071</v>
      </c>
      <c r="Z99" s="18" t="s">
        <v>2060</v>
      </c>
      <c r="AA99" s="20">
        <v>9</v>
      </c>
      <c r="AB99">
        <v>148.54949999999999</v>
      </c>
    </row>
    <row r="100" spans="1:28">
      <c r="A100" s="15" t="s">
        <v>727</v>
      </c>
      <c r="B100" s="15" t="s">
        <v>728</v>
      </c>
      <c r="C100" s="15" t="s">
        <v>169</v>
      </c>
      <c r="D100" s="15">
        <v>70</v>
      </c>
      <c r="E100" s="15" t="s">
        <v>43</v>
      </c>
      <c r="F100" s="15" t="s">
        <v>92</v>
      </c>
      <c r="G100" s="15" t="s">
        <v>729</v>
      </c>
      <c r="H100" s="15" t="s">
        <v>730</v>
      </c>
      <c r="I100" s="15" t="s">
        <v>731</v>
      </c>
      <c r="J100" s="15">
        <v>45005</v>
      </c>
      <c r="K100" s="15" t="s">
        <v>732</v>
      </c>
      <c r="L100" s="15" t="s">
        <v>185</v>
      </c>
      <c r="M100" s="15">
        <v>104.18</v>
      </c>
      <c r="N100" s="15">
        <v>2</v>
      </c>
      <c r="O100" s="15" t="s">
        <v>38</v>
      </c>
      <c r="P100" s="15">
        <v>2</v>
      </c>
      <c r="Q100" s="15">
        <v>40</v>
      </c>
      <c r="R100" s="15">
        <v>45010</v>
      </c>
      <c r="S100" s="15" t="s">
        <v>733</v>
      </c>
      <c r="T100" s="15">
        <v>5</v>
      </c>
      <c r="U100" s="15">
        <v>208.36</v>
      </c>
      <c r="V100" s="16">
        <v>0.08</v>
      </c>
      <c r="W100" s="15">
        <v>191.69120000000001</v>
      </c>
      <c r="X100" s="15">
        <v>231.69120000000001</v>
      </c>
      <c r="Y100" s="15" t="s">
        <v>2128</v>
      </c>
      <c r="Z100" s="15" t="s">
        <v>2064</v>
      </c>
      <c r="AA100" s="17">
        <v>1</v>
      </c>
      <c r="AB100">
        <v>88.108000000000004</v>
      </c>
    </row>
    <row r="101" spans="1:28">
      <c r="A101" s="18" t="s">
        <v>149</v>
      </c>
      <c r="B101" s="18" t="s">
        <v>150</v>
      </c>
      <c r="C101" s="18" t="s">
        <v>151</v>
      </c>
      <c r="D101" s="18">
        <v>44</v>
      </c>
      <c r="E101" s="18" t="s">
        <v>43</v>
      </c>
      <c r="F101" s="18" t="s">
        <v>92</v>
      </c>
      <c r="G101" s="18" t="s">
        <v>152</v>
      </c>
      <c r="H101" s="18" t="s">
        <v>153</v>
      </c>
      <c r="I101" s="18" t="s">
        <v>952</v>
      </c>
      <c r="J101" s="18">
        <v>45513</v>
      </c>
      <c r="K101" s="18" t="s">
        <v>953</v>
      </c>
      <c r="L101" s="18" t="s">
        <v>185</v>
      </c>
      <c r="M101" s="18">
        <v>104.18</v>
      </c>
      <c r="N101" s="18">
        <v>2</v>
      </c>
      <c r="O101" s="18" t="s">
        <v>65</v>
      </c>
      <c r="P101" s="18">
        <v>2</v>
      </c>
      <c r="Q101" s="18">
        <v>57</v>
      </c>
      <c r="R101" s="18">
        <v>45515</v>
      </c>
      <c r="S101" s="18" t="s">
        <v>954</v>
      </c>
      <c r="T101" s="18">
        <v>2</v>
      </c>
      <c r="U101" s="18">
        <v>208.36</v>
      </c>
      <c r="V101" s="19">
        <v>0</v>
      </c>
      <c r="W101" s="18">
        <v>208.36</v>
      </c>
      <c r="X101" s="18">
        <v>208.36</v>
      </c>
      <c r="Y101" s="18" t="s">
        <v>2129</v>
      </c>
      <c r="Z101" s="18" t="s">
        <v>2072</v>
      </c>
      <c r="AA101" s="20">
        <v>1</v>
      </c>
      <c r="AB101">
        <v>123.94799999999998</v>
      </c>
    </row>
    <row r="102" spans="1:28">
      <c r="A102" s="15" t="s">
        <v>1213</v>
      </c>
      <c r="B102" s="15" t="s">
        <v>1214</v>
      </c>
      <c r="C102" s="15" t="s">
        <v>1215</v>
      </c>
      <c r="D102" s="15">
        <v>50</v>
      </c>
      <c r="E102" s="15" t="s">
        <v>54</v>
      </c>
      <c r="F102" s="15" t="s">
        <v>170</v>
      </c>
      <c r="G102" s="15" t="s">
        <v>1216</v>
      </c>
      <c r="H102" s="15" t="s">
        <v>1217</v>
      </c>
      <c r="I102" s="15" t="s">
        <v>1486</v>
      </c>
      <c r="J102" s="15">
        <v>45656</v>
      </c>
      <c r="K102" s="15" t="s">
        <v>1487</v>
      </c>
      <c r="L102" s="15" t="s">
        <v>185</v>
      </c>
      <c r="M102" s="15">
        <v>104.18</v>
      </c>
      <c r="N102" s="15">
        <v>2</v>
      </c>
      <c r="O102" s="15" t="s">
        <v>60</v>
      </c>
      <c r="P102" s="15">
        <v>5</v>
      </c>
      <c r="Q102" s="15">
        <v>65</v>
      </c>
      <c r="R102" s="15">
        <v>45657</v>
      </c>
      <c r="S102" s="15" t="s">
        <v>1488</v>
      </c>
      <c r="T102" s="15">
        <v>1</v>
      </c>
      <c r="U102" s="15">
        <v>208.36</v>
      </c>
      <c r="V102" s="16">
        <v>0.15</v>
      </c>
      <c r="W102" s="15">
        <v>177.10600000000002</v>
      </c>
      <c r="X102" s="15">
        <v>242.10600000000002</v>
      </c>
      <c r="Y102" s="15" t="s">
        <v>2100</v>
      </c>
      <c r="Z102" s="15" t="s">
        <v>2060</v>
      </c>
      <c r="AA102" s="17">
        <v>10</v>
      </c>
      <c r="AB102">
        <v>114.6048</v>
      </c>
    </row>
    <row r="103" spans="1:28">
      <c r="A103" s="18" t="s">
        <v>1241</v>
      </c>
      <c r="B103" s="18" t="s">
        <v>1242</v>
      </c>
      <c r="C103" s="18" t="s">
        <v>1243</v>
      </c>
      <c r="D103" s="18">
        <v>55</v>
      </c>
      <c r="E103" s="18" t="s">
        <v>43</v>
      </c>
      <c r="F103" s="18" t="s">
        <v>161</v>
      </c>
      <c r="G103" s="18" t="s">
        <v>1244</v>
      </c>
      <c r="H103" s="18" t="s">
        <v>1245</v>
      </c>
      <c r="I103" s="18" t="s">
        <v>1504</v>
      </c>
      <c r="J103" s="18">
        <v>45186</v>
      </c>
      <c r="K103" s="18" t="s">
        <v>1505</v>
      </c>
      <c r="L103" s="18" t="s">
        <v>185</v>
      </c>
      <c r="M103" s="18">
        <v>104.18</v>
      </c>
      <c r="N103" s="18">
        <v>2</v>
      </c>
      <c r="O103" s="18" t="s">
        <v>38</v>
      </c>
      <c r="P103" s="18">
        <v>4</v>
      </c>
      <c r="Q103" s="18">
        <v>43</v>
      </c>
      <c r="R103" s="18">
        <v>45190</v>
      </c>
      <c r="S103" s="18" t="s">
        <v>1506</v>
      </c>
      <c r="T103" s="18">
        <v>4</v>
      </c>
      <c r="U103" s="18">
        <v>208.36</v>
      </c>
      <c r="V103" s="19">
        <v>0.08</v>
      </c>
      <c r="W103" s="18">
        <v>191.69120000000001</v>
      </c>
      <c r="X103" s="18">
        <v>234.69120000000001</v>
      </c>
      <c r="Y103" s="18" t="s">
        <v>2101</v>
      </c>
      <c r="Z103" s="18" t="s">
        <v>2072</v>
      </c>
      <c r="AA103" s="20">
        <v>12</v>
      </c>
      <c r="AB103">
        <v>0</v>
      </c>
    </row>
    <row r="104" spans="1:28">
      <c r="A104" s="15" t="s">
        <v>779</v>
      </c>
      <c r="B104" s="15" t="s">
        <v>780</v>
      </c>
      <c r="C104" s="15" t="s">
        <v>781</v>
      </c>
      <c r="D104" s="15">
        <v>32</v>
      </c>
      <c r="E104" s="15" t="s">
        <v>31</v>
      </c>
      <c r="F104" s="15" t="s">
        <v>161</v>
      </c>
      <c r="G104" s="15" t="s">
        <v>782</v>
      </c>
      <c r="H104" s="15" t="s">
        <v>783</v>
      </c>
      <c r="I104" s="15" t="s">
        <v>1123</v>
      </c>
      <c r="J104" s="15">
        <v>45588</v>
      </c>
      <c r="K104" s="15" t="s">
        <v>1124</v>
      </c>
      <c r="L104" s="15" t="s">
        <v>944</v>
      </c>
      <c r="M104" s="15">
        <v>107.47</v>
      </c>
      <c r="N104" s="15">
        <v>2</v>
      </c>
      <c r="O104" s="15" t="s">
        <v>60</v>
      </c>
      <c r="P104" s="15">
        <v>5</v>
      </c>
      <c r="Q104" s="15">
        <v>55</v>
      </c>
      <c r="R104" s="15">
        <v>45592</v>
      </c>
      <c r="S104" s="15" t="s">
        <v>1125</v>
      </c>
      <c r="T104" s="15">
        <v>4</v>
      </c>
      <c r="U104" s="15">
        <v>214.94</v>
      </c>
      <c r="V104" s="16">
        <v>0.15</v>
      </c>
      <c r="W104" s="15">
        <v>182.69900000000001</v>
      </c>
      <c r="X104" s="15">
        <v>237.69900000000001</v>
      </c>
      <c r="Y104" s="15" t="s">
        <v>2074</v>
      </c>
      <c r="Z104" s="15" t="s">
        <v>2060</v>
      </c>
      <c r="AA104" s="17">
        <v>8</v>
      </c>
      <c r="AB104">
        <v>118.08959999999999</v>
      </c>
    </row>
    <row r="105" spans="1:28">
      <c r="A105" s="18" t="s">
        <v>734</v>
      </c>
      <c r="B105" s="18" t="s">
        <v>735</v>
      </c>
      <c r="C105" s="18" t="s">
        <v>736</v>
      </c>
      <c r="D105" s="18">
        <v>30</v>
      </c>
      <c r="E105" s="18" t="s">
        <v>31</v>
      </c>
      <c r="F105" s="18" t="s">
        <v>161</v>
      </c>
      <c r="G105" s="18" t="s">
        <v>737</v>
      </c>
      <c r="H105" s="18" t="s">
        <v>738</v>
      </c>
      <c r="I105" s="18" t="s">
        <v>739</v>
      </c>
      <c r="J105" s="18">
        <v>45406</v>
      </c>
      <c r="K105" s="18" t="s">
        <v>740</v>
      </c>
      <c r="L105" s="18" t="s">
        <v>741</v>
      </c>
      <c r="M105" s="18">
        <v>110.95</v>
      </c>
      <c r="N105" s="18">
        <v>2</v>
      </c>
      <c r="O105" s="18" t="s">
        <v>38</v>
      </c>
      <c r="P105" s="18">
        <v>4</v>
      </c>
      <c r="Q105" s="18">
        <v>68</v>
      </c>
      <c r="R105" s="18">
        <v>45408</v>
      </c>
      <c r="S105" s="18" t="s">
        <v>742</v>
      </c>
      <c r="T105" s="18">
        <v>2</v>
      </c>
      <c r="U105" s="18">
        <v>221.9</v>
      </c>
      <c r="V105" s="19">
        <v>0.08</v>
      </c>
      <c r="W105" s="18">
        <v>204.148</v>
      </c>
      <c r="X105" s="18">
        <v>272.14800000000002</v>
      </c>
      <c r="Y105" s="18" t="s">
        <v>2093</v>
      </c>
      <c r="Z105" s="18" t="s">
        <v>2060</v>
      </c>
      <c r="AA105" s="20">
        <v>7</v>
      </c>
      <c r="AB105">
        <v>27.260000000000005</v>
      </c>
    </row>
    <row r="106" spans="1:28">
      <c r="A106" s="15" t="s">
        <v>708</v>
      </c>
      <c r="B106" s="15" t="s">
        <v>709</v>
      </c>
      <c r="C106" s="15" t="s">
        <v>710</v>
      </c>
      <c r="D106" s="15">
        <v>26</v>
      </c>
      <c r="E106" s="15" t="s">
        <v>54</v>
      </c>
      <c r="F106" s="15" t="s">
        <v>78</v>
      </c>
      <c r="G106" s="15" t="s">
        <v>711</v>
      </c>
      <c r="H106" s="15" t="s">
        <v>712</v>
      </c>
      <c r="I106" s="15" t="s">
        <v>1304</v>
      </c>
      <c r="J106" s="15">
        <v>45389</v>
      </c>
      <c r="K106" s="15" t="s">
        <v>1305</v>
      </c>
      <c r="L106" s="15" t="s">
        <v>741</v>
      </c>
      <c r="M106" s="15">
        <v>110.95</v>
      </c>
      <c r="N106" s="15">
        <v>2</v>
      </c>
      <c r="O106" s="15" t="s">
        <v>87</v>
      </c>
      <c r="P106" s="15">
        <v>3</v>
      </c>
      <c r="Q106" s="15">
        <v>36</v>
      </c>
      <c r="R106" s="15">
        <v>45394</v>
      </c>
      <c r="S106" s="15" t="s">
        <v>1306</v>
      </c>
      <c r="T106" s="15">
        <v>5</v>
      </c>
      <c r="U106" s="15">
        <v>221.9</v>
      </c>
      <c r="V106" s="16">
        <v>0.2</v>
      </c>
      <c r="W106" s="15">
        <v>177.52</v>
      </c>
      <c r="X106" s="15">
        <v>213.52</v>
      </c>
      <c r="Y106" s="15" t="s">
        <v>2068</v>
      </c>
      <c r="Z106" s="15" t="s">
        <v>2064</v>
      </c>
      <c r="AA106" s="17">
        <v>7</v>
      </c>
      <c r="AB106">
        <v>176.21600000000001</v>
      </c>
    </row>
    <row r="107" spans="1:28">
      <c r="A107" s="18" t="s">
        <v>682</v>
      </c>
      <c r="B107" s="18" t="s">
        <v>683</v>
      </c>
      <c r="C107" s="18" t="s">
        <v>684</v>
      </c>
      <c r="D107" s="18">
        <v>68</v>
      </c>
      <c r="E107" s="18" t="s">
        <v>31</v>
      </c>
      <c r="F107" s="18" t="s">
        <v>223</v>
      </c>
      <c r="G107" s="18" t="s">
        <v>685</v>
      </c>
      <c r="H107" s="18" t="s">
        <v>686</v>
      </c>
      <c r="I107" s="18" t="s">
        <v>1614</v>
      </c>
      <c r="J107" s="18">
        <v>45007</v>
      </c>
      <c r="K107" s="18" t="s">
        <v>1615</v>
      </c>
      <c r="L107" s="18" t="s">
        <v>421</v>
      </c>
      <c r="M107" s="18">
        <v>44.5</v>
      </c>
      <c r="N107" s="18">
        <v>5</v>
      </c>
      <c r="O107" s="18" t="s">
        <v>98</v>
      </c>
      <c r="P107" s="18">
        <v>4</v>
      </c>
      <c r="Q107" s="18">
        <v>55</v>
      </c>
      <c r="R107" s="18">
        <v>45012</v>
      </c>
      <c r="S107" s="18" t="s">
        <v>1616</v>
      </c>
      <c r="T107" s="18">
        <v>5</v>
      </c>
      <c r="U107" s="18">
        <v>222.5</v>
      </c>
      <c r="V107" s="19">
        <v>0.1</v>
      </c>
      <c r="W107" s="18">
        <v>200.25</v>
      </c>
      <c r="X107" s="18">
        <v>255.25</v>
      </c>
      <c r="Y107" s="18" t="s">
        <v>2130</v>
      </c>
      <c r="Z107" s="18" t="s">
        <v>2064</v>
      </c>
      <c r="AA107" s="20">
        <v>8</v>
      </c>
      <c r="AB107">
        <v>100.215</v>
      </c>
    </row>
    <row r="108" spans="1:28">
      <c r="A108" s="15" t="s">
        <v>842</v>
      </c>
      <c r="B108" s="15" t="s">
        <v>843</v>
      </c>
      <c r="C108" s="15" t="s">
        <v>844</v>
      </c>
      <c r="D108" s="15">
        <v>26</v>
      </c>
      <c r="E108" s="15" t="s">
        <v>43</v>
      </c>
      <c r="F108" s="15" t="s">
        <v>161</v>
      </c>
      <c r="G108" s="15" t="s">
        <v>845</v>
      </c>
      <c r="H108" s="15" t="s">
        <v>846</v>
      </c>
      <c r="I108" s="15" t="s">
        <v>847</v>
      </c>
      <c r="J108" s="15">
        <v>45226</v>
      </c>
      <c r="K108" s="15" t="s">
        <v>848</v>
      </c>
      <c r="L108" s="15" t="s">
        <v>660</v>
      </c>
      <c r="M108" s="15">
        <v>235.63</v>
      </c>
      <c r="N108" s="15">
        <v>1</v>
      </c>
      <c r="O108" s="15" t="s">
        <v>87</v>
      </c>
      <c r="P108" s="15">
        <v>2</v>
      </c>
      <c r="Q108" s="15">
        <v>66</v>
      </c>
      <c r="R108" s="15">
        <v>45233</v>
      </c>
      <c r="S108" s="15" t="s">
        <v>849</v>
      </c>
      <c r="T108" s="15">
        <v>7</v>
      </c>
      <c r="U108" s="15">
        <v>235.63</v>
      </c>
      <c r="V108" s="16">
        <v>0.2</v>
      </c>
      <c r="W108" s="15">
        <v>188.50399999999999</v>
      </c>
      <c r="X108" s="15">
        <v>254.50399999999999</v>
      </c>
      <c r="Y108" s="15" t="s">
        <v>2131</v>
      </c>
      <c r="Z108" s="15" t="s">
        <v>2064</v>
      </c>
      <c r="AA108" s="17">
        <v>5</v>
      </c>
      <c r="AB108">
        <v>123.55200000000001</v>
      </c>
    </row>
    <row r="109" spans="1:28">
      <c r="A109" s="18" t="s">
        <v>1106</v>
      </c>
      <c r="B109" s="18" t="s">
        <v>1107</v>
      </c>
      <c r="C109" s="18" t="s">
        <v>1108</v>
      </c>
      <c r="D109" s="18">
        <v>18</v>
      </c>
      <c r="E109" s="18" t="s">
        <v>31</v>
      </c>
      <c r="F109" s="18" t="s">
        <v>78</v>
      </c>
      <c r="G109" s="18" t="s">
        <v>1109</v>
      </c>
      <c r="H109" s="18" t="s">
        <v>1110</v>
      </c>
      <c r="I109" s="18" t="s">
        <v>1111</v>
      </c>
      <c r="J109" s="18">
        <v>45349</v>
      </c>
      <c r="K109" s="18" t="s">
        <v>1112</v>
      </c>
      <c r="L109" s="18" t="s">
        <v>660</v>
      </c>
      <c r="M109" s="18">
        <v>235.63</v>
      </c>
      <c r="N109" s="18">
        <v>1</v>
      </c>
      <c r="O109" s="18" t="s">
        <v>38</v>
      </c>
      <c r="P109" s="18">
        <v>6</v>
      </c>
      <c r="Q109" s="18">
        <v>58</v>
      </c>
      <c r="R109" s="18">
        <v>45354</v>
      </c>
      <c r="S109" s="18" t="s">
        <v>1113</v>
      </c>
      <c r="T109" s="18">
        <v>5</v>
      </c>
      <c r="U109" s="18">
        <v>235.63</v>
      </c>
      <c r="V109" s="19">
        <v>0.08</v>
      </c>
      <c r="W109" s="18">
        <v>216.77959999999999</v>
      </c>
      <c r="X109" s="18">
        <v>274.77959999999996</v>
      </c>
      <c r="Y109" s="18" t="s">
        <v>2089</v>
      </c>
      <c r="Z109" s="18" t="s">
        <v>2060</v>
      </c>
      <c r="AA109" s="20">
        <v>5</v>
      </c>
      <c r="AB109">
        <v>92.213999999999999</v>
      </c>
    </row>
    <row r="110" spans="1:28">
      <c r="A110" s="15" t="s">
        <v>1213</v>
      </c>
      <c r="B110" s="15" t="s">
        <v>1214</v>
      </c>
      <c r="C110" s="15" t="s">
        <v>1215</v>
      </c>
      <c r="D110" s="15">
        <v>50</v>
      </c>
      <c r="E110" s="15" t="s">
        <v>54</v>
      </c>
      <c r="F110" s="15" t="s">
        <v>170</v>
      </c>
      <c r="G110" s="15" t="s">
        <v>1216</v>
      </c>
      <c r="H110" s="15" t="s">
        <v>1217</v>
      </c>
      <c r="I110" s="15" t="s">
        <v>1457</v>
      </c>
      <c r="J110" s="15">
        <v>45684</v>
      </c>
      <c r="K110" s="15" t="s">
        <v>1458</v>
      </c>
      <c r="L110" s="15" t="s">
        <v>660</v>
      </c>
      <c r="M110" s="15">
        <v>235.63</v>
      </c>
      <c r="N110" s="15">
        <v>1</v>
      </c>
      <c r="O110" s="15" t="s">
        <v>87</v>
      </c>
      <c r="P110" s="15">
        <v>7</v>
      </c>
      <c r="Q110" s="15">
        <v>46</v>
      </c>
      <c r="R110" s="15">
        <v>45689</v>
      </c>
      <c r="S110" s="15" t="s">
        <v>1459</v>
      </c>
      <c r="T110" s="15">
        <v>5</v>
      </c>
      <c r="U110" s="15">
        <v>235.63</v>
      </c>
      <c r="V110" s="16">
        <v>0.2</v>
      </c>
      <c r="W110" s="15">
        <v>188.50399999999999</v>
      </c>
      <c r="X110" s="15">
        <v>234.50399999999999</v>
      </c>
      <c r="Y110" s="15" t="s">
        <v>2100</v>
      </c>
      <c r="Z110" s="15" t="s">
        <v>2060</v>
      </c>
      <c r="AA110" s="17">
        <v>4</v>
      </c>
      <c r="AB110">
        <v>496.59</v>
      </c>
    </row>
    <row r="111" spans="1:28">
      <c r="A111" s="18" t="s">
        <v>258</v>
      </c>
      <c r="B111" s="18" t="s">
        <v>259</v>
      </c>
      <c r="C111" s="18" t="s">
        <v>260</v>
      </c>
      <c r="D111" s="18">
        <v>60</v>
      </c>
      <c r="E111" s="18" t="s">
        <v>54</v>
      </c>
      <c r="F111" s="18" t="s">
        <v>32</v>
      </c>
      <c r="G111" s="18" t="s">
        <v>261</v>
      </c>
      <c r="H111" s="18" t="s">
        <v>262</v>
      </c>
      <c r="I111" s="18" t="s">
        <v>1522</v>
      </c>
      <c r="J111" s="18">
        <v>45498</v>
      </c>
      <c r="K111" s="18" t="s">
        <v>1523</v>
      </c>
      <c r="L111" s="18" t="s">
        <v>660</v>
      </c>
      <c r="M111" s="18">
        <v>235.63</v>
      </c>
      <c r="N111" s="18">
        <v>1</v>
      </c>
      <c r="O111" s="18" t="s">
        <v>98</v>
      </c>
      <c r="P111" s="18">
        <v>1</v>
      </c>
      <c r="Q111" s="18">
        <v>38</v>
      </c>
      <c r="R111" s="18">
        <v>45504</v>
      </c>
      <c r="S111" s="18" t="s">
        <v>1524</v>
      </c>
      <c r="T111" s="18">
        <v>6</v>
      </c>
      <c r="U111" s="18">
        <v>235.63</v>
      </c>
      <c r="V111" s="19">
        <v>0.1</v>
      </c>
      <c r="W111" s="18">
        <v>212.06700000000001</v>
      </c>
      <c r="X111" s="18">
        <v>250.06700000000001</v>
      </c>
      <c r="Y111" s="18" t="s">
        <v>2132</v>
      </c>
      <c r="Z111" s="18" t="s">
        <v>2064</v>
      </c>
      <c r="AA111" s="20">
        <v>3</v>
      </c>
      <c r="AB111">
        <v>16.668800000000001</v>
      </c>
    </row>
    <row r="112" spans="1:28">
      <c r="A112" s="15" t="s">
        <v>850</v>
      </c>
      <c r="B112" s="15" t="s">
        <v>851</v>
      </c>
      <c r="C112" s="15" t="s">
        <v>390</v>
      </c>
      <c r="D112" s="15">
        <v>37</v>
      </c>
      <c r="E112" s="15" t="s">
        <v>54</v>
      </c>
      <c r="F112" s="15" t="s">
        <v>223</v>
      </c>
      <c r="G112" s="15" t="s">
        <v>852</v>
      </c>
      <c r="H112" s="15" t="s">
        <v>853</v>
      </c>
      <c r="I112" s="15" t="s">
        <v>1584</v>
      </c>
      <c r="J112" s="15">
        <v>45187</v>
      </c>
      <c r="K112" s="15" t="s">
        <v>1585</v>
      </c>
      <c r="L112" s="15" t="s">
        <v>660</v>
      </c>
      <c r="M112" s="15">
        <v>235.63</v>
      </c>
      <c r="N112" s="15">
        <v>1</v>
      </c>
      <c r="O112" s="15" t="s">
        <v>87</v>
      </c>
      <c r="P112" s="15">
        <v>5</v>
      </c>
      <c r="Q112" s="15">
        <v>59</v>
      </c>
      <c r="R112" s="15">
        <v>45192</v>
      </c>
      <c r="S112" s="15" t="s">
        <v>1586</v>
      </c>
      <c r="T112" s="15">
        <v>5</v>
      </c>
      <c r="U112" s="15">
        <v>235.63</v>
      </c>
      <c r="V112" s="16">
        <v>0.2</v>
      </c>
      <c r="W112" s="15">
        <v>188.50399999999999</v>
      </c>
      <c r="X112" s="15">
        <v>247.50399999999999</v>
      </c>
      <c r="Y112" s="15" t="s">
        <v>2133</v>
      </c>
      <c r="Z112" s="15" t="s">
        <v>2072</v>
      </c>
      <c r="AA112" s="17">
        <v>4</v>
      </c>
      <c r="AB112">
        <v>17.752000000000002</v>
      </c>
    </row>
    <row r="113" spans="1:28">
      <c r="A113" s="18" t="s">
        <v>239</v>
      </c>
      <c r="B113" s="18" t="s">
        <v>68</v>
      </c>
      <c r="C113" s="18" t="s">
        <v>240</v>
      </c>
      <c r="D113" s="18">
        <v>52</v>
      </c>
      <c r="E113" s="18" t="s">
        <v>54</v>
      </c>
      <c r="F113" s="18" t="s">
        <v>44</v>
      </c>
      <c r="G113" s="18" t="s">
        <v>241</v>
      </c>
      <c r="H113" s="18" t="s">
        <v>242</v>
      </c>
      <c r="I113" s="18" t="s">
        <v>1808</v>
      </c>
      <c r="J113" s="18">
        <v>45269</v>
      </c>
      <c r="K113" s="18" t="s">
        <v>1809</v>
      </c>
      <c r="L113" s="18" t="s">
        <v>660</v>
      </c>
      <c r="M113" s="18">
        <v>235.63</v>
      </c>
      <c r="N113" s="18">
        <v>1</v>
      </c>
      <c r="O113" s="18" t="s">
        <v>65</v>
      </c>
      <c r="P113" s="18">
        <v>6</v>
      </c>
      <c r="Q113" s="18">
        <v>35</v>
      </c>
      <c r="R113" s="18">
        <v>45272</v>
      </c>
      <c r="S113" s="18" t="s">
        <v>1810</v>
      </c>
      <c r="T113" s="18">
        <v>3</v>
      </c>
      <c r="U113" s="18">
        <v>235.63</v>
      </c>
      <c r="V113" s="19">
        <v>0</v>
      </c>
      <c r="W113" s="18">
        <v>235.63</v>
      </c>
      <c r="X113" s="18">
        <v>235.63</v>
      </c>
      <c r="Y113" s="18" t="s">
        <v>2123</v>
      </c>
      <c r="Z113" s="18" t="s">
        <v>2060</v>
      </c>
      <c r="AA113" s="20">
        <v>1</v>
      </c>
      <c r="AB113">
        <v>0</v>
      </c>
    </row>
    <row r="114" spans="1:28">
      <c r="A114" s="15" t="s">
        <v>89</v>
      </c>
      <c r="B114" s="15" t="s">
        <v>90</v>
      </c>
      <c r="C114" s="15" t="s">
        <v>91</v>
      </c>
      <c r="D114" s="15">
        <v>26</v>
      </c>
      <c r="E114" s="15" t="s">
        <v>43</v>
      </c>
      <c r="F114" s="15" t="s">
        <v>92</v>
      </c>
      <c r="G114" s="15" t="s">
        <v>93</v>
      </c>
      <c r="H114" s="15" t="s">
        <v>94</v>
      </c>
      <c r="I114" s="15" t="s">
        <v>1842</v>
      </c>
      <c r="J114" s="15">
        <v>45449</v>
      </c>
      <c r="K114" s="15" t="s">
        <v>1843</v>
      </c>
      <c r="L114" s="15" t="s">
        <v>660</v>
      </c>
      <c r="M114" s="15">
        <v>235.63</v>
      </c>
      <c r="N114" s="15">
        <v>1</v>
      </c>
      <c r="O114" s="15" t="s">
        <v>60</v>
      </c>
      <c r="P114" s="15">
        <v>3</v>
      </c>
      <c r="Q114" s="15">
        <v>55</v>
      </c>
      <c r="R114" s="15">
        <v>45455</v>
      </c>
      <c r="S114" s="15" t="s">
        <v>1844</v>
      </c>
      <c r="T114" s="15">
        <v>6</v>
      </c>
      <c r="U114" s="15">
        <v>235.63</v>
      </c>
      <c r="V114" s="16">
        <v>0.15</v>
      </c>
      <c r="W114" s="15">
        <v>200.28550000000001</v>
      </c>
      <c r="X114" s="15">
        <v>255.28550000000001</v>
      </c>
      <c r="Y114" s="15" t="s">
        <v>2134</v>
      </c>
      <c r="Z114" s="15" t="s">
        <v>2064</v>
      </c>
      <c r="AA114" s="17">
        <v>4</v>
      </c>
      <c r="AB114">
        <v>205.64800000000002</v>
      </c>
    </row>
    <row r="115" spans="1:28">
      <c r="A115" s="18" t="s">
        <v>578</v>
      </c>
      <c r="B115" s="18" t="s">
        <v>259</v>
      </c>
      <c r="C115" s="18" t="s">
        <v>579</v>
      </c>
      <c r="D115" s="18">
        <v>35</v>
      </c>
      <c r="E115" s="18" t="s">
        <v>31</v>
      </c>
      <c r="F115" s="18" t="s">
        <v>32</v>
      </c>
      <c r="G115" s="18" t="s">
        <v>580</v>
      </c>
      <c r="H115" s="18" t="s">
        <v>581</v>
      </c>
      <c r="I115" s="18" t="s">
        <v>882</v>
      </c>
      <c r="J115" s="18">
        <v>45581</v>
      </c>
      <c r="K115" s="18" t="s">
        <v>883</v>
      </c>
      <c r="L115" s="18" t="s">
        <v>116</v>
      </c>
      <c r="M115" s="18">
        <v>48.45</v>
      </c>
      <c r="N115" s="18">
        <v>5</v>
      </c>
      <c r="O115" s="18" t="s">
        <v>98</v>
      </c>
      <c r="P115" s="18">
        <v>7</v>
      </c>
      <c r="Q115" s="18">
        <v>53</v>
      </c>
      <c r="R115" s="18">
        <v>45588</v>
      </c>
      <c r="S115" s="18" t="s">
        <v>884</v>
      </c>
      <c r="T115" s="18">
        <v>7</v>
      </c>
      <c r="U115" s="18">
        <v>242.25</v>
      </c>
      <c r="V115" s="19">
        <v>0.1</v>
      </c>
      <c r="W115" s="18">
        <v>218.02500000000001</v>
      </c>
      <c r="X115" s="18">
        <v>271.02499999999998</v>
      </c>
      <c r="Y115" s="18" t="s">
        <v>2116</v>
      </c>
      <c r="Z115" s="18" t="s">
        <v>2072</v>
      </c>
      <c r="AA115" s="20">
        <v>4</v>
      </c>
      <c r="AB115">
        <v>152.69200000000001</v>
      </c>
    </row>
    <row r="116" spans="1:28">
      <c r="A116" s="15" t="s">
        <v>674</v>
      </c>
      <c r="B116" s="15" t="s">
        <v>675</v>
      </c>
      <c r="C116" s="15" t="s">
        <v>676</v>
      </c>
      <c r="D116" s="15">
        <v>38</v>
      </c>
      <c r="E116" s="15" t="s">
        <v>43</v>
      </c>
      <c r="F116" s="15" t="s">
        <v>223</v>
      </c>
      <c r="G116" s="15" t="s">
        <v>677</v>
      </c>
      <c r="H116" s="15" t="s">
        <v>678</v>
      </c>
      <c r="I116" s="15" t="s">
        <v>979</v>
      </c>
      <c r="J116" s="15">
        <v>45318</v>
      </c>
      <c r="K116" s="15" t="s">
        <v>980</v>
      </c>
      <c r="L116" s="15" t="s">
        <v>273</v>
      </c>
      <c r="M116" s="15">
        <v>62.42</v>
      </c>
      <c r="N116" s="15">
        <v>4</v>
      </c>
      <c r="O116" s="15" t="s">
        <v>87</v>
      </c>
      <c r="P116" s="15">
        <v>4</v>
      </c>
      <c r="Q116" s="15">
        <v>37</v>
      </c>
      <c r="R116" s="15">
        <v>45321</v>
      </c>
      <c r="S116" s="15" t="s">
        <v>981</v>
      </c>
      <c r="T116" s="15">
        <v>3</v>
      </c>
      <c r="U116" s="15">
        <v>249.68</v>
      </c>
      <c r="V116" s="16">
        <v>0.2</v>
      </c>
      <c r="W116" s="15">
        <v>199.744</v>
      </c>
      <c r="X116" s="15">
        <v>236.744</v>
      </c>
      <c r="Y116" s="15" t="s">
        <v>2082</v>
      </c>
      <c r="Z116" s="15" t="s">
        <v>2060</v>
      </c>
      <c r="AA116" s="17">
        <v>12</v>
      </c>
      <c r="AB116">
        <v>323.58</v>
      </c>
    </row>
    <row r="117" spans="1:28">
      <c r="A117" s="18" t="s">
        <v>149</v>
      </c>
      <c r="B117" s="18" t="s">
        <v>150</v>
      </c>
      <c r="C117" s="18" t="s">
        <v>151</v>
      </c>
      <c r="D117" s="18">
        <v>44</v>
      </c>
      <c r="E117" s="18" t="s">
        <v>43</v>
      </c>
      <c r="F117" s="18" t="s">
        <v>92</v>
      </c>
      <c r="G117" s="18" t="s">
        <v>152</v>
      </c>
      <c r="H117" s="18" t="s">
        <v>153</v>
      </c>
      <c r="I117" s="18" t="s">
        <v>1355</v>
      </c>
      <c r="J117" s="18">
        <v>45422</v>
      </c>
      <c r="K117" s="18" t="s">
        <v>1356</v>
      </c>
      <c r="L117" s="18" t="s">
        <v>273</v>
      </c>
      <c r="M117" s="18">
        <v>62.42</v>
      </c>
      <c r="N117" s="18">
        <v>4</v>
      </c>
      <c r="O117" s="18" t="s">
        <v>60</v>
      </c>
      <c r="P117" s="18">
        <v>1</v>
      </c>
      <c r="Q117" s="18">
        <v>67</v>
      </c>
      <c r="R117" s="18">
        <v>45426</v>
      </c>
      <c r="S117" s="18" t="s">
        <v>1357</v>
      </c>
      <c r="T117" s="18">
        <v>4</v>
      </c>
      <c r="U117" s="18">
        <v>249.68</v>
      </c>
      <c r="V117" s="19">
        <v>0.15</v>
      </c>
      <c r="W117" s="18">
        <v>212.22800000000001</v>
      </c>
      <c r="X117" s="18">
        <v>279.22800000000001</v>
      </c>
      <c r="Y117" s="18" t="s">
        <v>2129</v>
      </c>
      <c r="Z117" s="18" t="s">
        <v>2064</v>
      </c>
      <c r="AA117" s="20">
        <v>7</v>
      </c>
      <c r="AB117">
        <v>0</v>
      </c>
    </row>
    <row r="118" spans="1:28">
      <c r="A118" s="15" t="s">
        <v>1082</v>
      </c>
      <c r="B118" s="15" t="s">
        <v>221</v>
      </c>
      <c r="C118" s="15" t="s">
        <v>1083</v>
      </c>
      <c r="D118" s="15">
        <v>55</v>
      </c>
      <c r="E118" s="15" t="s">
        <v>43</v>
      </c>
      <c r="F118" s="15" t="s">
        <v>161</v>
      </c>
      <c r="G118" s="15" t="s">
        <v>1084</v>
      </c>
      <c r="H118" s="15" t="s">
        <v>1085</v>
      </c>
      <c r="I118" s="15" t="s">
        <v>1397</v>
      </c>
      <c r="J118" s="15">
        <v>45414</v>
      </c>
      <c r="K118" s="15" t="s">
        <v>1398</v>
      </c>
      <c r="L118" s="15" t="s">
        <v>273</v>
      </c>
      <c r="M118" s="15">
        <v>62.42</v>
      </c>
      <c r="N118" s="15">
        <v>4</v>
      </c>
      <c r="O118" s="15" t="s">
        <v>98</v>
      </c>
      <c r="P118" s="15">
        <v>6</v>
      </c>
      <c r="Q118" s="15">
        <v>43</v>
      </c>
      <c r="R118" s="15">
        <v>45420</v>
      </c>
      <c r="S118" s="15" t="s">
        <v>1399</v>
      </c>
      <c r="T118" s="15">
        <v>6</v>
      </c>
      <c r="U118" s="15">
        <v>249.68</v>
      </c>
      <c r="V118" s="16">
        <v>0.1</v>
      </c>
      <c r="W118" s="15">
        <v>224.71199999999999</v>
      </c>
      <c r="X118" s="15">
        <v>267.71199999999999</v>
      </c>
      <c r="Y118" s="15" t="s">
        <v>2107</v>
      </c>
      <c r="Z118" s="15" t="s">
        <v>2072</v>
      </c>
      <c r="AA118" s="17">
        <v>8</v>
      </c>
      <c r="AB118">
        <v>81.015999999999991</v>
      </c>
    </row>
    <row r="119" spans="1:28">
      <c r="A119" s="18" t="s">
        <v>486</v>
      </c>
      <c r="B119" s="18" t="s">
        <v>487</v>
      </c>
      <c r="C119" s="18" t="s">
        <v>132</v>
      </c>
      <c r="D119" s="18">
        <v>68</v>
      </c>
      <c r="E119" s="18" t="s">
        <v>54</v>
      </c>
      <c r="F119" s="18" t="s">
        <v>223</v>
      </c>
      <c r="G119" s="18" t="s">
        <v>488</v>
      </c>
      <c r="H119" s="18" t="s">
        <v>489</v>
      </c>
      <c r="I119" s="18" t="s">
        <v>2032</v>
      </c>
      <c r="J119" s="18">
        <v>45590</v>
      </c>
      <c r="K119" s="18" t="s">
        <v>2033</v>
      </c>
      <c r="L119" s="18" t="s">
        <v>273</v>
      </c>
      <c r="M119" s="18">
        <v>62.42</v>
      </c>
      <c r="N119" s="18">
        <v>4</v>
      </c>
      <c r="O119" s="18" t="s">
        <v>65</v>
      </c>
      <c r="P119" s="18">
        <v>4</v>
      </c>
      <c r="Q119" s="18">
        <v>37</v>
      </c>
      <c r="R119" s="18">
        <v>45597</v>
      </c>
      <c r="S119" s="18" t="s">
        <v>2034</v>
      </c>
      <c r="T119" s="18">
        <v>7</v>
      </c>
      <c r="U119" s="18">
        <v>249.68</v>
      </c>
      <c r="V119" s="19">
        <v>0</v>
      </c>
      <c r="W119" s="18">
        <v>249.68</v>
      </c>
      <c r="X119" s="18">
        <v>249.68</v>
      </c>
      <c r="Y119" s="18" t="s">
        <v>2135</v>
      </c>
      <c r="Z119" s="18" t="s">
        <v>2064</v>
      </c>
      <c r="AA119" s="20">
        <v>4</v>
      </c>
      <c r="AB119">
        <v>102.82400000000001</v>
      </c>
    </row>
    <row r="120" spans="1:28">
      <c r="A120" s="15" t="s">
        <v>239</v>
      </c>
      <c r="B120" s="15" t="s">
        <v>68</v>
      </c>
      <c r="C120" s="15" t="s">
        <v>240</v>
      </c>
      <c r="D120" s="15">
        <v>52</v>
      </c>
      <c r="E120" s="15" t="s">
        <v>54</v>
      </c>
      <c r="F120" s="15" t="s">
        <v>44</v>
      </c>
      <c r="G120" s="15" t="s">
        <v>241</v>
      </c>
      <c r="H120" s="15" t="s">
        <v>242</v>
      </c>
      <c r="I120" s="15" t="s">
        <v>243</v>
      </c>
      <c r="J120" s="15">
        <v>45146</v>
      </c>
      <c r="K120" s="15" t="s">
        <v>244</v>
      </c>
      <c r="L120" s="15" t="s">
        <v>245</v>
      </c>
      <c r="M120" s="15">
        <v>126.19</v>
      </c>
      <c r="N120" s="15">
        <v>2</v>
      </c>
      <c r="O120" s="15" t="s">
        <v>65</v>
      </c>
      <c r="P120" s="15">
        <v>3</v>
      </c>
      <c r="Q120" s="15">
        <v>63</v>
      </c>
      <c r="R120" s="15">
        <v>45150</v>
      </c>
      <c r="S120" s="15" t="s">
        <v>246</v>
      </c>
      <c r="T120" s="15">
        <v>4</v>
      </c>
      <c r="U120" s="15">
        <v>252.38</v>
      </c>
      <c r="V120" s="16">
        <v>0</v>
      </c>
      <c r="W120" s="15">
        <v>252.38</v>
      </c>
      <c r="X120" s="15">
        <v>252.38</v>
      </c>
      <c r="Y120" s="15" t="s">
        <v>2123</v>
      </c>
      <c r="Z120" s="15" t="s">
        <v>2064</v>
      </c>
      <c r="AA120" s="17">
        <v>9</v>
      </c>
      <c r="AB120">
        <v>2</v>
      </c>
    </row>
    <row r="121" spans="1:28">
      <c r="A121" s="18" t="s">
        <v>415</v>
      </c>
      <c r="B121" s="18" t="s">
        <v>231</v>
      </c>
      <c r="C121" s="18" t="s">
        <v>416</v>
      </c>
      <c r="D121" s="18">
        <v>28</v>
      </c>
      <c r="E121" s="18" t="s">
        <v>54</v>
      </c>
      <c r="F121" s="18" t="s">
        <v>142</v>
      </c>
      <c r="G121" s="18" t="s">
        <v>417</v>
      </c>
      <c r="H121" s="18" t="s">
        <v>418</v>
      </c>
      <c r="I121" s="18" t="s">
        <v>635</v>
      </c>
      <c r="J121" s="18">
        <v>45495</v>
      </c>
      <c r="K121" s="18" t="s">
        <v>636</v>
      </c>
      <c r="L121" s="18" t="s">
        <v>245</v>
      </c>
      <c r="M121" s="18">
        <v>126.19</v>
      </c>
      <c r="N121" s="18">
        <v>2</v>
      </c>
      <c r="O121" s="18" t="s">
        <v>38</v>
      </c>
      <c r="P121" s="18">
        <v>7</v>
      </c>
      <c r="Q121" s="18">
        <v>48</v>
      </c>
      <c r="R121" s="18">
        <v>45496</v>
      </c>
      <c r="S121" s="18" t="s">
        <v>637</v>
      </c>
      <c r="T121" s="18">
        <v>1</v>
      </c>
      <c r="U121" s="18">
        <v>252.38</v>
      </c>
      <c r="V121" s="19">
        <v>0.08</v>
      </c>
      <c r="W121" s="18">
        <v>232.18959999999998</v>
      </c>
      <c r="X121" s="18">
        <v>280.18959999999998</v>
      </c>
      <c r="Y121" s="18" t="s">
        <v>2088</v>
      </c>
      <c r="Z121" s="18" t="s">
        <v>2060</v>
      </c>
      <c r="AA121" s="20">
        <v>6</v>
      </c>
      <c r="AB121">
        <v>0</v>
      </c>
    </row>
    <row r="122" spans="1:28">
      <c r="A122" s="15" t="s">
        <v>1082</v>
      </c>
      <c r="B122" s="15" t="s">
        <v>221</v>
      </c>
      <c r="C122" s="15" t="s">
        <v>1083</v>
      </c>
      <c r="D122" s="15">
        <v>55</v>
      </c>
      <c r="E122" s="15" t="s">
        <v>43</v>
      </c>
      <c r="F122" s="15" t="s">
        <v>161</v>
      </c>
      <c r="G122" s="15" t="s">
        <v>1084</v>
      </c>
      <c r="H122" s="15" t="s">
        <v>1085</v>
      </c>
      <c r="I122" s="15" t="s">
        <v>1086</v>
      </c>
      <c r="J122" s="15">
        <v>45168</v>
      </c>
      <c r="K122" s="15" t="s">
        <v>1087</v>
      </c>
      <c r="L122" s="15" t="s">
        <v>245</v>
      </c>
      <c r="M122" s="15">
        <v>126.19</v>
      </c>
      <c r="N122" s="15">
        <v>2</v>
      </c>
      <c r="O122" s="15" t="s">
        <v>65</v>
      </c>
      <c r="P122" s="15">
        <v>5</v>
      </c>
      <c r="Q122" s="15">
        <v>59</v>
      </c>
      <c r="R122" s="15">
        <v>45174</v>
      </c>
      <c r="S122" s="15" t="s">
        <v>1088</v>
      </c>
      <c r="T122" s="15">
        <v>6</v>
      </c>
      <c r="U122" s="15">
        <v>252.38</v>
      </c>
      <c r="V122" s="16">
        <v>0</v>
      </c>
      <c r="W122" s="15">
        <v>252.38</v>
      </c>
      <c r="X122" s="15">
        <v>252.38</v>
      </c>
      <c r="Y122" s="15" t="s">
        <v>2107</v>
      </c>
      <c r="Z122" s="15" t="s">
        <v>2064</v>
      </c>
      <c r="AA122" s="17">
        <v>3</v>
      </c>
      <c r="AB122">
        <v>0</v>
      </c>
    </row>
    <row r="123" spans="1:28">
      <c r="A123" s="18" t="s">
        <v>649</v>
      </c>
      <c r="B123" s="18" t="s">
        <v>650</v>
      </c>
      <c r="C123" s="18" t="s">
        <v>651</v>
      </c>
      <c r="D123" s="18">
        <v>45</v>
      </c>
      <c r="E123" s="18" t="s">
        <v>54</v>
      </c>
      <c r="F123" s="18" t="s">
        <v>92</v>
      </c>
      <c r="G123" s="18" t="s">
        <v>652</v>
      </c>
      <c r="H123" s="18" t="s">
        <v>653</v>
      </c>
      <c r="I123" s="18" t="s">
        <v>1773</v>
      </c>
      <c r="J123" s="18">
        <v>45190</v>
      </c>
      <c r="K123" s="18" t="s">
        <v>1774</v>
      </c>
      <c r="L123" s="18" t="s">
        <v>245</v>
      </c>
      <c r="M123" s="18">
        <v>126.19</v>
      </c>
      <c r="N123" s="18">
        <v>2</v>
      </c>
      <c r="O123" s="18" t="s">
        <v>87</v>
      </c>
      <c r="P123" s="18">
        <v>4</v>
      </c>
      <c r="Q123" s="18">
        <v>67</v>
      </c>
      <c r="R123" s="18">
        <v>45196</v>
      </c>
      <c r="S123" s="18" t="s">
        <v>1775</v>
      </c>
      <c r="T123" s="18">
        <v>6</v>
      </c>
      <c r="U123" s="18">
        <v>252.38</v>
      </c>
      <c r="V123" s="19">
        <v>0.2</v>
      </c>
      <c r="W123" s="18">
        <v>201.904</v>
      </c>
      <c r="X123" s="18">
        <v>268.904</v>
      </c>
      <c r="Y123" s="18" t="s">
        <v>2114</v>
      </c>
      <c r="Z123" s="18" t="s">
        <v>2064</v>
      </c>
      <c r="AA123" s="20">
        <v>7</v>
      </c>
      <c r="AB123">
        <v>38.5184</v>
      </c>
    </row>
    <row r="124" spans="1:28">
      <c r="A124" s="15" t="s">
        <v>40</v>
      </c>
      <c r="B124" s="15" t="s">
        <v>41</v>
      </c>
      <c r="C124" s="15" t="s">
        <v>42</v>
      </c>
      <c r="D124" s="15">
        <v>53</v>
      </c>
      <c r="E124" s="15" t="s">
        <v>43</v>
      </c>
      <c r="F124" s="15" t="s">
        <v>44</v>
      </c>
      <c r="G124" s="15" t="s">
        <v>45</v>
      </c>
      <c r="H124" s="15" t="s">
        <v>46</v>
      </c>
      <c r="I124" s="15" t="s">
        <v>1358</v>
      </c>
      <c r="J124" s="15">
        <v>45186</v>
      </c>
      <c r="K124" s="15" t="s">
        <v>1359</v>
      </c>
      <c r="L124" s="15" t="s">
        <v>128</v>
      </c>
      <c r="M124" s="15">
        <v>257.06</v>
      </c>
      <c r="N124" s="15">
        <v>1</v>
      </c>
      <c r="O124" s="15" t="s">
        <v>87</v>
      </c>
      <c r="P124" s="15">
        <v>5</v>
      </c>
      <c r="Q124" s="15">
        <v>64</v>
      </c>
      <c r="R124" s="15">
        <v>45188</v>
      </c>
      <c r="S124" s="15" t="s">
        <v>1360</v>
      </c>
      <c r="T124" s="15">
        <v>2</v>
      </c>
      <c r="U124" s="15">
        <v>257.06</v>
      </c>
      <c r="V124" s="16">
        <v>0.2</v>
      </c>
      <c r="W124" s="15">
        <v>205.648</v>
      </c>
      <c r="X124" s="15">
        <v>269.64800000000002</v>
      </c>
      <c r="Y124" s="15" t="s">
        <v>2105</v>
      </c>
      <c r="Z124" s="15" t="s">
        <v>2060</v>
      </c>
      <c r="AA124" s="17">
        <v>2</v>
      </c>
      <c r="AB124">
        <v>12.454400000000001</v>
      </c>
    </row>
    <row r="125" spans="1:28">
      <c r="A125" s="18" t="s">
        <v>1241</v>
      </c>
      <c r="B125" s="18" t="s">
        <v>1242</v>
      </c>
      <c r="C125" s="18" t="s">
        <v>1243</v>
      </c>
      <c r="D125" s="18">
        <v>55</v>
      </c>
      <c r="E125" s="18" t="s">
        <v>43</v>
      </c>
      <c r="F125" s="18" t="s">
        <v>161</v>
      </c>
      <c r="G125" s="18" t="s">
        <v>1244</v>
      </c>
      <c r="H125" s="18" t="s">
        <v>1245</v>
      </c>
      <c r="I125" s="18" t="s">
        <v>1627</v>
      </c>
      <c r="J125" s="18">
        <v>45421</v>
      </c>
      <c r="K125" s="18" t="s">
        <v>1628</v>
      </c>
      <c r="L125" s="18" t="s">
        <v>128</v>
      </c>
      <c r="M125" s="18">
        <v>257.06</v>
      </c>
      <c r="N125" s="18">
        <v>1</v>
      </c>
      <c r="O125" s="18" t="s">
        <v>87</v>
      </c>
      <c r="P125" s="18">
        <v>4</v>
      </c>
      <c r="Q125" s="18">
        <v>42</v>
      </c>
      <c r="R125" s="18">
        <v>45423</v>
      </c>
      <c r="S125" s="18" t="s">
        <v>1629</v>
      </c>
      <c r="T125" s="18">
        <v>2</v>
      </c>
      <c r="U125" s="18">
        <v>257.06</v>
      </c>
      <c r="V125" s="19">
        <v>0.2</v>
      </c>
      <c r="W125" s="18">
        <v>205.648</v>
      </c>
      <c r="X125" s="18">
        <v>247.648</v>
      </c>
      <c r="Y125" s="18" t="s">
        <v>2101</v>
      </c>
      <c r="Z125" s="18" t="s">
        <v>2060</v>
      </c>
      <c r="AA125" s="20">
        <v>9</v>
      </c>
      <c r="AB125">
        <v>27.260000000000005</v>
      </c>
    </row>
    <row r="126" spans="1:28">
      <c r="A126" s="15" t="s">
        <v>361</v>
      </c>
      <c r="B126" s="15" t="s">
        <v>362</v>
      </c>
      <c r="C126" s="15" t="s">
        <v>363</v>
      </c>
      <c r="D126" s="15">
        <v>32</v>
      </c>
      <c r="E126" s="15" t="s">
        <v>43</v>
      </c>
      <c r="F126" s="15" t="s">
        <v>170</v>
      </c>
      <c r="G126" s="15" t="s">
        <v>364</v>
      </c>
      <c r="H126" s="15" t="s">
        <v>365</v>
      </c>
      <c r="I126" s="15" t="s">
        <v>1923</v>
      </c>
      <c r="J126" s="15">
        <v>45257</v>
      </c>
      <c r="K126" s="15" t="s">
        <v>1924</v>
      </c>
      <c r="L126" s="15" t="s">
        <v>128</v>
      </c>
      <c r="M126" s="15">
        <v>257.06</v>
      </c>
      <c r="N126" s="15">
        <v>1</v>
      </c>
      <c r="O126" s="15" t="s">
        <v>38</v>
      </c>
      <c r="P126" s="15">
        <v>3</v>
      </c>
      <c r="Q126" s="15">
        <v>47</v>
      </c>
      <c r="R126" s="15">
        <v>45259</v>
      </c>
      <c r="S126" s="15" t="s">
        <v>1925</v>
      </c>
      <c r="T126" s="15">
        <v>2</v>
      </c>
      <c r="U126" s="15">
        <v>257.06</v>
      </c>
      <c r="V126" s="16">
        <v>0.08</v>
      </c>
      <c r="W126" s="15">
        <v>236.49520000000001</v>
      </c>
      <c r="X126" s="15">
        <v>283.49520000000001</v>
      </c>
      <c r="Y126" s="15" t="s">
        <v>2095</v>
      </c>
      <c r="Z126" s="15" t="s">
        <v>2060</v>
      </c>
      <c r="AA126" s="17">
        <v>10</v>
      </c>
      <c r="AB126">
        <v>101.9568</v>
      </c>
    </row>
    <row r="127" spans="1:28">
      <c r="A127" s="18" t="s">
        <v>352</v>
      </c>
      <c r="B127" s="18" t="s">
        <v>353</v>
      </c>
      <c r="C127" s="18" t="s">
        <v>354</v>
      </c>
      <c r="D127" s="18">
        <v>70</v>
      </c>
      <c r="E127" s="18" t="s">
        <v>31</v>
      </c>
      <c r="F127" s="18" t="s">
        <v>170</v>
      </c>
      <c r="G127" s="18" t="s">
        <v>355</v>
      </c>
      <c r="H127" s="18" t="s">
        <v>356</v>
      </c>
      <c r="I127" s="18" t="s">
        <v>412</v>
      </c>
      <c r="J127" s="18">
        <v>45224</v>
      </c>
      <c r="K127" s="18" t="s">
        <v>413</v>
      </c>
      <c r="L127" s="18" t="s">
        <v>311</v>
      </c>
      <c r="M127" s="18">
        <v>129.75</v>
      </c>
      <c r="N127" s="18">
        <v>2</v>
      </c>
      <c r="O127" s="18" t="s">
        <v>87</v>
      </c>
      <c r="P127" s="18">
        <v>5</v>
      </c>
      <c r="Q127" s="18">
        <v>42</v>
      </c>
      <c r="R127" s="18">
        <v>45227</v>
      </c>
      <c r="S127" s="18" t="s">
        <v>414</v>
      </c>
      <c r="T127" s="18">
        <v>3</v>
      </c>
      <c r="U127" s="18">
        <v>259.5</v>
      </c>
      <c r="V127" s="19">
        <v>0.2</v>
      </c>
      <c r="W127" s="18">
        <v>207.6</v>
      </c>
      <c r="X127" s="18">
        <v>249.6</v>
      </c>
      <c r="Y127" s="18" t="s">
        <v>2078</v>
      </c>
      <c r="Z127" s="18" t="s">
        <v>2060</v>
      </c>
      <c r="AA127" s="20">
        <v>1</v>
      </c>
      <c r="AB127">
        <v>27.260000000000005</v>
      </c>
    </row>
    <row r="128" spans="1:28">
      <c r="A128" s="15" t="s">
        <v>328</v>
      </c>
      <c r="B128" s="15" t="s">
        <v>329</v>
      </c>
      <c r="C128" s="15" t="s">
        <v>330</v>
      </c>
      <c r="D128" s="15">
        <v>29</v>
      </c>
      <c r="E128" s="15" t="s">
        <v>54</v>
      </c>
      <c r="F128" s="15" t="s">
        <v>92</v>
      </c>
      <c r="G128" s="15" t="s">
        <v>331</v>
      </c>
      <c r="H128" s="15" t="s">
        <v>332</v>
      </c>
      <c r="I128" s="15" t="s">
        <v>1436</v>
      </c>
      <c r="J128" s="15">
        <v>45616</v>
      </c>
      <c r="K128" s="15" t="s">
        <v>1437</v>
      </c>
      <c r="L128" s="15" t="s">
        <v>311</v>
      </c>
      <c r="M128" s="15">
        <v>129.75</v>
      </c>
      <c r="N128" s="15">
        <v>2</v>
      </c>
      <c r="O128" s="15" t="s">
        <v>65</v>
      </c>
      <c r="P128" s="15">
        <v>4</v>
      </c>
      <c r="Q128" s="15">
        <v>53</v>
      </c>
      <c r="R128" s="15">
        <v>45620</v>
      </c>
      <c r="S128" s="15" t="s">
        <v>1438</v>
      </c>
      <c r="T128" s="15">
        <v>4</v>
      </c>
      <c r="U128" s="15">
        <v>259.5</v>
      </c>
      <c r="V128" s="16">
        <v>0</v>
      </c>
      <c r="W128" s="15">
        <v>259.5</v>
      </c>
      <c r="X128" s="15">
        <v>259.5</v>
      </c>
      <c r="Y128" s="15" t="s">
        <v>2136</v>
      </c>
      <c r="Z128" s="15" t="s">
        <v>2072</v>
      </c>
      <c r="AA128" s="17">
        <v>12</v>
      </c>
      <c r="AB128">
        <v>258.86399999999998</v>
      </c>
    </row>
    <row r="129" spans="1:28">
      <c r="A129" s="18" t="s">
        <v>396</v>
      </c>
      <c r="B129" s="18" t="s">
        <v>397</v>
      </c>
      <c r="C129" s="18" t="s">
        <v>398</v>
      </c>
      <c r="D129" s="18">
        <v>40</v>
      </c>
      <c r="E129" s="18" t="s">
        <v>54</v>
      </c>
      <c r="F129" s="18" t="s">
        <v>170</v>
      </c>
      <c r="G129" s="18" t="s">
        <v>399</v>
      </c>
      <c r="H129" s="18" t="s">
        <v>400</v>
      </c>
      <c r="I129" s="18" t="s">
        <v>1543</v>
      </c>
      <c r="J129" s="18">
        <v>45285</v>
      </c>
      <c r="K129" s="18" t="s">
        <v>1544</v>
      </c>
      <c r="L129" s="18" t="s">
        <v>311</v>
      </c>
      <c r="M129" s="18">
        <v>129.75</v>
      </c>
      <c r="N129" s="18">
        <v>2</v>
      </c>
      <c r="O129" s="18" t="s">
        <v>60</v>
      </c>
      <c r="P129" s="18">
        <v>1</v>
      </c>
      <c r="Q129" s="18">
        <v>62</v>
      </c>
      <c r="R129" s="18">
        <v>45290</v>
      </c>
      <c r="S129" s="18" t="s">
        <v>1545</v>
      </c>
      <c r="T129" s="18">
        <v>5</v>
      </c>
      <c r="U129" s="18">
        <v>259.5</v>
      </c>
      <c r="V129" s="19">
        <v>0.15</v>
      </c>
      <c r="W129" s="18">
        <v>220.57499999999999</v>
      </c>
      <c r="X129" s="18">
        <v>282.57499999999999</v>
      </c>
      <c r="Y129" s="18" t="s">
        <v>2115</v>
      </c>
      <c r="Z129" s="18" t="s">
        <v>2064</v>
      </c>
      <c r="AA129" s="20">
        <v>6</v>
      </c>
      <c r="AB129">
        <v>132.97</v>
      </c>
    </row>
    <row r="130" spans="1:28">
      <c r="A130" s="15" t="s">
        <v>388</v>
      </c>
      <c r="B130" s="15" t="s">
        <v>389</v>
      </c>
      <c r="C130" s="15" t="s">
        <v>390</v>
      </c>
      <c r="D130" s="15">
        <v>47</v>
      </c>
      <c r="E130" s="15" t="s">
        <v>43</v>
      </c>
      <c r="F130" s="15" t="s">
        <v>92</v>
      </c>
      <c r="G130" s="15" t="s">
        <v>391</v>
      </c>
      <c r="H130" s="15" t="s">
        <v>392</v>
      </c>
      <c r="I130" s="15" t="s">
        <v>1869</v>
      </c>
      <c r="J130" s="15">
        <v>45529</v>
      </c>
      <c r="K130" s="15" t="s">
        <v>1870</v>
      </c>
      <c r="L130" s="15" t="s">
        <v>311</v>
      </c>
      <c r="M130" s="15">
        <v>129.75</v>
      </c>
      <c r="N130" s="15">
        <v>2</v>
      </c>
      <c r="O130" s="15" t="s">
        <v>87</v>
      </c>
      <c r="P130" s="15">
        <v>5</v>
      </c>
      <c r="Q130" s="15">
        <v>47</v>
      </c>
      <c r="R130" s="15">
        <v>45532</v>
      </c>
      <c r="S130" s="15" t="s">
        <v>1871</v>
      </c>
      <c r="T130" s="15">
        <v>3</v>
      </c>
      <c r="U130" s="15">
        <v>259.5</v>
      </c>
      <c r="V130" s="16">
        <v>0.2</v>
      </c>
      <c r="W130" s="15">
        <v>207.6</v>
      </c>
      <c r="X130" s="15">
        <v>254.6</v>
      </c>
      <c r="Y130" s="15" t="s">
        <v>2137</v>
      </c>
      <c r="Z130" s="15" t="s">
        <v>2060</v>
      </c>
      <c r="AA130" s="17">
        <v>11</v>
      </c>
      <c r="AB130">
        <v>0</v>
      </c>
    </row>
    <row r="131" spans="1:28">
      <c r="A131" s="18" t="s">
        <v>1345</v>
      </c>
      <c r="B131" s="18" t="s">
        <v>511</v>
      </c>
      <c r="C131" s="18" t="s">
        <v>1346</v>
      </c>
      <c r="D131" s="18">
        <v>40</v>
      </c>
      <c r="E131" s="18" t="s">
        <v>54</v>
      </c>
      <c r="F131" s="18" t="s">
        <v>223</v>
      </c>
      <c r="G131" s="18" t="s">
        <v>1347</v>
      </c>
      <c r="H131" s="18" t="s">
        <v>1348</v>
      </c>
      <c r="I131" s="18" t="s">
        <v>1510</v>
      </c>
      <c r="J131" s="18">
        <v>45573</v>
      </c>
      <c r="K131" s="18" t="s">
        <v>1511</v>
      </c>
      <c r="L131" s="18" t="s">
        <v>237</v>
      </c>
      <c r="M131" s="18">
        <v>132.97</v>
      </c>
      <c r="N131" s="18">
        <v>2</v>
      </c>
      <c r="O131" s="18" t="s">
        <v>98</v>
      </c>
      <c r="P131" s="18">
        <v>6</v>
      </c>
      <c r="Q131" s="18">
        <v>69</v>
      </c>
      <c r="R131" s="18">
        <v>45578</v>
      </c>
      <c r="S131" s="18" t="s">
        <v>1512</v>
      </c>
      <c r="T131" s="18">
        <v>5</v>
      </c>
      <c r="U131" s="18">
        <v>265.94</v>
      </c>
      <c r="V131" s="19">
        <v>0.1</v>
      </c>
      <c r="W131" s="18">
        <v>239.346</v>
      </c>
      <c r="X131" s="18">
        <v>308.346</v>
      </c>
      <c r="Y131" s="18" t="s">
        <v>2138</v>
      </c>
      <c r="Z131" s="18" t="s">
        <v>2060</v>
      </c>
      <c r="AA131" s="20">
        <v>10</v>
      </c>
      <c r="AB131">
        <v>81.016000000000005</v>
      </c>
    </row>
    <row r="132" spans="1:28">
      <c r="A132" s="15" t="s">
        <v>158</v>
      </c>
      <c r="B132" s="15" t="s">
        <v>159</v>
      </c>
      <c r="C132" s="15" t="s">
        <v>160</v>
      </c>
      <c r="D132" s="15">
        <v>24</v>
      </c>
      <c r="E132" s="15" t="s">
        <v>31</v>
      </c>
      <c r="F132" s="15" t="s">
        <v>161</v>
      </c>
      <c r="G132" s="15" t="s">
        <v>162</v>
      </c>
      <c r="H132" s="15" t="s">
        <v>163</v>
      </c>
      <c r="I132" s="15" t="s">
        <v>1642</v>
      </c>
      <c r="J132" s="15">
        <v>45485</v>
      </c>
      <c r="K132" s="15" t="s">
        <v>1643</v>
      </c>
      <c r="L132" s="15" t="s">
        <v>237</v>
      </c>
      <c r="M132" s="15">
        <v>132.97</v>
      </c>
      <c r="N132" s="15">
        <v>2</v>
      </c>
      <c r="O132" s="15" t="s">
        <v>60</v>
      </c>
      <c r="P132" s="15">
        <v>4</v>
      </c>
      <c r="Q132" s="15">
        <v>40</v>
      </c>
      <c r="R132" s="15">
        <v>45487</v>
      </c>
      <c r="S132" s="15" t="s">
        <v>1644</v>
      </c>
      <c r="T132" s="15">
        <v>2</v>
      </c>
      <c r="U132" s="15">
        <v>265.94</v>
      </c>
      <c r="V132" s="16">
        <v>0.15</v>
      </c>
      <c r="W132" s="15">
        <v>226.04900000000001</v>
      </c>
      <c r="X132" s="15">
        <v>266.04899999999998</v>
      </c>
      <c r="Y132" s="15" t="s">
        <v>2125</v>
      </c>
      <c r="Z132" s="15" t="s">
        <v>2060</v>
      </c>
      <c r="AA132" s="17">
        <v>2</v>
      </c>
      <c r="AB132">
        <v>27.260000000000005</v>
      </c>
    </row>
    <row r="133" spans="1:28">
      <c r="A133" s="18" t="s">
        <v>453</v>
      </c>
      <c r="B133" s="18" t="s">
        <v>454</v>
      </c>
      <c r="C133" s="18" t="s">
        <v>455</v>
      </c>
      <c r="D133" s="18">
        <v>69</v>
      </c>
      <c r="E133" s="18" t="s">
        <v>31</v>
      </c>
      <c r="F133" s="18" t="s">
        <v>32</v>
      </c>
      <c r="G133" s="18" t="s">
        <v>456</v>
      </c>
      <c r="H133" s="18" t="s">
        <v>457</v>
      </c>
      <c r="I133" s="18" t="s">
        <v>564</v>
      </c>
      <c r="J133" s="18">
        <v>45650</v>
      </c>
      <c r="K133" s="18" t="s">
        <v>565</v>
      </c>
      <c r="L133" s="18" t="s">
        <v>566</v>
      </c>
      <c r="M133" s="18">
        <v>133.62</v>
      </c>
      <c r="N133" s="18">
        <v>2</v>
      </c>
      <c r="O133" s="18" t="s">
        <v>98</v>
      </c>
      <c r="P133" s="18">
        <v>4</v>
      </c>
      <c r="Q133" s="18">
        <v>50</v>
      </c>
      <c r="R133" s="18">
        <v>45651</v>
      </c>
      <c r="S133" s="18" t="s">
        <v>567</v>
      </c>
      <c r="T133" s="18">
        <v>1</v>
      </c>
      <c r="U133" s="18">
        <v>267.24</v>
      </c>
      <c r="V133" s="19">
        <v>0.1</v>
      </c>
      <c r="W133" s="18">
        <v>240.51600000000002</v>
      </c>
      <c r="X133" s="18">
        <v>290.51600000000002</v>
      </c>
      <c r="Y133" s="18" t="s">
        <v>2099</v>
      </c>
      <c r="Z133" s="18" t="s">
        <v>2060</v>
      </c>
      <c r="AA133" s="20">
        <v>6</v>
      </c>
      <c r="AB133">
        <v>0</v>
      </c>
    </row>
    <row r="134" spans="1:28">
      <c r="A134" s="15" t="s">
        <v>531</v>
      </c>
      <c r="B134" s="15" t="s">
        <v>397</v>
      </c>
      <c r="C134" s="15" t="s">
        <v>532</v>
      </c>
      <c r="D134" s="15">
        <v>51</v>
      </c>
      <c r="E134" s="15" t="s">
        <v>54</v>
      </c>
      <c r="F134" s="15" t="s">
        <v>142</v>
      </c>
      <c r="G134" s="15" t="s">
        <v>533</v>
      </c>
      <c r="H134" s="15" t="s">
        <v>534</v>
      </c>
      <c r="I134" s="15" t="s">
        <v>997</v>
      </c>
      <c r="J134" s="15">
        <v>45010</v>
      </c>
      <c r="K134" s="15" t="s">
        <v>998</v>
      </c>
      <c r="L134" s="15" t="s">
        <v>566</v>
      </c>
      <c r="M134" s="15">
        <v>133.62</v>
      </c>
      <c r="N134" s="15">
        <v>2</v>
      </c>
      <c r="O134" s="15" t="s">
        <v>38</v>
      </c>
      <c r="P134" s="15">
        <v>1</v>
      </c>
      <c r="Q134" s="15">
        <v>48</v>
      </c>
      <c r="R134" s="15">
        <v>45015</v>
      </c>
      <c r="S134" s="15" t="s">
        <v>999</v>
      </c>
      <c r="T134" s="15">
        <v>5</v>
      </c>
      <c r="U134" s="15">
        <v>267.24</v>
      </c>
      <c r="V134" s="16">
        <v>0.08</v>
      </c>
      <c r="W134" s="15">
        <v>245.86080000000001</v>
      </c>
      <c r="X134" s="15">
        <v>293.86080000000004</v>
      </c>
      <c r="Y134" s="15" t="s">
        <v>2118</v>
      </c>
      <c r="Z134" s="15" t="s">
        <v>2064</v>
      </c>
      <c r="AA134" s="17">
        <v>12</v>
      </c>
      <c r="AB134">
        <v>161.21199999999999</v>
      </c>
    </row>
    <row r="135" spans="1:28">
      <c r="A135" s="18" t="s">
        <v>396</v>
      </c>
      <c r="B135" s="18" t="s">
        <v>397</v>
      </c>
      <c r="C135" s="18" t="s">
        <v>398</v>
      </c>
      <c r="D135" s="18">
        <v>40</v>
      </c>
      <c r="E135" s="18" t="s">
        <v>54</v>
      </c>
      <c r="F135" s="18" t="s">
        <v>170</v>
      </c>
      <c r="G135" s="18" t="s">
        <v>399</v>
      </c>
      <c r="H135" s="18" t="s">
        <v>400</v>
      </c>
      <c r="I135" s="18" t="s">
        <v>1394</v>
      </c>
      <c r="J135" s="18">
        <v>45058</v>
      </c>
      <c r="K135" s="18" t="s">
        <v>1395</v>
      </c>
      <c r="L135" s="18" t="s">
        <v>566</v>
      </c>
      <c r="M135" s="18">
        <v>133.62</v>
      </c>
      <c r="N135" s="18">
        <v>2</v>
      </c>
      <c r="O135" s="18" t="s">
        <v>98</v>
      </c>
      <c r="P135" s="18">
        <v>4</v>
      </c>
      <c r="Q135" s="18">
        <v>36</v>
      </c>
      <c r="R135" s="18">
        <v>45059</v>
      </c>
      <c r="S135" s="18" t="s">
        <v>1396</v>
      </c>
      <c r="T135" s="18">
        <v>1</v>
      </c>
      <c r="U135" s="18">
        <v>267.24</v>
      </c>
      <c r="V135" s="19">
        <v>0.1</v>
      </c>
      <c r="W135" s="18">
        <v>240.51600000000002</v>
      </c>
      <c r="X135" s="18">
        <v>276.51600000000002</v>
      </c>
      <c r="Y135" s="18" t="s">
        <v>2115</v>
      </c>
      <c r="Z135" s="18" t="s">
        <v>2060</v>
      </c>
      <c r="AA135" s="20">
        <v>2</v>
      </c>
      <c r="AB135">
        <v>190.10000000000002</v>
      </c>
    </row>
    <row r="136" spans="1:28">
      <c r="A136" s="15" t="s">
        <v>606</v>
      </c>
      <c r="B136" s="15" t="s">
        <v>607</v>
      </c>
      <c r="C136" s="15" t="s">
        <v>406</v>
      </c>
      <c r="D136" s="15">
        <v>18</v>
      </c>
      <c r="E136" s="15" t="s">
        <v>43</v>
      </c>
      <c r="F136" s="15" t="s">
        <v>44</v>
      </c>
      <c r="G136" s="15" t="s">
        <v>608</v>
      </c>
      <c r="H136" s="15" t="s">
        <v>609</v>
      </c>
      <c r="I136" s="15" t="s">
        <v>1845</v>
      </c>
      <c r="J136" s="15">
        <v>45178</v>
      </c>
      <c r="K136" s="15" t="s">
        <v>1846</v>
      </c>
      <c r="L136" s="15" t="s">
        <v>566</v>
      </c>
      <c r="M136" s="15">
        <v>133.62</v>
      </c>
      <c r="N136" s="15">
        <v>2</v>
      </c>
      <c r="O136" s="15" t="s">
        <v>38</v>
      </c>
      <c r="P136" s="15">
        <v>2</v>
      </c>
      <c r="Q136" s="15">
        <v>48</v>
      </c>
      <c r="R136" s="15">
        <v>45184</v>
      </c>
      <c r="S136" s="15" t="s">
        <v>1847</v>
      </c>
      <c r="T136" s="15">
        <v>6</v>
      </c>
      <c r="U136" s="15">
        <v>267.24</v>
      </c>
      <c r="V136" s="16">
        <v>0.08</v>
      </c>
      <c r="W136" s="15">
        <v>245.86080000000001</v>
      </c>
      <c r="X136" s="15">
        <v>293.86080000000004</v>
      </c>
      <c r="Y136" s="15" t="s">
        <v>2139</v>
      </c>
      <c r="Z136" s="15" t="s">
        <v>2064</v>
      </c>
      <c r="AA136" s="17">
        <v>1</v>
      </c>
      <c r="AB136">
        <v>0</v>
      </c>
    </row>
    <row r="137" spans="1:28">
      <c r="A137" s="18" t="s">
        <v>230</v>
      </c>
      <c r="B137" s="18" t="s">
        <v>231</v>
      </c>
      <c r="C137" s="18" t="s">
        <v>232</v>
      </c>
      <c r="D137" s="18">
        <v>64</v>
      </c>
      <c r="E137" s="18" t="s">
        <v>43</v>
      </c>
      <c r="F137" s="18" t="s">
        <v>44</v>
      </c>
      <c r="G137" s="18" t="s">
        <v>233</v>
      </c>
      <c r="H137" s="18" t="s">
        <v>234</v>
      </c>
      <c r="I137" s="18" t="s">
        <v>500</v>
      </c>
      <c r="J137" s="18">
        <v>45629</v>
      </c>
      <c r="K137" s="18" t="s">
        <v>501</v>
      </c>
      <c r="L137" s="18" t="s">
        <v>175</v>
      </c>
      <c r="M137" s="18">
        <v>272.51</v>
      </c>
      <c r="N137" s="18">
        <v>1</v>
      </c>
      <c r="O137" s="18" t="s">
        <v>87</v>
      </c>
      <c r="P137" s="18">
        <v>4</v>
      </c>
      <c r="Q137" s="18">
        <v>43</v>
      </c>
      <c r="R137" s="18">
        <v>45630</v>
      </c>
      <c r="S137" s="18" t="s">
        <v>502</v>
      </c>
      <c r="T137" s="18">
        <v>1</v>
      </c>
      <c r="U137" s="18">
        <v>272.51</v>
      </c>
      <c r="V137" s="19">
        <v>0.2</v>
      </c>
      <c r="W137" s="18">
        <v>218.00799999999998</v>
      </c>
      <c r="X137" s="18">
        <v>261.00799999999998</v>
      </c>
      <c r="Y137" s="18" t="s">
        <v>2111</v>
      </c>
      <c r="Z137" s="18" t="s">
        <v>2060</v>
      </c>
      <c r="AA137" s="20">
        <v>10</v>
      </c>
      <c r="AB137">
        <v>47.126000000000005</v>
      </c>
    </row>
    <row r="138" spans="1:28">
      <c r="A138" s="15" t="s">
        <v>453</v>
      </c>
      <c r="B138" s="15" t="s">
        <v>454</v>
      </c>
      <c r="C138" s="15" t="s">
        <v>455</v>
      </c>
      <c r="D138" s="15">
        <v>69</v>
      </c>
      <c r="E138" s="15" t="s">
        <v>31</v>
      </c>
      <c r="F138" s="15" t="s">
        <v>32</v>
      </c>
      <c r="G138" s="15" t="s">
        <v>456</v>
      </c>
      <c r="H138" s="15" t="s">
        <v>457</v>
      </c>
      <c r="I138" s="15" t="s">
        <v>699</v>
      </c>
      <c r="J138" s="15">
        <v>45484</v>
      </c>
      <c r="K138" s="15" t="s">
        <v>700</v>
      </c>
      <c r="L138" s="15" t="s">
        <v>517</v>
      </c>
      <c r="M138" s="15">
        <v>136.30000000000001</v>
      </c>
      <c r="N138" s="15">
        <v>2</v>
      </c>
      <c r="O138" s="15" t="s">
        <v>98</v>
      </c>
      <c r="P138" s="15">
        <v>1</v>
      </c>
      <c r="Q138" s="15">
        <v>54</v>
      </c>
      <c r="R138" s="15">
        <v>45485</v>
      </c>
      <c r="S138" s="15" t="s">
        <v>701</v>
      </c>
      <c r="T138" s="15">
        <v>1</v>
      </c>
      <c r="U138" s="15">
        <v>272.60000000000002</v>
      </c>
      <c r="V138" s="16">
        <v>0.1</v>
      </c>
      <c r="W138" s="15">
        <v>245.34000000000003</v>
      </c>
      <c r="X138" s="15">
        <v>299.34000000000003</v>
      </c>
      <c r="Y138" s="15" t="s">
        <v>2099</v>
      </c>
      <c r="Z138" s="15" t="s">
        <v>2072</v>
      </c>
      <c r="AA138" s="17">
        <v>11</v>
      </c>
      <c r="AB138">
        <v>346.89600000000002</v>
      </c>
    </row>
    <row r="139" spans="1:28">
      <c r="A139" s="18" t="s">
        <v>195</v>
      </c>
      <c r="B139" s="18" t="s">
        <v>196</v>
      </c>
      <c r="C139" s="18" t="s">
        <v>197</v>
      </c>
      <c r="D139" s="18">
        <v>34</v>
      </c>
      <c r="E139" s="18" t="s">
        <v>31</v>
      </c>
      <c r="F139" s="18" t="s">
        <v>92</v>
      </c>
      <c r="G139" s="18" t="s">
        <v>198</v>
      </c>
      <c r="H139" s="18" t="s">
        <v>199</v>
      </c>
      <c r="I139" s="18" t="s">
        <v>802</v>
      </c>
      <c r="J139" s="18">
        <v>45667</v>
      </c>
      <c r="K139" s="18" t="s">
        <v>803</v>
      </c>
      <c r="L139" s="18" t="s">
        <v>517</v>
      </c>
      <c r="M139" s="18">
        <v>136.30000000000001</v>
      </c>
      <c r="N139" s="18">
        <v>2</v>
      </c>
      <c r="O139" s="18" t="s">
        <v>98</v>
      </c>
      <c r="P139" s="18">
        <v>3</v>
      </c>
      <c r="Q139" s="18">
        <v>68</v>
      </c>
      <c r="R139" s="18">
        <v>45674</v>
      </c>
      <c r="S139" s="18" t="s">
        <v>804</v>
      </c>
      <c r="T139" s="18">
        <v>7</v>
      </c>
      <c r="U139" s="18">
        <v>272.60000000000002</v>
      </c>
      <c r="V139" s="19">
        <v>0.1</v>
      </c>
      <c r="W139" s="18">
        <v>245.34000000000003</v>
      </c>
      <c r="X139" s="18">
        <v>313.34000000000003</v>
      </c>
      <c r="Y139" s="18" t="s">
        <v>2086</v>
      </c>
      <c r="Z139" s="18" t="s">
        <v>2064</v>
      </c>
      <c r="AA139" s="20">
        <v>2</v>
      </c>
      <c r="AB139">
        <v>0</v>
      </c>
    </row>
    <row r="140" spans="1:28">
      <c r="A140" s="15" t="s">
        <v>100</v>
      </c>
      <c r="B140" s="15" t="s">
        <v>101</v>
      </c>
      <c r="C140" s="15" t="s">
        <v>102</v>
      </c>
      <c r="D140" s="15">
        <v>39</v>
      </c>
      <c r="E140" s="15" t="s">
        <v>31</v>
      </c>
      <c r="F140" s="15" t="s">
        <v>32</v>
      </c>
      <c r="G140" s="15" t="s">
        <v>103</v>
      </c>
      <c r="H140" s="15" t="s">
        <v>104</v>
      </c>
      <c r="I140" s="15" t="s">
        <v>817</v>
      </c>
      <c r="J140" s="15">
        <v>45689</v>
      </c>
      <c r="K140" s="15" t="s">
        <v>818</v>
      </c>
      <c r="L140" s="15" t="s">
        <v>517</v>
      </c>
      <c r="M140" s="15">
        <v>136.30000000000001</v>
      </c>
      <c r="N140" s="15">
        <v>2</v>
      </c>
      <c r="O140" s="15" t="s">
        <v>98</v>
      </c>
      <c r="P140" s="15">
        <v>2</v>
      </c>
      <c r="Q140" s="15">
        <v>51</v>
      </c>
      <c r="R140" s="15">
        <v>45694</v>
      </c>
      <c r="S140" s="15" t="s">
        <v>819</v>
      </c>
      <c r="T140" s="15">
        <v>5</v>
      </c>
      <c r="U140" s="15">
        <v>272.60000000000002</v>
      </c>
      <c r="V140" s="16">
        <v>0.1</v>
      </c>
      <c r="W140" s="15">
        <v>245.34000000000003</v>
      </c>
      <c r="X140" s="15">
        <v>296.34000000000003</v>
      </c>
      <c r="Y140" s="15" t="s">
        <v>2081</v>
      </c>
      <c r="Z140" s="15" t="s">
        <v>2064</v>
      </c>
      <c r="AA140" s="17">
        <v>7</v>
      </c>
      <c r="AB140">
        <v>0</v>
      </c>
    </row>
    <row r="141" spans="1:28">
      <c r="A141" s="18" t="s">
        <v>178</v>
      </c>
      <c r="B141" s="18" t="s">
        <v>179</v>
      </c>
      <c r="C141" s="18" t="s">
        <v>180</v>
      </c>
      <c r="D141" s="18">
        <v>36</v>
      </c>
      <c r="E141" s="18" t="s">
        <v>54</v>
      </c>
      <c r="F141" s="18" t="s">
        <v>142</v>
      </c>
      <c r="G141" s="18" t="s">
        <v>181</v>
      </c>
      <c r="H141" s="18" t="s">
        <v>182</v>
      </c>
      <c r="I141" s="18" t="s">
        <v>1114</v>
      </c>
      <c r="J141" s="18">
        <v>45549</v>
      </c>
      <c r="K141" s="18" t="s">
        <v>1115</v>
      </c>
      <c r="L141" s="18" t="s">
        <v>517</v>
      </c>
      <c r="M141" s="18">
        <v>136.30000000000001</v>
      </c>
      <c r="N141" s="18">
        <v>2</v>
      </c>
      <c r="O141" s="18" t="s">
        <v>87</v>
      </c>
      <c r="P141" s="18">
        <v>7</v>
      </c>
      <c r="Q141" s="18">
        <v>51</v>
      </c>
      <c r="R141" s="18">
        <v>45550</v>
      </c>
      <c r="S141" s="18" t="s">
        <v>1116</v>
      </c>
      <c r="T141" s="18">
        <v>1</v>
      </c>
      <c r="U141" s="18">
        <v>272.60000000000002</v>
      </c>
      <c r="V141" s="19">
        <v>0.2</v>
      </c>
      <c r="W141" s="18">
        <v>218.08</v>
      </c>
      <c r="X141" s="18">
        <v>269.08000000000004</v>
      </c>
      <c r="Y141" s="18" t="s">
        <v>2071</v>
      </c>
      <c r="Z141" s="18" t="s">
        <v>2060</v>
      </c>
      <c r="AA141" s="20">
        <v>12</v>
      </c>
      <c r="AB141">
        <v>61.694400000000009</v>
      </c>
    </row>
    <row r="142" spans="1:28">
      <c r="A142" s="15" t="s">
        <v>336</v>
      </c>
      <c r="B142" s="15" t="s">
        <v>337</v>
      </c>
      <c r="C142" s="15" t="s">
        <v>338</v>
      </c>
      <c r="D142" s="15">
        <v>23</v>
      </c>
      <c r="E142" s="15" t="s">
        <v>31</v>
      </c>
      <c r="F142" s="15" t="s">
        <v>32</v>
      </c>
      <c r="G142" s="15" t="s">
        <v>339</v>
      </c>
      <c r="H142" s="15" t="s">
        <v>340</v>
      </c>
      <c r="I142" s="15" t="s">
        <v>1132</v>
      </c>
      <c r="J142" s="15">
        <v>45504</v>
      </c>
      <c r="K142" s="15" t="s">
        <v>1133</v>
      </c>
      <c r="L142" s="15" t="s">
        <v>517</v>
      </c>
      <c r="M142" s="15">
        <v>136.30000000000001</v>
      </c>
      <c r="N142" s="15">
        <v>2</v>
      </c>
      <c r="O142" s="15" t="s">
        <v>98</v>
      </c>
      <c r="P142" s="15">
        <v>3</v>
      </c>
      <c r="Q142" s="15">
        <v>47</v>
      </c>
      <c r="R142" s="15">
        <v>45511</v>
      </c>
      <c r="S142" s="15" t="s">
        <v>1134</v>
      </c>
      <c r="T142" s="15">
        <v>7</v>
      </c>
      <c r="U142" s="15">
        <v>272.60000000000002</v>
      </c>
      <c r="V142" s="16">
        <v>0.1</v>
      </c>
      <c r="W142" s="15">
        <v>245.34000000000003</v>
      </c>
      <c r="X142" s="15">
        <v>292.34000000000003</v>
      </c>
      <c r="Y142" s="15" t="s">
        <v>2091</v>
      </c>
      <c r="Z142" s="15" t="s">
        <v>2064</v>
      </c>
      <c r="AA142" s="17">
        <v>9</v>
      </c>
      <c r="AB142">
        <v>66.569999999999993</v>
      </c>
    </row>
    <row r="143" spans="1:28">
      <c r="A143" s="18" t="s">
        <v>1249</v>
      </c>
      <c r="B143" s="18" t="s">
        <v>68</v>
      </c>
      <c r="C143" s="18" t="s">
        <v>1250</v>
      </c>
      <c r="D143" s="18">
        <v>40</v>
      </c>
      <c r="E143" s="18" t="s">
        <v>31</v>
      </c>
      <c r="F143" s="18" t="s">
        <v>78</v>
      </c>
      <c r="G143" s="18" t="s">
        <v>1251</v>
      </c>
      <c r="H143" s="18" t="s">
        <v>1252</v>
      </c>
      <c r="I143" s="18" t="s">
        <v>1253</v>
      </c>
      <c r="J143" s="18">
        <v>45531</v>
      </c>
      <c r="K143" s="18" t="s">
        <v>1254</v>
      </c>
      <c r="L143" s="18" t="s">
        <v>517</v>
      </c>
      <c r="M143" s="18">
        <v>136.30000000000001</v>
      </c>
      <c r="N143" s="18">
        <v>2</v>
      </c>
      <c r="O143" s="18" t="s">
        <v>38</v>
      </c>
      <c r="P143" s="18">
        <v>6</v>
      </c>
      <c r="Q143" s="18">
        <v>58</v>
      </c>
      <c r="R143" s="18">
        <v>45533</v>
      </c>
      <c r="S143" s="18" t="s">
        <v>1255</v>
      </c>
      <c r="T143" s="18">
        <v>2</v>
      </c>
      <c r="U143" s="18">
        <v>272.60000000000002</v>
      </c>
      <c r="V143" s="19">
        <v>0.08</v>
      </c>
      <c r="W143" s="18">
        <v>250.79200000000003</v>
      </c>
      <c r="X143" s="18">
        <v>308.79200000000003</v>
      </c>
      <c r="Y143" s="18" t="s">
        <v>2076</v>
      </c>
      <c r="Z143" s="18" t="s">
        <v>2060</v>
      </c>
      <c r="AA143" s="20">
        <v>11</v>
      </c>
      <c r="AB143">
        <v>192.59200000000001</v>
      </c>
    </row>
    <row r="144" spans="1:28">
      <c r="A144" s="15" t="s">
        <v>187</v>
      </c>
      <c r="B144" s="15" t="s">
        <v>188</v>
      </c>
      <c r="C144" s="15" t="s">
        <v>189</v>
      </c>
      <c r="D144" s="15">
        <v>42</v>
      </c>
      <c r="E144" s="15" t="s">
        <v>43</v>
      </c>
      <c r="F144" s="15" t="s">
        <v>170</v>
      </c>
      <c r="G144" s="15" t="s">
        <v>190</v>
      </c>
      <c r="H144" s="15" t="s">
        <v>191</v>
      </c>
      <c r="I144" s="15" t="s">
        <v>1301</v>
      </c>
      <c r="J144" s="15">
        <v>45541</v>
      </c>
      <c r="K144" s="15" t="s">
        <v>1302</v>
      </c>
      <c r="L144" s="15" t="s">
        <v>517</v>
      </c>
      <c r="M144" s="15">
        <v>136.30000000000001</v>
      </c>
      <c r="N144" s="15">
        <v>2</v>
      </c>
      <c r="O144" s="15" t="s">
        <v>87</v>
      </c>
      <c r="P144" s="15">
        <v>2</v>
      </c>
      <c r="Q144" s="15">
        <v>45</v>
      </c>
      <c r="R144" s="15">
        <v>45546</v>
      </c>
      <c r="S144" s="15" t="s">
        <v>1303</v>
      </c>
      <c r="T144" s="15">
        <v>5</v>
      </c>
      <c r="U144" s="15">
        <v>272.60000000000002</v>
      </c>
      <c r="V144" s="16">
        <v>0.2</v>
      </c>
      <c r="W144" s="15">
        <v>218.08</v>
      </c>
      <c r="X144" s="15">
        <v>263.08000000000004</v>
      </c>
      <c r="Y144" s="15" t="s">
        <v>2062</v>
      </c>
      <c r="Z144" s="15" t="s">
        <v>2064</v>
      </c>
      <c r="AA144" s="17">
        <v>10</v>
      </c>
      <c r="AB144">
        <v>233.72</v>
      </c>
    </row>
    <row r="145" spans="1:28">
      <c r="A145" s="18" t="s">
        <v>100</v>
      </c>
      <c r="B145" s="18" t="s">
        <v>101</v>
      </c>
      <c r="C145" s="18" t="s">
        <v>102</v>
      </c>
      <c r="D145" s="18">
        <v>39</v>
      </c>
      <c r="E145" s="18" t="s">
        <v>31</v>
      </c>
      <c r="F145" s="18" t="s">
        <v>32</v>
      </c>
      <c r="G145" s="18" t="s">
        <v>103</v>
      </c>
      <c r="H145" s="18" t="s">
        <v>104</v>
      </c>
      <c r="I145" s="18" t="s">
        <v>105</v>
      </c>
      <c r="J145" s="18">
        <v>45040</v>
      </c>
      <c r="K145" s="18" t="s">
        <v>106</v>
      </c>
      <c r="L145" s="18" t="s">
        <v>107</v>
      </c>
      <c r="M145" s="18">
        <v>275.44</v>
      </c>
      <c r="N145" s="18">
        <v>1</v>
      </c>
      <c r="O145" s="18" t="s">
        <v>38</v>
      </c>
      <c r="P145" s="18">
        <v>7</v>
      </c>
      <c r="Q145" s="18">
        <v>63</v>
      </c>
      <c r="R145" s="18">
        <v>45042</v>
      </c>
      <c r="S145" s="18" t="s">
        <v>108</v>
      </c>
      <c r="T145" s="18">
        <v>2</v>
      </c>
      <c r="U145" s="18">
        <v>275.44</v>
      </c>
      <c r="V145" s="19">
        <v>0.08</v>
      </c>
      <c r="W145" s="18">
        <v>253.40479999999999</v>
      </c>
      <c r="X145" s="18">
        <v>316.40480000000002</v>
      </c>
      <c r="Y145" s="18" t="s">
        <v>2081</v>
      </c>
      <c r="Z145" s="18" t="s">
        <v>2060</v>
      </c>
      <c r="AA145" s="20">
        <v>9</v>
      </c>
      <c r="AB145">
        <v>15</v>
      </c>
    </row>
    <row r="146" spans="1:28">
      <c r="A146" s="15" t="s">
        <v>928</v>
      </c>
      <c r="B146" s="15" t="s">
        <v>929</v>
      </c>
      <c r="C146" s="15" t="s">
        <v>930</v>
      </c>
      <c r="D146" s="15">
        <v>24</v>
      </c>
      <c r="E146" s="15" t="s">
        <v>54</v>
      </c>
      <c r="F146" s="15" t="s">
        <v>223</v>
      </c>
      <c r="G146" s="15" t="s">
        <v>931</v>
      </c>
      <c r="H146" s="15" t="s">
        <v>932</v>
      </c>
      <c r="I146" s="15" t="s">
        <v>946</v>
      </c>
      <c r="J146" s="15">
        <v>45207</v>
      </c>
      <c r="K146" s="15" t="s">
        <v>947</v>
      </c>
      <c r="L146" s="15" t="s">
        <v>249</v>
      </c>
      <c r="M146" s="15">
        <v>282.63</v>
      </c>
      <c r="N146" s="15">
        <v>1</v>
      </c>
      <c r="O146" s="15" t="s">
        <v>65</v>
      </c>
      <c r="P146" s="15">
        <v>5</v>
      </c>
      <c r="Q146" s="15">
        <v>45</v>
      </c>
      <c r="R146" s="15">
        <v>45214</v>
      </c>
      <c r="S146" s="15" t="s">
        <v>948</v>
      </c>
      <c r="T146" s="15">
        <v>7</v>
      </c>
      <c r="U146" s="15">
        <v>282.63</v>
      </c>
      <c r="V146" s="16">
        <v>0</v>
      </c>
      <c r="W146" s="15">
        <v>282.63</v>
      </c>
      <c r="X146" s="15">
        <v>282.63</v>
      </c>
      <c r="Y146" s="15" t="s">
        <v>2122</v>
      </c>
      <c r="Z146" s="15" t="s">
        <v>2064</v>
      </c>
      <c r="AA146" s="17">
        <v>1</v>
      </c>
      <c r="AB146">
        <v>121.5</v>
      </c>
    </row>
    <row r="147" spans="1:28">
      <c r="A147" s="18" t="s">
        <v>1617</v>
      </c>
      <c r="B147" s="18" t="s">
        <v>276</v>
      </c>
      <c r="C147" s="18" t="s">
        <v>1618</v>
      </c>
      <c r="D147" s="18">
        <v>62</v>
      </c>
      <c r="E147" s="18" t="s">
        <v>43</v>
      </c>
      <c r="F147" s="18" t="s">
        <v>44</v>
      </c>
      <c r="G147" s="18" t="s">
        <v>1619</v>
      </c>
      <c r="H147" s="18" t="s">
        <v>1620</v>
      </c>
      <c r="I147" s="18" t="s">
        <v>1891</v>
      </c>
      <c r="J147" s="18">
        <v>45429</v>
      </c>
      <c r="K147" s="18" t="s">
        <v>1892</v>
      </c>
      <c r="L147" s="18" t="s">
        <v>476</v>
      </c>
      <c r="M147" s="18">
        <v>286.07</v>
      </c>
      <c r="N147" s="18">
        <v>1</v>
      </c>
      <c r="O147" s="18" t="s">
        <v>65</v>
      </c>
      <c r="P147" s="18">
        <v>4</v>
      </c>
      <c r="Q147" s="18">
        <v>43</v>
      </c>
      <c r="R147" s="18">
        <v>45434</v>
      </c>
      <c r="S147" s="18" t="s">
        <v>1893</v>
      </c>
      <c r="T147" s="18">
        <v>5</v>
      </c>
      <c r="U147" s="18">
        <v>286.07</v>
      </c>
      <c r="V147" s="19">
        <v>0</v>
      </c>
      <c r="W147" s="18">
        <v>286.07</v>
      </c>
      <c r="X147" s="18">
        <v>286.07</v>
      </c>
      <c r="Y147" s="18" t="s">
        <v>2067</v>
      </c>
      <c r="Z147" s="18" t="s">
        <v>2064</v>
      </c>
      <c r="AA147" s="20">
        <v>10</v>
      </c>
      <c r="AB147">
        <v>24.225000000000001</v>
      </c>
    </row>
    <row r="148" spans="1:28">
      <c r="A148" s="15" t="s">
        <v>89</v>
      </c>
      <c r="B148" s="15" t="s">
        <v>90</v>
      </c>
      <c r="C148" s="15" t="s">
        <v>91</v>
      </c>
      <c r="D148" s="15">
        <v>26</v>
      </c>
      <c r="E148" s="15" t="s">
        <v>43</v>
      </c>
      <c r="F148" s="15" t="s">
        <v>92</v>
      </c>
      <c r="G148" s="15" t="s">
        <v>93</v>
      </c>
      <c r="H148" s="15" t="s">
        <v>94</v>
      </c>
      <c r="I148" s="15" t="s">
        <v>1760</v>
      </c>
      <c r="J148" s="15">
        <v>45359</v>
      </c>
      <c r="K148" s="15" t="s">
        <v>1761</v>
      </c>
      <c r="L148" s="15" t="s">
        <v>874</v>
      </c>
      <c r="M148" s="15">
        <v>292.14999999999998</v>
      </c>
      <c r="N148" s="15">
        <v>1</v>
      </c>
      <c r="O148" s="15" t="s">
        <v>87</v>
      </c>
      <c r="P148" s="15">
        <v>5</v>
      </c>
      <c r="Q148" s="15">
        <v>57</v>
      </c>
      <c r="R148" s="15">
        <v>45365</v>
      </c>
      <c r="S148" s="15" t="s">
        <v>1762</v>
      </c>
      <c r="T148" s="15">
        <v>6</v>
      </c>
      <c r="U148" s="15">
        <v>292.14999999999998</v>
      </c>
      <c r="V148" s="16">
        <v>0.2</v>
      </c>
      <c r="W148" s="15">
        <v>233.71999999999997</v>
      </c>
      <c r="X148" s="15">
        <v>290.71999999999997</v>
      </c>
      <c r="Y148" s="15" t="s">
        <v>2134</v>
      </c>
      <c r="Z148" s="15" t="s">
        <v>2064</v>
      </c>
      <c r="AA148" s="17">
        <v>11</v>
      </c>
      <c r="AB148">
        <v>16.203199999999999</v>
      </c>
    </row>
    <row r="149" spans="1:28">
      <c r="A149" s="18" t="s">
        <v>28</v>
      </c>
      <c r="B149" s="18" t="s">
        <v>29</v>
      </c>
      <c r="C149" s="18" t="s">
        <v>30</v>
      </c>
      <c r="D149" s="18">
        <v>37</v>
      </c>
      <c r="E149" s="18" t="s">
        <v>31</v>
      </c>
      <c r="F149" s="18" t="s">
        <v>32</v>
      </c>
      <c r="G149" s="18" t="s">
        <v>33</v>
      </c>
      <c r="H149" s="18" t="s">
        <v>34</v>
      </c>
      <c r="I149" s="18" t="s">
        <v>546</v>
      </c>
      <c r="J149" s="18">
        <v>45567</v>
      </c>
      <c r="K149" s="18" t="s">
        <v>547</v>
      </c>
      <c r="L149" s="18" t="s">
        <v>37</v>
      </c>
      <c r="M149" s="18">
        <v>308.88</v>
      </c>
      <c r="N149" s="18">
        <v>1</v>
      </c>
      <c r="O149" s="18" t="s">
        <v>65</v>
      </c>
      <c r="P149" s="18">
        <v>6</v>
      </c>
      <c r="Q149" s="18">
        <v>62</v>
      </c>
      <c r="R149" s="18">
        <v>45569</v>
      </c>
      <c r="S149" s="18" t="s">
        <v>548</v>
      </c>
      <c r="T149" s="18">
        <v>2</v>
      </c>
      <c r="U149" s="18">
        <v>308.88</v>
      </c>
      <c r="V149" s="19">
        <v>0</v>
      </c>
      <c r="W149" s="18">
        <v>308.88</v>
      </c>
      <c r="X149" s="18">
        <v>308.88</v>
      </c>
      <c r="Y149" s="18" t="s">
        <v>2140</v>
      </c>
      <c r="Z149" s="18" t="s">
        <v>2060</v>
      </c>
      <c r="AA149" s="20">
        <v>2</v>
      </c>
      <c r="AB149">
        <v>286.07</v>
      </c>
    </row>
    <row r="150" spans="1:28">
      <c r="A150" s="15" t="s">
        <v>220</v>
      </c>
      <c r="B150" s="15" t="s">
        <v>221</v>
      </c>
      <c r="C150" s="15" t="s">
        <v>222</v>
      </c>
      <c r="D150" s="15">
        <v>33</v>
      </c>
      <c r="E150" s="15" t="s">
        <v>54</v>
      </c>
      <c r="F150" s="15" t="s">
        <v>223</v>
      </c>
      <c r="G150" s="15" t="s">
        <v>224</v>
      </c>
      <c r="H150" s="15" t="s">
        <v>225</v>
      </c>
      <c r="I150" s="15" t="s">
        <v>558</v>
      </c>
      <c r="J150" s="15">
        <v>45355</v>
      </c>
      <c r="K150" s="15" t="s">
        <v>559</v>
      </c>
      <c r="L150" s="15" t="s">
        <v>37</v>
      </c>
      <c r="M150" s="15">
        <v>308.88</v>
      </c>
      <c r="N150" s="15">
        <v>1</v>
      </c>
      <c r="O150" s="15" t="s">
        <v>98</v>
      </c>
      <c r="P150" s="15">
        <v>1</v>
      </c>
      <c r="Q150" s="15">
        <v>56</v>
      </c>
      <c r="R150" s="15">
        <v>45360</v>
      </c>
      <c r="S150" s="15" t="s">
        <v>560</v>
      </c>
      <c r="T150" s="15">
        <v>5</v>
      </c>
      <c r="U150" s="15">
        <v>308.88</v>
      </c>
      <c r="V150" s="16">
        <v>0.1</v>
      </c>
      <c r="W150" s="15">
        <v>277.99200000000002</v>
      </c>
      <c r="X150" s="15">
        <v>333.99200000000002</v>
      </c>
      <c r="Y150" s="15" t="s">
        <v>2141</v>
      </c>
      <c r="Z150" s="15" t="s">
        <v>2064</v>
      </c>
      <c r="AA150" s="17">
        <v>3</v>
      </c>
      <c r="AB150">
        <v>81.016000000000005</v>
      </c>
    </row>
    <row r="151" spans="1:28">
      <c r="A151" s="18" t="s">
        <v>187</v>
      </c>
      <c r="B151" s="18" t="s">
        <v>188</v>
      </c>
      <c r="C151" s="18" t="s">
        <v>189</v>
      </c>
      <c r="D151" s="18">
        <v>42</v>
      </c>
      <c r="E151" s="18" t="s">
        <v>43</v>
      </c>
      <c r="F151" s="18" t="s">
        <v>170</v>
      </c>
      <c r="G151" s="18" t="s">
        <v>190</v>
      </c>
      <c r="H151" s="18" t="s">
        <v>191</v>
      </c>
      <c r="I151" s="18" t="s">
        <v>1153</v>
      </c>
      <c r="J151" s="18">
        <v>45555</v>
      </c>
      <c r="K151" s="18" t="s">
        <v>1154</v>
      </c>
      <c r="L151" s="18" t="s">
        <v>37</v>
      </c>
      <c r="M151" s="18">
        <v>308.88</v>
      </c>
      <c r="N151" s="18">
        <v>1</v>
      </c>
      <c r="O151" s="18" t="s">
        <v>60</v>
      </c>
      <c r="P151" s="18">
        <v>3</v>
      </c>
      <c r="Q151" s="18">
        <v>54</v>
      </c>
      <c r="R151" s="18">
        <v>45556</v>
      </c>
      <c r="S151" s="18" t="s">
        <v>1155</v>
      </c>
      <c r="T151" s="18">
        <v>1</v>
      </c>
      <c r="U151" s="18">
        <v>308.88</v>
      </c>
      <c r="V151" s="19">
        <v>0.15</v>
      </c>
      <c r="W151" s="18">
        <v>262.548</v>
      </c>
      <c r="X151" s="18">
        <v>316.548</v>
      </c>
      <c r="Y151" s="18" t="s">
        <v>2062</v>
      </c>
      <c r="Z151" s="18" t="s">
        <v>2060</v>
      </c>
      <c r="AA151" s="20">
        <v>3</v>
      </c>
      <c r="AB151">
        <v>10.68</v>
      </c>
    </row>
    <row r="152" spans="1:28">
      <c r="A152" s="15" t="s">
        <v>503</v>
      </c>
      <c r="B152" s="15" t="s">
        <v>504</v>
      </c>
      <c r="C152" s="15" t="s">
        <v>390</v>
      </c>
      <c r="D152" s="15">
        <v>57</v>
      </c>
      <c r="E152" s="15" t="s">
        <v>43</v>
      </c>
      <c r="F152" s="15" t="s">
        <v>223</v>
      </c>
      <c r="G152" s="15" t="s">
        <v>505</v>
      </c>
      <c r="H152" s="15" t="s">
        <v>506</v>
      </c>
      <c r="I152" s="15" t="s">
        <v>1590</v>
      </c>
      <c r="J152" s="15">
        <v>45479</v>
      </c>
      <c r="K152" s="15" t="s">
        <v>1591</v>
      </c>
      <c r="L152" s="15" t="s">
        <v>343</v>
      </c>
      <c r="M152" s="15">
        <v>77.84</v>
      </c>
      <c r="N152" s="15">
        <v>4</v>
      </c>
      <c r="O152" s="15" t="s">
        <v>87</v>
      </c>
      <c r="P152" s="15">
        <v>2</v>
      </c>
      <c r="Q152" s="15">
        <v>59</v>
      </c>
      <c r="R152" s="15">
        <v>45485</v>
      </c>
      <c r="S152" s="15" t="s">
        <v>1592</v>
      </c>
      <c r="T152" s="15">
        <v>6</v>
      </c>
      <c r="U152" s="15">
        <v>311.36</v>
      </c>
      <c r="V152" s="16">
        <v>0.2</v>
      </c>
      <c r="W152" s="15">
        <v>249.08800000000002</v>
      </c>
      <c r="X152" s="15">
        <v>308.08800000000002</v>
      </c>
      <c r="Y152" s="15" t="s">
        <v>2142</v>
      </c>
      <c r="Z152" s="15" t="s">
        <v>2064</v>
      </c>
      <c r="AA152" s="17">
        <v>11</v>
      </c>
      <c r="AB152">
        <v>0</v>
      </c>
    </row>
    <row r="153" spans="1:28">
      <c r="A153" s="18" t="s">
        <v>296</v>
      </c>
      <c r="B153" s="18" t="s">
        <v>297</v>
      </c>
      <c r="C153" s="18" t="s">
        <v>298</v>
      </c>
      <c r="D153" s="18">
        <v>48</v>
      </c>
      <c r="E153" s="18" t="s">
        <v>43</v>
      </c>
      <c r="F153" s="18" t="s">
        <v>92</v>
      </c>
      <c r="G153" s="18" t="s">
        <v>299</v>
      </c>
      <c r="H153" s="18" t="s">
        <v>300</v>
      </c>
      <c r="I153" s="18" t="s">
        <v>1973</v>
      </c>
      <c r="J153" s="18">
        <v>45283</v>
      </c>
      <c r="K153" s="18" t="s">
        <v>1974</v>
      </c>
      <c r="L153" s="18" t="s">
        <v>343</v>
      </c>
      <c r="M153" s="18">
        <v>77.84</v>
      </c>
      <c r="N153" s="18">
        <v>4</v>
      </c>
      <c r="O153" s="18" t="s">
        <v>87</v>
      </c>
      <c r="P153" s="18">
        <v>5</v>
      </c>
      <c r="Q153" s="18">
        <v>55</v>
      </c>
      <c r="R153" s="18">
        <v>45286</v>
      </c>
      <c r="S153" s="18" t="s">
        <v>1975</v>
      </c>
      <c r="T153" s="18">
        <v>3</v>
      </c>
      <c r="U153" s="18">
        <v>311.36</v>
      </c>
      <c r="V153" s="19">
        <v>0.2</v>
      </c>
      <c r="W153" s="18">
        <v>249.08800000000002</v>
      </c>
      <c r="X153" s="18">
        <v>304.08800000000002</v>
      </c>
      <c r="Y153" s="18" t="s">
        <v>2080</v>
      </c>
      <c r="Z153" s="18" t="s">
        <v>2060</v>
      </c>
      <c r="AA153" s="20">
        <v>10</v>
      </c>
      <c r="AB153">
        <v>38.920000000000009</v>
      </c>
    </row>
    <row r="154" spans="1:28">
      <c r="A154" s="15" t="s">
        <v>40</v>
      </c>
      <c r="B154" s="15" t="s">
        <v>41</v>
      </c>
      <c r="C154" s="15" t="s">
        <v>42</v>
      </c>
      <c r="D154" s="15">
        <v>53</v>
      </c>
      <c r="E154" s="15" t="s">
        <v>43</v>
      </c>
      <c r="F154" s="15" t="s">
        <v>44</v>
      </c>
      <c r="G154" s="15" t="s">
        <v>45</v>
      </c>
      <c r="H154" s="15" t="s">
        <v>46</v>
      </c>
      <c r="I154" s="15" t="s">
        <v>1888</v>
      </c>
      <c r="J154" s="15">
        <v>45684</v>
      </c>
      <c r="K154" s="15" t="s">
        <v>1889</v>
      </c>
      <c r="L154" s="15" t="s">
        <v>273</v>
      </c>
      <c r="M154" s="15">
        <v>62.42</v>
      </c>
      <c r="N154" s="15">
        <v>5</v>
      </c>
      <c r="O154" s="15" t="s">
        <v>60</v>
      </c>
      <c r="P154" s="15">
        <v>6</v>
      </c>
      <c r="Q154" s="15">
        <v>69</v>
      </c>
      <c r="R154" s="15">
        <v>45690</v>
      </c>
      <c r="S154" s="15" t="s">
        <v>1890</v>
      </c>
      <c r="T154" s="15">
        <v>6</v>
      </c>
      <c r="U154" s="15">
        <v>312.10000000000002</v>
      </c>
      <c r="V154" s="16">
        <v>0.15</v>
      </c>
      <c r="W154" s="15">
        <v>265.28500000000003</v>
      </c>
      <c r="X154" s="15">
        <v>334.28500000000003</v>
      </c>
      <c r="Y154" s="15" t="s">
        <v>2105</v>
      </c>
      <c r="Z154" s="15" t="s">
        <v>2072</v>
      </c>
      <c r="AA154" s="17">
        <v>2</v>
      </c>
      <c r="AB154">
        <v>99.317999999999998</v>
      </c>
    </row>
    <row r="155" spans="1:28">
      <c r="A155" s="18" t="s">
        <v>1617</v>
      </c>
      <c r="B155" s="18" t="s">
        <v>276</v>
      </c>
      <c r="C155" s="18" t="s">
        <v>1618</v>
      </c>
      <c r="D155" s="18">
        <v>62</v>
      </c>
      <c r="E155" s="18" t="s">
        <v>43</v>
      </c>
      <c r="F155" s="18" t="s">
        <v>44</v>
      </c>
      <c r="G155" s="18" t="s">
        <v>1619</v>
      </c>
      <c r="H155" s="18" t="s">
        <v>1620</v>
      </c>
      <c r="I155" s="18" t="s">
        <v>1967</v>
      </c>
      <c r="J155" s="18">
        <v>45451</v>
      </c>
      <c r="K155" s="18" t="s">
        <v>1968</v>
      </c>
      <c r="L155" s="18" t="s">
        <v>273</v>
      </c>
      <c r="M155" s="18">
        <v>62.42</v>
      </c>
      <c r="N155" s="18">
        <v>5</v>
      </c>
      <c r="O155" s="18" t="s">
        <v>65</v>
      </c>
      <c r="P155" s="18">
        <v>2</v>
      </c>
      <c r="Q155" s="18">
        <v>47</v>
      </c>
      <c r="R155" s="18">
        <v>45453</v>
      </c>
      <c r="S155" s="18" t="s">
        <v>1969</v>
      </c>
      <c r="T155" s="18">
        <v>2</v>
      </c>
      <c r="U155" s="18">
        <v>312.10000000000002</v>
      </c>
      <c r="V155" s="19">
        <v>0</v>
      </c>
      <c r="W155" s="18">
        <v>312.10000000000002</v>
      </c>
      <c r="X155" s="18">
        <v>312.10000000000002</v>
      </c>
      <c r="Y155" s="18" t="s">
        <v>2067</v>
      </c>
      <c r="Z155" s="18" t="s">
        <v>2072</v>
      </c>
      <c r="AA155" s="20">
        <v>7</v>
      </c>
      <c r="AB155">
        <v>52.864800000000002</v>
      </c>
    </row>
    <row r="156" spans="1:28">
      <c r="A156" s="15" t="s">
        <v>1321</v>
      </c>
      <c r="B156" s="15" t="s">
        <v>1322</v>
      </c>
      <c r="C156" s="15" t="s">
        <v>1323</v>
      </c>
      <c r="D156" s="15">
        <v>43</v>
      </c>
      <c r="E156" s="15" t="s">
        <v>31</v>
      </c>
      <c r="F156" s="15" t="s">
        <v>142</v>
      </c>
      <c r="G156" s="15" t="s">
        <v>1324</v>
      </c>
      <c r="H156" s="15" t="s">
        <v>1325</v>
      </c>
      <c r="I156" s="15" t="s">
        <v>1596</v>
      </c>
      <c r="J156" s="15">
        <v>45397</v>
      </c>
      <c r="K156" s="15" t="s">
        <v>1597</v>
      </c>
      <c r="L156" s="15" t="s">
        <v>185</v>
      </c>
      <c r="M156" s="15">
        <v>104.18</v>
      </c>
      <c r="N156" s="15">
        <v>3</v>
      </c>
      <c r="O156" s="15" t="s">
        <v>98</v>
      </c>
      <c r="P156" s="15">
        <v>6</v>
      </c>
      <c r="Q156" s="15">
        <v>60</v>
      </c>
      <c r="R156" s="15">
        <v>45398</v>
      </c>
      <c r="S156" s="15" t="s">
        <v>1598</v>
      </c>
      <c r="T156" s="15">
        <v>1</v>
      </c>
      <c r="U156" s="15">
        <v>312.54000000000002</v>
      </c>
      <c r="V156" s="16">
        <v>0.1</v>
      </c>
      <c r="W156" s="15">
        <v>281.286</v>
      </c>
      <c r="X156" s="15">
        <v>341.286</v>
      </c>
      <c r="Y156" s="15" t="s">
        <v>2103</v>
      </c>
      <c r="Z156" s="15" t="s">
        <v>2060</v>
      </c>
      <c r="AA156" s="17">
        <v>10</v>
      </c>
      <c r="AB156">
        <v>0</v>
      </c>
    </row>
    <row r="157" spans="1:28">
      <c r="A157" s="18" t="s">
        <v>1106</v>
      </c>
      <c r="B157" s="18" t="s">
        <v>1107</v>
      </c>
      <c r="C157" s="18" t="s">
        <v>1108</v>
      </c>
      <c r="D157" s="18">
        <v>18</v>
      </c>
      <c r="E157" s="18" t="s">
        <v>31</v>
      </c>
      <c r="F157" s="18" t="s">
        <v>78</v>
      </c>
      <c r="G157" s="18" t="s">
        <v>1109</v>
      </c>
      <c r="H157" s="18" t="s">
        <v>1110</v>
      </c>
      <c r="I157" s="18" t="s">
        <v>1168</v>
      </c>
      <c r="J157" s="18">
        <v>45392</v>
      </c>
      <c r="K157" s="18" t="s">
        <v>1169</v>
      </c>
      <c r="L157" s="18" t="s">
        <v>290</v>
      </c>
      <c r="M157" s="18">
        <v>157.63999999999999</v>
      </c>
      <c r="N157" s="18">
        <v>2</v>
      </c>
      <c r="O157" s="18" t="s">
        <v>60</v>
      </c>
      <c r="P157" s="18">
        <v>5</v>
      </c>
      <c r="Q157" s="18">
        <v>64</v>
      </c>
      <c r="R157" s="18">
        <v>45395</v>
      </c>
      <c r="S157" s="18" t="s">
        <v>1170</v>
      </c>
      <c r="T157" s="18">
        <v>3</v>
      </c>
      <c r="U157" s="18">
        <v>315.27999999999997</v>
      </c>
      <c r="V157" s="19">
        <v>0.15</v>
      </c>
      <c r="W157" s="18">
        <v>267.988</v>
      </c>
      <c r="X157" s="18">
        <v>331.988</v>
      </c>
      <c r="Y157" s="18" t="s">
        <v>2089</v>
      </c>
      <c r="Z157" s="18" t="s">
        <v>2060</v>
      </c>
      <c r="AA157" s="20">
        <v>12</v>
      </c>
      <c r="AB157">
        <v>20.445</v>
      </c>
    </row>
    <row r="158" spans="1:28">
      <c r="A158" s="15" t="s">
        <v>275</v>
      </c>
      <c r="B158" s="15" t="s">
        <v>276</v>
      </c>
      <c r="C158" s="15" t="s">
        <v>277</v>
      </c>
      <c r="D158" s="15">
        <v>44</v>
      </c>
      <c r="E158" s="15" t="s">
        <v>31</v>
      </c>
      <c r="F158" s="15" t="s">
        <v>223</v>
      </c>
      <c r="G158" s="15" t="s">
        <v>278</v>
      </c>
      <c r="H158" s="15" t="s">
        <v>279</v>
      </c>
      <c r="I158" s="15" t="s">
        <v>1289</v>
      </c>
      <c r="J158" s="15">
        <v>45547</v>
      </c>
      <c r="K158" s="15" t="s">
        <v>1290</v>
      </c>
      <c r="L158" s="15" t="s">
        <v>290</v>
      </c>
      <c r="M158" s="15">
        <v>157.63999999999999</v>
      </c>
      <c r="N158" s="15">
        <v>2</v>
      </c>
      <c r="O158" s="15" t="s">
        <v>38</v>
      </c>
      <c r="P158" s="15">
        <v>1</v>
      </c>
      <c r="Q158" s="15">
        <v>56</v>
      </c>
      <c r="R158" s="15">
        <v>45552</v>
      </c>
      <c r="S158" s="15" t="s">
        <v>1291</v>
      </c>
      <c r="T158" s="15">
        <v>5</v>
      </c>
      <c r="U158" s="15">
        <v>315.27999999999997</v>
      </c>
      <c r="V158" s="16">
        <v>0.08</v>
      </c>
      <c r="W158" s="15">
        <v>290.05759999999998</v>
      </c>
      <c r="X158" s="15">
        <v>346.05759999999998</v>
      </c>
      <c r="Y158" s="15" t="s">
        <v>2110</v>
      </c>
      <c r="Z158" s="15" t="s">
        <v>2064</v>
      </c>
      <c r="AA158" s="17">
        <v>7</v>
      </c>
      <c r="AB158">
        <v>45.7712</v>
      </c>
    </row>
    <row r="159" spans="1:28">
      <c r="A159" s="18" t="s">
        <v>1310</v>
      </c>
      <c r="B159" s="18" t="s">
        <v>1311</v>
      </c>
      <c r="C159" s="18" t="s">
        <v>1312</v>
      </c>
      <c r="D159" s="18">
        <v>63</v>
      </c>
      <c r="E159" s="18" t="s">
        <v>31</v>
      </c>
      <c r="F159" s="18" t="s">
        <v>170</v>
      </c>
      <c r="G159" s="18" t="s">
        <v>1313</v>
      </c>
      <c r="H159" s="18" t="s">
        <v>1314</v>
      </c>
      <c r="I159" s="18" t="s">
        <v>1315</v>
      </c>
      <c r="J159" s="18">
        <v>45083</v>
      </c>
      <c r="K159" s="18" t="s">
        <v>1316</v>
      </c>
      <c r="L159" s="18" t="s">
        <v>290</v>
      </c>
      <c r="M159" s="18">
        <v>157.63999999999999</v>
      </c>
      <c r="N159" s="18">
        <v>2</v>
      </c>
      <c r="O159" s="18" t="s">
        <v>38</v>
      </c>
      <c r="P159" s="18">
        <v>4</v>
      </c>
      <c r="Q159" s="18">
        <v>61</v>
      </c>
      <c r="R159" s="18">
        <v>45090</v>
      </c>
      <c r="S159" s="18" t="s">
        <v>1317</v>
      </c>
      <c r="T159" s="18">
        <v>7</v>
      </c>
      <c r="U159" s="18">
        <v>315.27999999999997</v>
      </c>
      <c r="V159" s="19">
        <v>0.08</v>
      </c>
      <c r="W159" s="18">
        <v>290.05759999999998</v>
      </c>
      <c r="X159" s="18">
        <v>351.05759999999998</v>
      </c>
      <c r="Y159" s="18" t="s">
        <v>2143</v>
      </c>
      <c r="Z159" s="18" t="s">
        <v>2064</v>
      </c>
      <c r="AA159" s="20">
        <v>6</v>
      </c>
      <c r="AB159">
        <v>0</v>
      </c>
    </row>
    <row r="160" spans="1:28">
      <c r="A160" s="15" t="s">
        <v>1460</v>
      </c>
      <c r="B160" s="15" t="s">
        <v>276</v>
      </c>
      <c r="C160" s="15" t="s">
        <v>1461</v>
      </c>
      <c r="D160" s="15">
        <v>30</v>
      </c>
      <c r="E160" s="15" t="s">
        <v>31</v>
      </c>
      <c r="F160" s="15" t="s">
        <v>223</v>
      </c>
      <c r="G160" s="15" t="s">
        <v>1462</v>
      </c>
      <c r="H160" s="15" t="s">
        <v>1463</v>
      </c>
      <c r="I160" s="15" t="s">
        <v>1464</v>
      </c>
      <c r="J160" s="15">
        <v>45400</v>
      </c>
      <c r="K160" s="15" t="s">
        <v>1465</v>
      </c>
      <c r="L160" s="15" t="s">
        <v>290</v>
      </c>
      <c r="M160" s="15">
        <v>157.63999999999999</v>
      </c>
      <c r="N160" s="15">
        <v>2</v>
      </c>
      <c r="O160" s="15" t="s">
        <v>87</v>
      </c>
      <c r="P160" s="15">
        <v>1</v>
      </c>
      <c r="Q160" s="15">
        <v>57</v>
      </c>
      <c r="R160" s="15">
        <v>45401</v>
      </c>
      <c r="S160" s="15" t="s">
        <v>1466</v>
      </c>
      <c r="T160" s="15">
        <v>1</v>
      </c>
      <c r="U160" s="15">
        <v>315.27999999999997</v>
      </c>
      <c r="V160" s="16">
        <v>0.2</v>
      </c>
      <c r="W160" s="15">
        <v>252.22399999999999</v>
      </c>
      <c r="X160" s="15">
        <v>309.22399999999999</v>
      </c>
      <c r="Y160" s="15" t="s">
        <v>2084</v>
      </c>
      <c r="Z160" s="15" t="s">
        <v>2072</v>
      </c>
      <c r="AA160" s="17">
        <v>11</v>
      </c>
      <c r="AB160">
        <v>178.32400000000001</v>
      </c>
    </row>
    <row r="161" spans="1:28">
      <c r="A161" s="18" t="s">
        <v>139</v>
      </c>
      <c r="B161" s="18" t="s">
        <v>140</v>
      </c>
      <c r="C161" s="18" t="s">
        <v>141</v>
      </c>
      <c r="D161" s="18">
        <v>25</v>
      </c>
      <c r="E161" s="18" t="s">
        <v>54</v>
      </c>
      <c r="F161" s="18" t="s">
        <v>142</v>
      </c>
      <c r="G161" s="18" t="s">
        <v>143</v>
      </c>
      <c r="H161" s="18" t="s">
        <v>144</v>
      </c>
      <c r="I161" s="18" t="s">
        <v>1833</v>
      </c>
      <c r="J161" s="18">
        <v>45271</v>
      </c>
      <c r="K161" s="18" t="s">
        <v>1834</v>
      </c>
      <c r="L161" s="18" t="s">
        <v>290</v>
      </c>
      <c r="M161" s="18">
        <v>157.63999999999999</v>
      </c>
      <c r="N161" s="18">
        <v>2</v>
      </c>
      <c r="O161" s="18" t="s">
        <v>65</v>
      </c>
      <c r="P161" s="18">
        <v>5</v>
      </c>
      <c r="Q161" s="18">
        <v>57</v>
      </c>
      <c r="R161" s="18">
        <v>45277</v>
      </c>
      <c r="S161" s="18" t="s">
        <v>1835</v>
      </c>
      <c r="T161" s="18">
        <v>6</v>
      </c>
      <c r="U161" s="18">
        <v>315.27999999999997</v>
      </c>
      <c r="V161" s="19">
        <v>0</v>
      </c>
      <c r="W161" s="18">
        <v>315.27999999999997</v>
      </c>
      <c r="X161" s="18">
        <v>315.27999999999997</v>
      </c>
      <c r="Y161" s="18" t="s">
        <v>2063</v>
      </c>
      <c r="Z161" s="18" t="s">
        <v>2064</v>
      </c>
      <c r="AA161" s="20">
        <v>4</v>
      </c>
      <c r="AB161">
        <v>110.95</v>
      </c>
    </row>
    <row r="162" spans="1:28">
      <c r="A162" s="15" t="s">
        <v>352</v>
      </c>
      <c r="B162" s="15" t="s">
        <v>353</v>
      </c>
      <c r="C162" s="15" t="s">
        <v>354</v>
      </c>
      <c r="D162" s="15">
        <v>70</v>
      </c>
      <c r="E162" s="15" t="s">
        <v>31</v>
      </c>
      <c r="F162" s="15" t="s">
        <v>170</v>
      </c>
      <c r="G162" s="15" t="s">
        <v>355</v>
      </c>
      <c r="H162" s="15" t="s">
        <v>356</v>
      </c>
      <c r="I162" s="15" t="s">
        <v>1860</v>
      </c>
      <c r="J162" s="15">
        <v>45145</v>
      </c>
      <c r="K162" s="15" t="s">
        <v>1861</v>
      </c>
      <c r="L162" s="15" t="s">
        <v>290</v>
      </c>
      <c r="M162" s="15">
        <v>157.63999999999999</v>
      </c>
      <c r="N162" s="15">
        <v>2</v>
      </c>
      <c r="O162" s="15" t="s">
        <v>98</v>
      </c>
      <c r="P162" s="15">
        <v>6</v>
      </c>
      <c r="Q162" s="15">
        <v>65</v>
      </c>
      <c r="R162" s="15">
        <v>45148</v>
      </c>
      <c r="S162" s="15" t="s">
        <v>1862</v>
      </c>
      <c r="T162" s="15">
        <v>3</v>
      </c>
      <c r="U162" s="15">
        <v>315.27999999999997</v>
      </c>
      <c r="V162" s="16">
        <v>0.1</v>
      </c>
      <c r="W162" s="15">
        <v>283.75199999999995</v>
      </c>
      <c r="X162" s="15">
        <v>348.75199999999995</v>
      </c>
      <c r="Y162" s="15" t="s">
        <v>2078</v>
      </c>
      <c r="Z162" s="15" t="s">
        <v>2060</v>
      </c>
      <c r="AA162" s="17">
        <v>8</v>
      </c>
      <c r="AB162">
        <v>33.337600000000002</v>
      </c>
    </row>
    <row r="163" spans="1:28">
      <c r="A163" s="18" t="s">
        <v>770</v>
      </c>
      <c r="B163" s="18" t="s">
        <v>771</v>
      </c>
      <c r="C163" s="18" t="s">
        <v>772</v>
      </c>
      <c r="D163" s="18">
        <v>27</v>
      </c>
      <c r="E163" s="18" t="s">
        <v>31</v>
      </c>
      <c r="F163" s="18" t="s">
        <v>44</v>
      </c>
      <c r="G163" s="18" t="s">
        <v>773</v>
      </c>
      <c r="H163" s="18" t="s">
        <v>774</v>
      </c>
      <c r="I163" s="18" t="s">
        <v>1552</v>
      </c>
      <c r="J163" s="18">
        <v>45185</v>
      </c>
      <c r="K163" s="18" t="s">
        <v>1553</v>
      </c>
      <c r="L163" s="18" t="s">
        <v>294</v>
      </c>
      <c r="M163" s="18">
        <v>158.53</v>
      </c>
      <c r="N163" s="18">
        <v>2</v>
      </c>
      <c r="O163" s="18" t="s">
        <v>38</v>
      </c>
      <c r="P163" s="18">
        <v>2</v>
      </c>
      <c r="Q163" s="18">
        <v>56</v>
      </c>
      <c r="R163" s="18">
        <v>45187</v>
      </c>
      <c r="S163" s="18" t="s">
        <v>1554</v>
      </c>
      <c r="T163" s="18">
        <v>2</v>
      </c>
      <c r="U163" s="18">
        <v>317.06</v>
      </c>
      <c r="V163" s="19">
        <v>0.08</v>
      </c>
      <c r="W163" s="18">
        <v>291.6952</v>
      </c>
      <c r="X163" s="18">
        <v>347.6952</v>
      </c>
      <c r="Y163" s="18" t="s">
        <v>2059</v>
      </c>
      <c r="Z163" s="18" t="s">
        <v>2072</v>
      </c>
      <c r="AA163" s="20">
        <v>8</v>
      </c>
      <c r="AB163">
        <v>397.27199999999999</v>
      </c>
    </row>
    <row r="164" spans="1:28">
      <c r="A164" s="15" t="s">
        <v>1909</v>
      </c>
      <c r="B164" s="15" t="s">
        <v>1910</v>
      </c>
      <c r="C164" s="15" t="s">
        <v>1911</v>
      </c>
      <c r="D164" s="15">
        <v>43</v>
      </c>
      <c r="E164" s="15" t="s">
        <v>31</v>
      </c>
      <c r="F164" s="15" t="s">
        <v>44</v>
      </c>
      <c r="G164" s="15" t="s">
        <v>1912</v>
      </c>
      <c r="H164" s="15" t="s">
        <v>1913</v>
      </c>
      <c r="I164" s="15" t="s">
        <v>1993</v>
      </c>
      <c r="J164" s="15">
        <v>45259</v>
      </c>
      <c r="K164" s="15" t="s">
        <v>1994</v>
      </c>
      <c r="L164" s="15" t="s">
        <v>294</v>
      </c>
      <c r="M164" s="15">
        <v>158.53</v>
      </c>
      <c r="N164" s="15">
        <v>2</v>
      </c>
      <c r="O164" s="15" t="s">
        <v>65</v>
      </c>
      <c r="P164" s="15">
        <v>5</v>
      </c>
      <c r="Q164" s="15">
        <v>69</v>
      </c>
      <c r="R164" s="15">
        <v>45261</v>
      </c>
      <c r="S164" s="15" t="s">
        <v>1995</v>
      </c>
      <c r="T164" s="15">
        <v>2</v>
      </c>
      <c r="U164" s="15">
        <v>317.06</v>
      </c>
      <c r="V164" s="16">
        <v>0</v>
      </c>
      <c r="W164" s="15">
        <v>317.06</v>
      </c>
      <c r="X164" s="15">
        <v>317.06</v>
      </c>
      <c r="Y164" s="15" t="s">
        <v>2144</v>
      </c>
      <c r="Z164" s="15" t="s">
        <v>2060</v>
      </c>
      <c r="AA164" s="17">
        <v>2</v>
      </c>
      <c r="AB164">
        <v>107.47000000000001</v>
      </c>
    </row>
    <row r="165" spans="1:28">
      <c r="A165" s="18" t="s">
        <v>503</v>
      </c>
      <c r="B165" s="18" t="s">
        <v>504</v>
      </c>
      <c r="C165" s="18" t="s">
        <v>390</v>
      </c>
      <c r="D165" s="18">
        <v>57</v>
      </c>
      <c r="E165" s="18" t="s">
        <v>43</v>
      </c>
      <c r="F165" s="18" t="s">
        <v>223</v>
      </c>
      <c r="G165" s="18" t="s">
        <v>505</v>
      </c>
      <c r="H165" s="18" t="s">
        <v>506</v>
      </c>
      <c r="I165" s="18" t="s">
        <v>1549</v>
      </c>
      <c r="J165" s="18">
        <v>45453</v>
      </c>
      <c r="K165" s="18" t="s">
        <v>1550</v>
      </c>
      <c r="L165" s="18" t="s">
        <v>944</v>
      </c>
      <c r="M165" s="18">
        <v>107.47</v>
      </c>
      <c r="N165" s="18">
        <v>3</v>
      </c>
      <c r="O165" s="18" t="s">
        <v>98</v>
      </c>
      <c r="P165" s="18">
        <v>4</v>
      </c>
      <c r="Q165" s="18">
        <v>59</v>
      </c>
      <c r="R165" s="18">
        <v>45454</v>
      </c>
      <c r="S165" s="18" t="s">
        <v>1551</v>
      </c>
      <c r="T165" s="18">
        <v>1</v>
      </c>
      <c r="U165" s="18">
        <v>322.40999999999997</v>
      </c>
      <c r="V165" s="19">
        <v>0.1</v>
      </c>
      <c r="W165" s="18">
        <v>290.16899999999998</v>
      </c>
      <c r="X165" s="18">
        <v>349.16899999999998</v>
      </c>
      <c r="Y165" s="18" t="s">
        <v>2142</v>
      </c>
      <c r="Z165" s="18" t="s">
        <v>2060</v>
      </c>
      <c r="AA165" s="20">
        <v>10</v>
      </c>
      <c r="AB165">
        <v>0</v>
      </c>
    </row>
    <row r="166" spans="1:28">
      <c r="A166" s="15" t="s">
        <v>826</v>
      </c>
      <c r="B166" s="15" t="s">
        <v>827</v>
      </c>
      <c r="C166" s="15" t="s">
        <v>828</v>
      </c>
      <c r="D166" s="15">
        <v>42</v>
      </c>
      <c r="E166" s="15" t="s">
        <v>31</v>
      </c>
      <c r="F166" s="15" t="s">
        <v>78</v>
      </c>
      <c r="G166" s="15" t="s">
        <v>829</v>
      </c>
      <c r="H166" s="15" t="s">
        <v>830</v>
      </c>
      <c r="I166" s="15" t="s">
        <v>1599</v>
      </c>
      <c r="J166" s="15">
        <v>45474</v>
      </c>
      <c r="K166" s="15" t="s">
        <v>1600</v>
      </c>
      <c r="L166" s="15" t="s">
        <v>944</v>
      </c>
      <c r="M166" s="15">
        <v>107.47</v>
      </c>
      <c r="N166" s="15">
        <v>3</v>
      </c>
      <c r="O166" s="15" t="s">
        <v>65</v>
      </c>
      <c r="P166" s="15">
        <v>4</v>
      </c>
      <c r="Q166" s="15">
        <v>63</v>
      </c>
      <c r="R166" s="15">
        <v>45481</v>
      </c>
      <c r="S166" s="15" t="s">
        <v>1601</v>
      </c>
      <c r="T166" s="15">
        <v>7</v>
      </c>
      <c r="U166" s="15">
        <v>322.40999999999997</v>
      </c>
      <c r="V166" s="16">
        <v>0</v>
      </c>
      <c r="W166" s="15">
        <v>322.40999999999997</v>
      </c>
      <c r="X166" s="15">
        <v>322.40999999999997</v>
      </c>
      <c r="Y166" s="15" t="s">
        <v>2145</v>
      </c>
      <c r="Z166" s="15" t="s">
        <v>2064</v>
      </c>
      <c r="AA166" s="17">
        <v>9</v>
      </c>
      <c r="AB166">
        <v>73.805999999999997</v>
      </c>
    </row>
    <row r="167" spans="1:28">
      <c r="A167" s="18" t="s">
        <v>606</v>
      </c>
      <c r="B167" s="18" t="s">
        <v>607</v>
      </c>
      <c r="C167" s="18" t="s">
        <v>406</v>
      </c>
      <c r="D167" s="18">
        <v>18</v>
      </c>
      <c r="E167" s="18" t="s">
        <v>43</v>
      </c>
      <c r="F167" s="18" t="s">
        <v>44</v>
      </c>
      <c r="G167" s="18" t="s">
        <v>608</v>
      </c>
      <c r="H167" s="18" t="s">
        <v>609</v>
      </c>
      <c r="I167" s="18" t="s">
        <v>610</v>
      </c>
      <c r="J167" s="18">
        <v>45625</v>
      </c>
      <c r="K167" s="18" t="s">
        <v>611</v>
      </c>
      <c r="L167" s="18" t="s">
        <v>83</v>
      </c>
      <c r="M167" s="18">
        <v>330.11</v>
      </c>
      <c r="N167" s="18">
        <v>1</v>
      </c>
      <c r="O167" s="18" t="s">
        <v>87</v>
      </c>
      <c r="P167" s="18">
        <v>4</v>
      </c>
      <c r="Q167" s="18">
        <v>67</v>
      </c>
      <c r="R167" s="18">
        <v>45627</v>
      </c>
      <c r="S167" s="18" t="s">
        <v>612</v>
      </c>
      <c r="T167" s="18">
        <v>2</v>
      </c>
      <c r="U167" s="18">
        <v>330.11</v>
      </c>
      <c r="V167" s="19">
        <v>0.2</v>
      </c>
      <c r="W167" s="18">
        <v>264.08800000000002</v>
      </c>
      <c r="X167" s="18">
        <v>331.08800000000002</v>
      </c>
      <c r="Y167" s="18" t="s">
        <v>2139</v>
      </c>
      <c r="Z167" s="18" t="s">
        <v>2060</v>
      </c>
      <c r="AA167" s="20">
        <v>8</v>
      </c>
      <c r="AB167">
        <v>0</v>
      </c>
    </row>
    <row r="168" spans="1:28">
      <c r="A168" s="15" t="s">
        <v>1740</v>
      </c>
      <c r="B168" s="15" t="s">
        <v>1741</v>
      </c>
      <c r="C168" s="15" t="s">
        <v>1742</v>
      </c>
      <c r="D168" s="15">
        <v>47</v>
      </c>
      <c r="E168" s="15" t="s">
        <v>43</v>
      </c>
      <c r="F168" s="15" t="s">
        <v>32</v>
      </c>
      <c r="G168" s="15" t="s">
        <v>1743</v>
      </c>
      <c r="H168" s="15" t="s">
        <v>1744</v>
      </c>
      <c r="I168" s="15" t="s">
        <v>1906</v>
      </c>
      <c r="J168" s="15">
        <v>45380</v>
      </c>
      <c r="K168" s="15" t="s">
        <v>1907</v>
      </c>
      <c r="L168" s="15" t="s">
        <v>83</v>
      </c>
      <c r="M168" s="15">
        <v>330.11</v>
      </c>
      <c r="N168" s="15">
        <v>1</v>
      </c>
      <c r="O168" s="15" t="s">
        <v>98</v>
      </c>
      <c r="P168" s="15">
        <v>4</v>
      </c>
      <c r="Q168" s="15">
        <v>39</v>
      </c>
      <c r="R168" s="15">
        <v>45384</v>
      </c>
      <c r="S168" s="15" t="s">
        <v>1908</v>
      </c>
      <c r="T168" s="15">
        <v>4</v>
      </c>
      <c r="U168" s="15">
        <v>330.11</v>
      </c>
      <c r="V168" s="16">
        <v>0.1</v>
      </c>
      <c r="W168" s="15">
        <v>297.09899999999999</v>
      </c>
      <c r="X168" s="15">
        <v>336.09899999999999</v>
      </c>
      <c r="Y168" s="15" t="s">
        <v>2112</v>
      </c>
      <c r="Z168" s="15" t="s">
        <v>2072</v>
      </c>
      <c r="AA168" s="17">
        <v>9</v>
      </c>
      <c r="AB168">
        <v>88.108000000000004</v>
      </c>
    </row>
    <row r="169" spans="1:28">
      <c r="A169" s="18" t="s">
        <v>1878</v>
      </c>
      <c r="B169" s="18" t="s">
        <v>1107</v>
      </c>
      <c r="C169" s="18" t="s">
        <v>1879</v>
      </c>
      <c r="D169" s="18">
        <v>64</v>
      </c>
      <c r="E169" s="18" t="s">
        <v>43</v>
      </c>
      <c r="F169" s="18" t="s">
        <v>78</v>
      </c>
      <c r="G169" s="18" t="s">
        <v>1880</v>
      </c>
      <c r="H169" s="18" t="s">
        <v>1881</v>
      </c>
      <c r="I169" s="18" t="s">
        <v>1894</v>
      </c>
      <c r="J169" s="18">
        <v>45379</v>
      </c>
      <c r="K169" s="18" t="s">
        <v>1895</v>
      </c>
      <c r="L169" s="18" t="s">
        <v>49</v>
      </c>
      <c r="M169" s="18">
        <v>166.28</v>
      </c>
      <c r="N169" s="18">
        <v>2</v>
      </c>
      <c r="O169" s="18" t="s">
        <v>87</v>
      </c>
      <c r="P169" s="18">
        <v>4</v>
      </c>
      <c r="Q169" s="18">
        <v>40</v>
      </c>
      <c r="R169" s="18">
        <v>45384</v>
      </c>
      <c r="S169" s="18" t="s">
        <v>1896</v>
      </c>
      <c r="T169" s="18">
        <v>5</v>
      </c>
      <c r="U169" s="18">
        <v>332.56</v>
      </c>
      <c r="V169" s="19">
        <v>0.2</v>
      </c>
      <c r="W169" s="18">
        <v>266.048</v>
      </c>
      <c r="X169" s="18">
        <v>306.048</v>
      </c>
      <c r="Y169" s="18" t="s">
        <v>2146</v>
      </c>
      <c r="Z169" s="18" t="s">
        <v>2064</v>
      </c>
      <c r="AA169" s="20">
        <v>7</v>
      </c>
      <c r="AB169">
        <v>94.25200000000001</v>
      </c>
    </row>
    <row r="170" spans="1:28">
      <c r="A170" s="15" t="s">
        <v>396</v>
      </c>
      <c r="B170" s="15" t="s">
        <v>397</v>
      </c>
      <c r="C170" s="15" t="s">
        <v>398</v>
      </c>
      <c r="D170" s="15">
        <v>40</v>
      </c>
      <c r="E170" s="15" t="s">
        <v>54</v>
      </c>
      <c r="F170" s="15" t="s">
        <v>170</v>
      </c>
      <c r="G170" s="15" t="s">
        <v>399</v>
      </c>
      <c r="H170" s="15" t="s">
        <v>400</v>
      </c>
      <c r="I170" s="15" t="s">
        <v>1092</v>
      </c>
      <c r="J170" s="15">
        <v>45074</v>
      </c>
      <c r="K170" s="15" t="s">
        <v>1093</v>
      </c>
      <c r="L170" s="15" t="s">
        <v>741</v>
      </c>
      <c r="M170" s="15">
        <v>110.95</v>
      </c>
      <c r="N170" s="15">
        <v>3</v>
      </c>
      <c r="O170" s="15" t="s">
        <v>98</v>
      </c>
      <c r="P170" s="15">
        <v>6</v>
      </c>
      <c r="Q170" s="15">
        <v>65</v>
      </c>
      <c r="R170" s="15">
        <v>45079</v>
      </c>
      <c r="S170" s="15" t="s">
        <v>1094</v>
      </c>
      <c r="T170" s="15">
        <v>5</v>
      </c>
      <c r="U170" s="15">
        <v>332.85</v>
      </c>
      <c r="V170" s="16">
        <v>0.1</v>
      </c>
      <c r="W170" s="15">
        <v>299.565</v>
      </c>
      <c r="X170" s="15">
        <v>364.565</v>
      </c>
      <c r="Y170" s="15" t="s">
        <v>2115</v>
      </c>
      <c r="Z170" s="15" t="s">
        <v>2060</v>
      </c>
      <c r="AA170" s="17">
        <v>9</v>
      </c>
      <c r="AB170">
        <v>133.024</v>
      </c>
    </row>
    <row r="171" spans="1:28">
      <c r="A171" s="18" t="s">
        <v>304</v>
      </c>
      <c r="B171" s="18" t="s">
        <v>305</v>
      </c>
      <c r="C171" s="18" t="s">
        <v>306</v>
      </c>
      <c r="D171" s="18">
        <v>26</v>
      </c>
      <c r="E171" s="18" t="s">
        <v>54</v>
      </c>
      <c r="F171" s="18" t="s">
        <v>170</v>
      </c>
      <c r="G171" s="18" t="s">
        <v>307</v>
      </c>
      <c r="H171" s="18" t="s">
        <v>308</v>
      </c>
      <c r="I171" s="18" t="s">
        <v>1274</v>
      </c>
      <c r="J171" s="18">
        <v>45393</v>
      </c>
      <c r="K171" s="18" t="s">
        <v>1275</v>
      </c>
      <c r="L171" s="18" t="s">
        <v>741</v>
      </c>
      <c r="M171" s="18">
        <v>110.95</v>
      </c>
      <c r="N171" s="18">
        <v>3</v>
      </c>
      <c r="O171" s="18" t="s">
        <v>65</v>
      </c>
      <c r="P171" s="18">
        <v>5</v>
      </c>
      <c r="Q171" s="18">
        <v>47</v>
      </c>
      <c r="R171" s="18">
        <v>45399</v>
      </c>
      <c r="S171" s="18" t="s">
        <v>1276</v>
      </c>
      <c r="T171" s="18">
        <v>6</v>
      </c>
      <c r="U171" s="18">
        <v>332.85</v>
      </c>
      <c r="V171" s="19">
        <v>0</v>
      </c>
      <c r="W171" s="18">
        <v>332.85</v>
      </c>
      <c r="X171" s="18">
        <v>332.85</v>
      </c>
      <c r="Y171" s="18" t="s">
        <v>2109</v>
      </c>
      <c r="Z171" s="18" t="s">
        <v>2064</v>
      </c>
      <c r="AA171" s="20">
        <v>7</v>
      </c>
      <c r="AB171">
        <v>202.5</v>
      </c>
    </row>
    <row r="172" spans="1:28">
      <c r="A172" s="15" t="s">
        <v>478</v>
      </c>
      <c r="B172" s="15" t="s">
        <v>110</v>
      </c>
      <c r="C172" s="15" t="s">
        <v>479</v>
      </c>
      <c r="D172" s="15">
        <v>33</v>
      </c>
      <c r="E172" s="15" t="s">
        <v>31</v>
      </c>
      <c r="F172" s="15" t="s">
        <v>170</v>
      </c>
      <c r="G172" s="15" t="s">
        <v>480</v>
      </c>
      <c r="H172" s="15" t="s">
        <v>481</v>
      </c>
      <c r="I172" s="15" t="s">
        <v>482</v>
      </c>
      <c r="J172" s="15">
        <v>45435</v>
      </c>
      <c r="K172" s="15" t="s">
        <v>483</v>
      </c>
      <c r="L172" s="15" t="s">
        <v>484</v>
      </c>
      <c r="M172" s="15">
        <v>87.09</v>
      </c>
      <c r="N172" s="15">
        <v>4</v>
      </c>
      <c r="O172" s="15" t="s">
        <v>65</v>
      </c>
      <c r="P172" s="15">
        <v>6</v>
      </c>
      <c r="Q172" s="15">
        <v>63</v>
      </c>
      <c r="R172" s="15">
        <v>45439</v>
      </c>
      <c r="S172" s="15" t="s">
        <v>485</v>
      </c>
      <c r="T172" s="15">
        <v>4</v>
      </c>
      <c r="U172" s="15">
        <v>348.36</v>
      </c>
      <c r="V172" s="16">
        <v>0</v>
      </c>
      <c r="W172" s="15">
        <v>348.36</v>
      </c>
      <c r="X172" s="15">
        <v>348.36</v>
      </c>
      <c r="Y172" s="15" t="s">
        <v>2119</v>
      </c>
      <c r="Z172" s="15" t="s">
        <v>2060</v>
      </c>
      <c r="AA172" s="17">
        <v>10</v>
      </c>
      <c r="AB172">
        <v>77.117999999999995</v>
      </c>
    </row>
    <row r="173" spans="1:28">
      <c r="A173" s="18" t="s">
        <v>708</v>
      </c>
      <c r="B173" s="18" t="s">
        <v>709</v>
      </c>
      <c r="C173" s="18" t="s">
        <v>710</v>
      </c>
      <c r="D173" s="18">
        <v>26</v>
      </c>
      <c r="E173" s="18" t="s">
        <v>54</v>
      </c>
      <c r="F173" s="18" t="s">
        <v>78</v>
      </c>
      <c r="G173" s="18" t="s">
        <v>711</v>
      </c>
      <c r="H173" s="18" t="s">
        <v>712</v>
      </c>
      <c r="I173" s="18" t="s">
        <v>1970</v>
      </c>
      <c r="J173" s="18">
        <v>45362</v>
      </c>
      <c r="K173" s="18" t="s">
        <v>1971</v>
      </c>
      <c r="L173" s="18" t="s">
        <v>484</v>
      </c>
      <c r="M173" s="18">
        <v>87.09</v>
      </c>
      <c r="N173" s="18">
        <v>4</v>
      </c>
      <c r="O173" s="18" t="s">
        <v>98</v>
      </c>
      <c r="P173" s="18">
        <v>5</v>
      </c>
      <c r="Q173" s="18">
        <v>45</v>
      </c>
      <c r="R173" s="18">
        <v>45368</v>
      </c>
      <c r="S173" s="18" t="s">
        <v>1972</v>
      </c>
      <c r="T173" s="18">
        <v>6</v>
      </c>
      <c r="U173" s="18">
        <v>348.36</v>
      </c>
      <c r="V173" s="19">
        <v>0.1</v>
      </c>
      <c r="W173" s="18">
        <v>313.524</v>
      </c>
      <c r="X173" s="18">
        <v>358.524</v>
      </c>
      <c r="Y173" s="18" t="s">
        <v>2068</v>
      </c>
      <c r="Z173" s="18" t="s">
        <v>2064</v>
      </c>
      <c r="AA173" s="20">
        <v>8</v>
      </c>
      <c r="AB173">
        <v>14.24</v>
      </c>
    </row>
    <row r="174" spans="1:28">
      <c r="A174" s="15" t="s">
        <v>727</v>
      </c>
      <c r="B174" s="15" t="s">
        <v>728</v>
      </c>
      <c r="C174" s="15" t="s">
        <v>169</v>
      </c>
      <c r="D174" s="15">
        <v>70</v>
      </c>
      <c r="E174" s="15" t="s">
        <v>43</v>
      </c>
      <c r="F174" s="15" t="s">
        <v>92</v>
      </c>
      <c r="G174" s="15" t="s">
        <v>729</v>
      </c>
      <c r="H174" s="15" t="s">
        <v>730</v>
      </c>
      <c r="I174" s="15" t="s">
        <v>1235</v>
      </c>
      <c r="J174" s="15">
        <v>45386</v>
      </c>
      <c r="K174" s="15" t="s">
        <v>1236</v>
      </c>
      <c r="L174" s="15" t="s">
        <v>137</v>
      </c>
      <c r="M174" s="15">
        <v>175.93</v>
      </c>
      <c r="N174" s="15">
        <v>2</v>
      </c>
      <c r="O174" s="15" t="s">
        <v>98</v>
      </c>
      <c r="P174" s="15">
        <v>7</v>
      </c>
      <c r="Q174" s="15">
        <v>61</v>
      </c>
      <c r="R174" s="15">
        <v>45391</v>
      </c>
      <c r="S174" s="15" t="s">
        <v>1237</v>
      </c>
      <c r="T174" s="15">
        <v>5</v>
      </c>
      <c r="U174" s="15">
        <v>351.86</v>
      </c>
      <c r="V174" s="16">
        <v>0.1</v>
      </c>
      <c r="W174" s="15">
        <v>316.67400000000004</v>
      </c>
      <c r="X174" s="15">
        <v>377.67400000000004</v>
      </c>
      <c r="Y174" s="15" t="s">
        <v>2128</v>
      </c>
      <c r="Z174" s="15" t="s">
        <v>2060</v>
      </c>
      <c r="AA174" s="17">
        <v>9</v>
      </c>
      <c r="AB174">
        <v>13.35</v>
      </c>
    </row>
    <row r="175" spans="1:28">
      <c r="A175" s="18" t="s">
        <v>842</v>
      </c>
      <c r="B175" s="18" t="s">
        <v>843</v>
      </c>
      <c r="C175" s="18" t="s">
        <v>844</v>
      </c>
      <c r="D175" s="18">
        <v>26</v>
      </c>
      <c r="E175" s="18" t="s">
        <v>43</v>
      </c>
      <c r="F175" s="18" t="s">
        <v>161</v>
      </c>
      <c r="G175" s="18" t="s">
        <v>845</v>
      </c>
      <c r="H175" s="18" t="s">
        <v>846</v>
      </c>
      <c r="I175" s="18" t="s">
        <v>1418</v>
      </c>
      <c r="J175" s="18">
        <v>45104</v>
      </c>
      <c r="K175" s="18" t="s">
        <v>1419</v>
      </c>
      <c r="L175" s="18" t="s">
        <v>137</v>
      </c>
      <c r="M175" s="18">
        <v>175.93</v>
      </c>
      <c r="N175" s="18">
        <v>2</v>
      </c>
      <c r="O175" s="18" t="s">
        <v>38</v>
      </c>
      <c r="P175" s="18">
        <v>5</v>
      </c>
      <c r="Q175" s="18">
        <v>49</v>
      </c>
      <c r="R175" s="18">
        <v>45106</v>
      </c>
      <c r="S175" s="18" t="s">
        <v>1420</v>
      </c>
      <c r="T175" s="18">
        <v>2</v>
      </c>
      <c r="U175" s="18">
        <v>351.86</v>
      </c>
      <c r="V175" s="19">
        <v>0.08</v>
      </c>
      <c r="W175" s="18">
        <v>323.71120000000002</v>
      </c>
      <c r="X175" s="18">
        <v>372.71120000000002</v>
      </c>
      <c r="Y175" s="18" t="s">
        <v>2131</v>
      </c>
      <c r="Z175" s="18" t="s">
        <v>2060</v>
      </c>
      <c r="AA175" s="20">
        <v>5</v>
      </c>
      <c r="AB175">
        <v>0</v>
      </c>
    </row>
    <row r="176" spans="1:28">
      <c r="A176" s="15" t="s">
        <v>1082</v>
      </c>
      <c r="B176" s="15" t="s">
        <v>221</v>
      </c>
      <c r="C176" s="15" t="s">
        <v>1083</v>
      </c>
      <c r="D176" s="15">
        <v>55</v>
      </c>
      <c r="E176" s="15" t="s">
        <v>43</v>
      </c>
      <c r="F176" s="15" t="s">
        <v>161</v>
      </c>
      <c r="G176" s="15" t="s">
        <v>1084</v>
      </c>
      <c r="H176" s="15" t="s">
        <v>1085</v>
      </c>
      <c r="I176" s="15" t="s">
        <v>1439</v>
      </c>
      <c r="J176" s="15">
        <v>45324</v>
      </c>
      <c r="K176" s="15" t="s">
        <v>1440</v>
      </c>
      <c r="L176" s="15" t="s">
        <v>137</v>
      </c>
      <c r="M176" s="15">
        <v>175.93</v>
      </c>
      <c r="N176" s="15">
        <v>2</v>
      </c>
      <c r="O176" s="15" t="s">
        <v>65</v>
      </c>
      <c r="P176" s="15">
        <v>6</v>
      </c>
      <c r="Q176" s="15">
        <v>50</v>
      </c>
      <c r="R176" s="15">
        <v>45325</v>
      </c>
      <c r="S176" s="15" t="s">
        <v>1441</v>
      </c>
      <c r="T176" s="15">
        <v>1</v>
      </c>
      <c r="U176" s="15">
        <v>351.86</v>
      </c>
      <c r="V176" s="16">
        <v>0</v>
      </c>
      <c r="W176" s="15">
        <v>351.86</v>
      </c>
      <c r="X176" s="15">
        <v>351.86</v>
      </c>
      <c r="Y176" s="15" t="s">
        <v>2107</v>
      </c>
      <c r="Z176" s="15" t="s">
        <v>2060</v>
      </c>
      <c r="AA176" s="17">
        <v>1</v>
      </c>
      <c r="AB176">
        <v>49.936000000000007</v>
      </c>
    </row>
    <row r="177" spans="1:28">
      <c r="A177" s="18" t="s">
        <v>415</v>
      </c>
      <c r="B177" s="18" t="s">
        <v>231</v>
      </c>
      <c r="C177" s="18" t="s">
        <v>416</v>
      </c>
      <c r="D177" s="18">
        <v>28</v>
      </c>
      <c r="E177" s="18" t="s">
        <v>54</v>
      </c>
      <c r="F177" s="18" t="s">
        <v>142</v>
      </c>
      <c r="G177" s="18" t="s">
        <v>417</v>
      </c>
      <c r="H177" s="18" t="s">
        <v>418</v>
      </c>
      <c r="I177" s="18" t="s">
        <v>435</v>
      </c>
      <c r="J177" s="18">
        <v>45599</v>
      </c>
      <c r="K177" s="18" t="s">
        <v>436</v>
      </c>
      <c r="L177" s="18" t="s">
        <v>97</v>
      </c>
      <c r="M177" s="18">
        <v>363.64</v>
      </c>
      <c r="N177" s="18">
        <v>1</v>
      </c>
      <c r="O177" s="18" t="s">
        <v>98</v>
      </c>
      <c r="P177" s="18">
        <v>3</v>
      </c>
      <c r="Q177" s="18">
        <v>70</v>
      </c>
      <c r="R177" s="18">
        <v>45606</v>
      </c>
      <c r="S177" s="18" t="s">
        <v>437</v>
      </c>
      <c r="T177" s="18">
        <v>7</v>
      </c>
      <c r="U177" s="18">
        <v>363.64</v>
      </c>
      <c r="V177" s="19">
        <v>0.1</v>
      </c>
      <c r="W177" s="18">
        <v>327.27600000000001</v>
      </c>
      <c r="X177" s="18">
        <v>397.27600000000001</v>
      </c>
      <c r="Y177" s="18" t="s">
        <v>2088</v>
      </c>
      <c r="Z177" s="18" t="s">
        <v>2064</v>
      </c>
      <c r="AA177" s="20">
        <v>8</v>
      </c>
      <c r="AB177">
        <v>134.94399999999999</v>
      </c>
    </row>
    <row r="178" spans="1:28">
      <c r="A178" s="15" t="s">
        <v>130</v>
      </c>
      <c r="B178" s="15" t="s">
        <v>131</v>
      </c>
      <c r="C178" s="15" t="s">
        <v>132</v>
      </c>
      <c r="D178" s="15">
        <v>30</v>
      </c>
      <c r="E178" s="15" t="s">
        <v>43</v>
      </c>
      <c r="F178" s="15" t="s">
        <v>44</v>
      </c>
      <c r="G178" s="15" t="s">
        <v>133</v>
      </c>
      <c r="H178" s="15" t="s">
        <v>134</v>
      </c>
      <c r="I178" s="15" t="s">
        <v>949</v>
      </c>
      <c r="J178" s="15">
        <v>45185</v>
      </c>
      <c r="K178" s="15" t="s">
        <v>950</v>
      </c>
      <c r="L178" s="15" t="s">
        <v>433</v>
      </c>
      <c r="M178" s="15">
        <v>369.03</v>
      </c>
      <c r="N178" s="15">
        <v>1</v>
      </c>
      <c r="O178" s="15" t="s">
        <v>87</v>
      </c>
      <c r="P178" s="15">
        <v>1</v>
      </c>
      <c r="Q178" s="15">
        <v>48</v>
      </c>
      <c r="R178" s="15">
        <v>45192</v>
      </c>
      <c r="S178" s="15" t="s">
        <v>951</v>
      </c>
      <c r="T178" s="15">
        <v>7</v>
      </c>
      <c r="U178" s="15">
        <v>369.03</v>
      </c>
      <c r="V178" s="16">
        <v>0.2</v>
      </c>
      <c r="W178" s="15">
        <v>295.22399999999999</v>
      </c>
      <c r="X178" s="15">
        <v>343.22399999999999</v>
      </c>
      <c r="Y178" s="15" t="s">
        <v>2147</v>
      </c>
      <c r="Z178" s="15" t="s">
        <v>2064</v>
      </c>
      <c r="AA178" s="17">
        <v>10</v>
      </c>
      <c r="AB178">
        <v>0</v>
      </c>
    </row>
    <row r="179" spans="1:28">
      <c r="A179" s="18" t="s">
        <v>523</v>
      </c>
      <c r="B179" s="18" t="s">
        <v>524</v>
      </c>
      <c r="C179" s="18" t="s">
        <v>525</v>
      </c>
      <c r="D179" s="18">
        <v>42</v>
      </c>
      <c r="E179" s="18" t="s">
        <v>54</v>
      </c>
      <c r="F179" s="18" t="s">
        <v>78</v>
      </c>
      <c r="G179" s="18" t="s">
        <v>526</v>
      </c>
      <c r="H179" s="18" t="s">
        <v>527</v>
      </c>
      <c r="I179" s="18" t="s">
        <v>1221</v>
      </c>
      <c r="J179" s="18">
        <v>44968</v>
      </c>
      <c r="K179" s="18" t="s">
        <v>1222</v>
      </c>
      <c r="L179" s="18" t="s">
        <v>433</v>
      </c>
      <c r="M179" s="18">
        <v>369.03</v>
      </c>
      <c r="N179" s="18">
        <v>1</v>
      </c>
      <c r="O179" s="18" t="s">
        <v>87</v>
      </c>
      <c r="P179" s="18">
        <v>6</v>
      </c>
      <c r="Q179" s="18">
        <v>38</v>
      </c>
      <c r="R179" s="18">
        <v>44974</v>
      </c>
      <c r="S179" s="18" t="s">
        <v>1223</v>
      </c>
      <c r="T179" s="18">
        <v>6</v>
      </c>
      <c r="U179" s="18">
        <v>369.03</v>
      </c>
      <c r="V179" s="19">
        <v>0.2</v>
      </c>
      <c r="W179" s="18">
        <v>295.22399999999999</v>
      </c>
      <c r="X179" s="18">
        <v>333.22399999999999</v>
      </c>
      <c r="Y179" s="18" t="s">
        <v>2066</v>
      </c>
      <c r="Z179" s="18" t="s">
        <v>2072</v>
      </c>
      <c r="AA179" s="20">
        <v>7</v>
      </c>
      <c r="AB179">
        <v>0</v>
      </c>
    </row>
    <row r="180" spans="1:28">
      <c r="A180" s="15" t="s">
        <v>187</v>
      </c>
      <c r="B180" s="15" t="s">
        <v>188</v>
      </c>
      <c r="C180" s="15" t="s">
        <v>189</v>
      </c>
      <c r="D180" s="15">
        <v>42</v>
      </c>
      <c r="E180" s="15" t="s">
        <v>43</v>
      </c>
      <c r="F180" s="15" t="s">
        <v>170</v>
      </c>
      <c r="G180" s="15" t="s">
        <v>190</v>
      </c>
      <c r="H180" s="15" t="s">
        <v>191</v>
      </c>
      <c r="I180" s="15" t="s">
        <v>1015</v>
      </c>
      <c r="J180" s="15">
        <v>45455</v>
      </c>
      <c r="K180" s="15" t="s">
        <v>1016</v>
      </c>
      <c r="L180" s="15" t="s">
        <v>347</v>
      </c>
      <c r="M180" s="15">
        <v>372.62</v>
      </c>
      <c r="N180" s="15">
        <v>1</v>
      </c>
      <c r="O180" s="15" t="s">
        <v>60</v>
      </c>
      <c r="P180" s="15">
        <v>3</v>
      </c>
      <c r="Q180" s="15">
        <v>35</v>
      </c>
      <c r="R180" s="15">
        <v>45458</v>
      </c>
      <c r="S180" s="15" t="s">
        <v>1017</v>
      </c>
      <c r="T180" s="15">
        <v>3</v>
      </c>
      <c r="U180" s="15">
        <v>372.62</v>
      </c>
      <c r="V180" s="16">
        <v>0.15</v>
      </c>
      <c r="W180" s="15">
        <v>316.72699999999998</v>
      </c>
      <c r="X180" s="15">
        <v>351.72699999999998</v>
      </c>
      <c r="Y180" s="15" t="s">
        <v>2062</v>
      </c>
      <c r="Z180" s="15" t="s">
        <v>2072</v>
      </c>
      <c r="AA180" s="17">
        <v>3</v>
      </c>
      <c r="AB180">
        <v>21.379200000000001</v>
      </c>
    </row>
    <row r="181" spans="1:28">
      <c r="A181" s="18" t="s">
        <v>304</v>
      </c>
      <c r="B181" s="18" t="s">
        <v>305</v>
      </c>
      <c r="C181" s="18" t="s">
        <v>306</v>
      </c>
      <c r="D181" s="18">
        <v>26</v>
      </c>
      <c r="E181" s="18" t="s">
        <v>54</v>
      </c>
      <c r="F181" s="18" t="s">
        <v>170</v>
      </c>
      <c r="G181" s="18" t="s">
        <v>307</v>
      </c>
      <c r="H181" s="18" t="s">
        <v>308</v>
      </c>
      <c r="I181" s="18" t="s">
        <v>1147</v>
      </c>
      <c r="J181" s="18">
        <v>45537</v>
      </c>
      <c r="K181" s="18" t="s">
        <v>1148</v>
      </c>
      <c r="L181" s="18" t="s">
        <v>347</v>
      </c>
      <c r="M181" s="18">
        <v>372.62</v>
      </c>
      <c r="N181" s="18">
        <v>1</v>
      </c>
      <c r="O181" s="18" t="s">
        <v>98</v>
      </c>
      <c r="P181" s="18">
        <v>4</v>
      </c>
      <c r="Q181" s="18">
        <v>36</v>
      </c>
      <c r="R181" s="18">
        <v>45541</v>
      </c>
      <c r="S181" s="18" t="s">
        <v>1149</v>
      </c>
      <c r="T181" s="18">
        <v>4</v>
      </c>
      <c r="U181" s="18">
        <v>372.62</v>
      </c>
      <c r="V181" s="19">
        <v>0.1</v>
      </c>
      <c r="W181" s="18">
        <v>335.358</v>
      </c>
      <c r="X181" s="18">
        <v>371.358</v>
      </c>
      <c r="Y181" s="18" t="s">
        <v>2109</v>
      </c>
      <c r="Z181" s="18" t="s">
        <v>2072</v>
      </c>
      <c r="AA181" s="20">
        <v>7</v>
      </c>
      <c r="AB181">
        <v>0</v>
      </c>
    </row>
    <row r="182" spans="1:28">
      <c r="A182" s="15" t="s">
        <v>1241</v>
      </c>
      <c r="B182" s="15" t="s">
        <v>1242</v>
      </c>
      <c r="C182" s="15" t="s">
        <v>1243</v>
      </c>
      <c r="D182" s="15">
        <v>55</v>
      </c>
      <c r="E182" s="15" t="s">
        <v>43</v>
      </c>
      <c r="F182" s="15" t="s">
        <v>161</v>
      </c>
      <c r="G182" s="15" t="s">
        <v>1244</v>
      </c>
      <c r="H182" s="15" t="s">
        <v>1245</v>
      </c>
      <c r="I182" s="15" t="s">
        <v>1412</v>
      </c>
      <c r="J182" s="15">
        <v>45157</v>
      </c>
      <c r="K182" s="15" t="s">
        <v>1413</v>
      </c>
      <c r="L182" s="15" t="s">
        <v>347</v>
      </c>
      <c r="M182" s="15">
        <v>372.62</v>
      </c>
      <c r="N182" s="15">
        <v>1</v>
      </c>
      <c r="O182" s="15" t="s">
        <v>98</v>
      </c>
      <c r="P182" s="15">
        <v>5</v>
      </c>
      <c r="Q182" s="15">
        <v>45</v>
      </c>
      <c r="R182" s="15">
        <v>45164</v>
      </c>
      <c r="S182" s="15" t="s">
        <v>1414</v>
      </c>
      <c r="T182" s="15">
        <v>7</v>
      </c>
      <c r="U182" s="15">
        <v>372.62</v>
      </c>
      <c r="V182" s="16">
        <v>0.1</v>
      </c>
      <c r="W182" s="15">
        <v>335.358</v>
      </c>
      <c r="X182" s="15">
        <v>380.358</v>
      </c>
      <c r="Y182" s="15" t="s">
        <v>2101</v>
      </c>
      <c r="Z182" s="15" t="s">
        <v>2064</v>
      </c>
      <c r="AA182" s="17">
        <v>6</v>
      </c>
      <c r="AB182">
        <v>15</v>
      </c>
    </row>
    <row r="183" spans="1:28">
      <c r="A183" s="18" t="s">
        <v>40</v>
      </c>
      <c r="B183" s="18" t="s">
        <v>41</v>
      </c>
      <c r="C183" s="18" t="s">
        <v>42</v>
      </c>
      <c r="D183" s="18">
        <v>53</v>
      </c>
      <c r="E183" s="18" t="s">
        <v>43</v>
      </c>
      <c r="F183" s="18" t="s">
        <v>44</v>
      </c>
      <c r="G183" s="18" t="s">
        <v>45</v>
      </c>
      <c r="H183" s="18" t="s">
        <v>46</v>
      </c>
      <c r="I183" s="18" t="s">
        <v>1689</v>
      </c>
      <c r="J183" s="18">
        <v>45469</v>
      </c>
      <c r="K183" s="18" t="s">
        <v>1690</v>
      </c>
      <c r="L183" s="18" t="s">
        <v>347</v>
      </c>
      <c r="M183" s="18">
        <v>372.62</v>
      </c>
      <c r="N183" s="18">
        <v>1</v>
      </c>
      <c r="O183" s="18" t="s">
        <v>98</v>
      </c>
      <c r="P183" s="18">
        <v>1</v>
      </c>
      <c r="Q183" s="18">
        <v>66</v>
      </c>
      <c r="R183" s="18">
        <v>45471</v>
      </c>
      <c r="S183" s="18" t="s">
        <v>1691</v>
      </c>
      <c r="T183" s="18">
        <v>2</v>
      </c>
      <c r="U183" s="18">
        <v>372.62</v>
      </c>
      <c r="V183" s="19">
        <v>0.1</v>
      </c>
      <c r="W183" s="18">
        <v>335.358</v>
      </c>
      <c r="X183" s="18">
        <v>401.358</v>
      </c>
      <c r="Y183" s="18" t="s">
        <v>2105</v>
      </c>
      <c r="Z183" s="18" t="s">
        <v>2064</v>
      </c>
      <c r="AA183" s="20">
        <v>2</v>
      </c>
      <c r="AB183">
        <v>70.689000000000007</v>
      </c>
    </row>
    <row r="184" spans="1:28">
      <c r="A184" s="15" t="s">
        <v>220</v>
      </c>
      <c r="B184" s="15" t="s">
        <v>221</v>
      </c>
      <c r="C184" s="15" t="s">
        <v>222</v>
      </c>
      <c r="D184" s="15">
        <v>33</v>
      </c>
      <c r="E184" s="15" t="s">
        <v>54</v>
      </c>
      <c r="F184" s="15" t="s">
        <v>223</v>
      </c>
      <c r="G184" s="15" t="s">
        <v>224</v>
      </c>
      <c r="H184" s="15" t="s">
        <v>225</v>
      </c>
      <c r="I184" s="15" t="s">
        <v>1712</v>
      </c>
      <c r="J184" s="15">
        <v>45657</v>
      </c>
      <c r="K184" s="15" t="s">
        <v>1713</v>
      </c>
      <c r="L184" s="15" t="s">
        <v>347</v>
      </c>
      <c r="M184" s="15">
        <v>372.62</v>
      </c>
      <c r="N184" s="15">
        <v>1</v>
      </c>
      <c r="O184" s="15" t="s">
        <v>60</v>
      </c>
      <c r="P184" s="15">
        <v>5</v>
      </c>
      <c r="Q184" s="15">
        <v>50</v>
      </c>
      <c r="R184" s="15">
        <v>45661</v>
      </c>
      <c r="S184" s="15" t="s">
        <v>1714</v>
      </c>
      <c r="T184" s="15">
        <v>4</v>
      </c>
      <c r="U184" s="15">
        <v>372.62</v>
      </c>
      <c r="V184" s="16">
        <v>0.15</v>
      </c>
      <c r="W184" s="15">
        <v>316.72699999999998</v>
      </c>
      <c r="X184" s="15">
        <v>366.72699999999998</v>
      </c>
      <c r="Y184" s="15" t="s">
        <v>2141</v>
      </c>
      <c r="Z184" s="15" t="s">
        <v>2060</v>
      </c>
      <c r="AA184" s="17">
        <v>6</v>
      </c>
      <c r="AB184">
        <v>0</v>
      </c>
    </row>
    <row r="185" spans="1:28">
      <c r="A185" s="18" t="s">
        <v>578</v>
      </c>
      <c r="B185" s="18" t="s">
        <v>259</v>
      </c>
      <c r="C185" s="18" t="s">
        <v>579</v>
      </c>
      <c r="D185" s="18">
        <v>35</v>
      </c>
      <c r="E185" s="18" t="s">
        <v>31</v>
      </c>
      <c r="F185" s="18" t="s">
        <v>32</v>
      </c>
      <c r="G185" s="18" t="s">
        <v>580</v>
      </c>
      <c r="H185" s="18" t="s">
        <v>581</v>
      </c>
      <c r="I185" s="18" t="s">
        <v>582</v>
      </c>
      <c r="J185" s="18">
        <v>45054</v>
      </c>
      <c r="K185" s="18" t="s">
        <v>583</v>
      </c>
      <c r="L185" s="18" t="s">
        <v>245</v>
      </c>
      <c r="M185" s="18">
        <v>126.19</v>
      </c>
      <c r="N185" s="18">
        <v>3</v>
      </c>
      <c r="O185" s="18" t="s">
        <v>65</v>
      </c>
      <c r="P185" s="18">
        <v>5</v>
      </c>
      <c r="Q185" s="18">
        <v>40</v>
      </c>
      <c r="R185" s="18">
        <v>45058</v>
      </c>
      <c r="S185" s="18" t="s">
        <v>584</v>
      </c>
      <c r="T185" s="18">
        <v>4</v>
      </c>
      <c r="U185" s="18">
        <v>378.57</v>
      </c>
      <c r="V185" s="19">
        <v>0</v>
      </c>
      <c r="W185" s="18">
        <v>378.57</v>
      </c>
      <c r="X185" s="18">
        <v>378.57</v>
      </c>
      <c r="Y185" s="18" t="s">
        <v>2116</v>
      </c>
      <c r="Z185" s="18" t="s">
        <v>2060</v>
      </c>
      <c r="AA185" s="20">
        <v>12</v>
      </c>
      <c r="AB185">
        <v>67.471999999999994</v>
      </c>
    </row>
    <row r="186" spans="1:28">
      <c r="A186" s="15" t="s">
        <v>928</v>
      </c>
      <c r="B186" s="15" t="s">
        <v>929</v>
      </c>
      <c r="C186" s="15" t="s">
        <v>930</v>
      </c>
      <c r="D186" s="15">
        <v>24</v>
      </c>
      <c r="E186" s="15" t="s">
        <v>54</v>
      </c>
      <c r="F186" s="15" t="s">
        <v>223</v>
      </c>
      <c r="G186" s="15" t="s">
        <v>931</v>
      </c>
      <c r="H186" s="15" t="s">
        <v>932</v>
      </c>
      <c r="I186" s="15" t="s">
        <v>1262</v>
      </c>
      <c r="J186" s="15">
        <v>45668</v>
      </c>
      <c r="K186" s="15" t="s">
        <v>1263</v>
      </c>
      <c r="L186" s="15" t="s">
        <v>751</v>
      </c>
      <c r="M186" s="15">
        <v>381.73</v>
      </c>
      <c r="N186" s="15">
        <v>1</v>
      </c>
      <c r="O186" s="15" t="s">
        <v>38</v>
      </c>
      <c r="P186" s="15">
        <v>3</v>
      </c>
      <c r="Q186" s="15">
        <v>36</v>
      </c>
      <c r="R186" s="15">
        <v>45675</v>
      </c>
      <c r="S186" s="15" t="s">
        <v>1264</v>
      </c>
      <c r="T186" s="15">
        <v>7</v>
      </c>
      <c r="U186" s="15">
        <v>381.73</v>
      </c>
      <c r="V186" s="16">
        <v>0.08</v>
      </c>
      <c r="W186" s="15">
        <v>351.19159999999999</v>
      </c>
      <c r="X186" s="15">
        <v>387.19159999999999</v>
      </c>
      <c r="Y186" s="15" t="s">
        <v>2122</v>
      </c>
      <c r="Z186" s="15" t="s">
        <v>2064</v>
      </c>
      <c r="AA186" s="17">
        <v>6</v>
      </c>
      <c r="AB186">
        <v>55.893000000000001</v>
      </c>
    </row>
    <row r="187" spans="1:28">
      <c r="A187" s="18" t="s">
        <v>121</v>
      </c>
      <c r="B187" s="18" t="s">
        <v>122</v>
      </c>
      <c r="C187" s="18" t="s">
        <v>123</v>
      </c>
      <c r="D187" s="18">
        <v>20</v>
      </c>
      <c r="E187" s="18" t="s">
        <v>31</v>
      </c>
      <c r="F187" s="18" t="s">
        <v>92</v>
      </c>
      <c r="G187" s="18" t="s">
        <v>124</v>
      </c>
      <c r="H187" s="18" t="s">
        <v>125</v>
      </c>
      <c r="I187" s="18" t="s">
        <v>251</v>
      </c>
      <c r="J187" s="18">
        <v>45066</v>
      </c>
      <c r="K187" s="18" t="s">
        <v>252</v>
      </c>
      <c r="L187" s="18" t="s">
        <v>253</v>
      </c>
      <c r="M187" s="18">
        <v>128.13999999999999</v>
      </c>
      <c r="N187" s="18">
        <v>3</v>
      </c>
      <c r="O187" s="18" t="s">
        <v>38</v>
      </c>
      <c r="P187" s="18">
        <v>4</v>
      </c>
      <c r="Q187" s="18">
        <v>70</v>
      </c>
      <c r="R187" s="18">
        <v>45069</v>
      </c>
      <c r="S187" s="18" t="s">
        <v>254</v>
      </c>
      <c r="T187" s="18">
        <v>3</v>
      </c>
      <c r="U187" s="18">
        <v>384.41999999999996</v>
      </c>
      <c r="V187" s="19">
        <v>0.08</v>
      </c>
      <c r="W187" s="18">
        <v>353.66639999999995</v>
      </c>
      <c r="X187" s="18">
        <v>423.66639999999995</v>
      </c>
      <c r="Y187" s="18" t="s">
        <v>2148</v>
      </c>
      <c r="Z187" s="18" t="s">
        <v>2060</v>
      </c>
      <c r="AA187" s="20">
        <v>6</v>
      </c>
      <c r="AB187">
        <v>0</v>
      </c>
    </row>
    <row r="188" spans="1:28">
      <c r="A188" s="15" t="s">
        <v>642</v>
      </c>
      <c r="B188" s="15" t="s">
        <v>150</v>
      </c>
      <c r="C188" s="15" t="s">
        <v>643</v>
      </c>
      <c r="D188" s="15">
        <v>44</v>
      </c>
      <c r="E188" s="15" t="s">
        <v>54</v>
      </c>
      <c r="F188" s="15" t="s">
        <v>92</v>
      </c>
      <c r="G188" s="15" t="s">
        <v>644</v>
      </c>
      <c r="H188" s="15" t="s">
        <v>645</v>
      </c>
      <c r="I188" s="15" t="s">
        <v>1684</v>
      </c>
      <c r="J188" s="15">
        <v>45264</v>
      </c>
      <c r="K188" s="15" t="s">
        <v>1685</v>
      </c>
      <c r="L188" s="15" t="s">
        <v>253</v>
      </c>
      <c r="M188" s="15">
        <v>128.13999999999999</v>
      </c>
      <c r="N188" s="15">
        <v>3</v>
      </c>
      <c r="O188" s="15" t="s">
        <v>87</v>
      </c>
      <c r="P188" s="15">
        <v>2</v>
      </c>
      <c r="Q188" s="15">
        <v>49</v>
      </c>
      <c r="R188" s="15">
        <v>45270</v>
      </c>
      <c r="S188" s="15" t="s">
        <v>1686</v>
      </c>
      <c r="T188" s="15">
        <v>6</v>
      </c>
      <c r="U188" s="15">
        <v>384.41999999999996</v>
      </c>
      <c r="V188" s="16">
        <v>0.2</v>
      </c>
      <c r="W188" s="15">
        <v>307.53599999999994</v>
      </c>
      <c r="X188" s="15">
        <v>356.53599999999994</v>
      </c>
      <c r="Y188" s="15" t="s">
        <v>2065</v>
      </c>
      <c r="Z188" s="15" t="s">
        <v>2064</v>
      </c>
      <c r="AA188" s="17">
        <v>9</v>
      </c>
      <c r="AB188">
        <v>264.08800000000002</v>
      </c>
    </row>
    <row r="189" spans="1:28">
      <c r="A189" s="18" t="s">
        <v>486</v>
      </c>
      <c r="B189" s="18" t="s">
        <v>487</v>
      </c>
      <c r="C189" s="18" t="s">
        <v>132</v>
      </c>
      <c r="D189" s="18">
        <v>68</v>
      </c>
      <c r="E189" s="18" t="s">
        <v>54</v>
      </c>
      <c r="F189" s="18" t="s">
        <v>223</v>
      </c>
      <c r="G189" s="18" t="s">
        <v>488</v>
      </c>
      <c r="H189" s="18" t="s">
        <v>489</v>
      </c>
      <c r="I189" s="18" t="s">
        <v>2002</v>
      </c>
      <c r="J189" s="18">
        <v>45072</v>
      </c>
      <c r="K189" s="18" t="s">
        <v>2003</v>
      </c>
      <c r="L189" s="18" t="s">
        <v>253</v>
      </c>
      <c r="M189" s="18">
        <v>128.13999999999999</v>
      </c>
      <c r="N189" s="18">
        <v>3</v>
      </c>
      <c r="O189" s="18" t="s">
        <v>87</v>
      </c>
      <c r="P189" s="18">
        <v>2</v>
      </c>
      <c r="Q189" s="18">
        <v>59</v>
      </c>
      <c r="R189" s="18">
        <v>45076</v>
      </c>
      <c r="S189" s="18" t="s">
        <v>2004</v>
      </c>
      <c r="T189" s="18">
        <v>4</v>
      </c>
      <c r="U189" s="18">
        <v>384.41999999999996</v>
      </c>
      <c r="V189" s="19">
        <v>0.2</v>
      </c>
      <c r="W189" s="18">
        <v>307.53599999999994</v>
      </c>
      <c r="X189" s="18">
        <v>366.53599999999994</v>
      </c>
      <c r="Y189" s="18" t="s">
        <v>2135</v>
      </c>
      <c r="Z189" s="18" t="s">
        <v>2064</v>
      </c>
      <c r="AA189" s="20">
        <v>6</v>
      </c>
      <c r="AB189">
        <v>10.747</v>
      </c>
    </row>
    <row r="190" spans="1:28">
      <c r="A190" s="15" t="s">
        <v>1730</v>
      </c>
      <c r="B190" s="15" t="s">
        <v>1731</v>
      </c>
      <c r="C190" s="15" t="s">
        <v>371</v>
      </c>
      <c r="D190" s="15">
        <v>34</v>
      </c>
      <c r="E190" s="15" t="s">
        <v>54</v>
      </c>
      <c r="F190" s="15" t="s">
        <v>161</v>
      </c>
      <c r="G190" s="15" t="s">
        <v>1732</v>
      </c>
      <c r="H190" s="15" t="s">
        <v>1733</v>
      </c>
      <c r="I190" s="15" t="s">
        <v>2047</v>
      </c>
      <c r="J190" s="15">
        <v>45490</v>
      </c>
      <c r="K190" s="15" t="s">
        <v>2048</v>
      </c>
      <c r="L190" s="15" t="s">
        <v>253</v>
      </c>
      <c r="M190" s="15">
        <v>128.13999999999999</v>
      </c>
      <c r="N190" s="15">
        <v>3</v>
      </c>
      <c r="O190" s="15" t="s">
        <v>38</v>
      </c>
      <c r="P190" s="15">
        <v>5</v>
      </c>
      <c r="Q190" s="15">
        <v>49</v>
      </c>
      <c r="R190" s="15">
        <v>45495</v>
      </c>
      <c r="S190" s="15" t="s">
        <v>2049</v>
      </c>
      <c r="T190" s="15">
        <v>5</v>
      </c>
      <c r="U190" s="15">
        <v>384.41999999999996</v>
      </c>
      <c r="V190" s="16">
        <v>0.08</v>
      </c>
      <c r="W190" s="15">
        <v>353.66639999999995</v>
      </c>
      <c r="X190" s="15">
        <v>402.66639999999995</v>
      </c>
      <c r="Y190" s="15" t="s">
        <v>2083</v>
      </c>
      <c r="Z190" s="15" t="s">
        <v>2072</v>
      </c>
      <c r="AA190" s="17">
        <v>10</v>
      </c>
      <c r="AB190">
        <v>25.238</v>
      </c>
    </row>
    <row r="191" spans="1:28">
      <c r="A191" s="18" t="s">
        <v>336</v>
      </c>
      <c r="B191" s="18" t="s">
        <v>337</v>
      </c>
      <c r="C191" s="18" t="s">
        <v>338</v>
      </c>
      <c r="D191" s="18">
        <v>23</v>
      </c>
      <c r="E191" s="18" t="s">
        <v>31</v>
      </c>
      <c r="F191" s="18" t="s">
        <v>32</v>
      </c>
      <c r="G191" s="18" t="s">
        <v>339</v>
      </c>
      <c r="H191" s="18" t="s">
        <v>340</v>
      </c>
      <c r="I191" s="18" t="s">
        <v>341</v>
      </c>
      <c r="J191" s="18">
        <v>45574</v>
      </c>
      <c r="K191" s="18" t="s">
        <v>342</v>
      </c>
      <c r="L191" s="18" t="s">
        <v>343</v>
      </c>
      <c r="M191" s="18">
        <v>77.84</v>
      </c>
      <c r="N191" s="18">
        <v>5</v>
      </c>
      <c r="O191" s="18" t="s">
        <v>65</v>
      </c>
      <c r="P191" s="18">
        <v>4</v>
      </c>
      <c r="Q191" s="18">
        <v>47</v>
      </c>
      <c r="R191" s="18">
        <v>45575</v>
      </c>
      <c r="S191" s="18" t="s">
        <v>344</v>
      </c>
      <c r="T191" s="18">
        <v>1</v>
      </c>
      <c r="U191" s="18">
        <v>389.20000000000005</v>
      </c>
      <c r="V191" s="19">
        <v>0</v>
      </c>
      <c r="W191" s="18">
        <v>389.20000000000005</v>
      </c>
      <c r="X191" s="18">
        <v>389.20000000000005</v>
      </c>
      <c r="Y191" s="18" t="s">
        <v>2091</v>
      </c>
      <c r="Z191" s="18" t="s">
        <v>2060</v>
      </c>
      <c r="AA191" s="20">
        <v>5</v>
      </c>
      <c r="AB191">
        <v>0</v>
      </c>
    </row>
    <row r="192" spans="1:28">
      <c r="A192" s="15" t="s">
        <v>549</v>
      </c>
      <c r="B192" s="15" t="s">
        <v>550</v>
      </c>
      <c r="C192" s="15" t="s">
        <v>551</v>
      </c>
      <c r="D192" s="15">
        <v>33</v>
      </c>
      <c r="E192" s="15" t="s">
        <v>54</v>
      </c>
      <c r="F192" s="15" t="s">
        <v>170</v>
      </c>
      <c r="G192" s="15" t="s">
        <v>552</v>
      </c>
      <c r="H192" s="15" t="s">
        <v>553</v>
      </c>
      <c r="I192" s="15" t="s">
        <v>904</v>
      </c>
      <c r="J192" s="15">
        <v>45200</v>
      </c>
      <c r="K192" s="15" t="s">
        <v>905</v>
      </c>
      <c r="L192" s="15" t="s">
        <v>343</v>
      </c>
      <c r="M192" s="15">
        <v>77.84</v>
      </c>
      <c r="N192" s="15">
        <v>5</v>
      </c>
      <c r="O192" s="15" t="s">
        <v>98</v>
      </c>
      <c r="P192" s="15">
        <v>1</v>
      </c>
      <c r="Q192" s="15">
        <v>41</v>
      </c>
      <c r="R192" s="15">
        <v>45206</v>
      </c>
      <c r="S192" s="15" t="s">
        <v>906</v>
      </c>
      <c r="T192" s="15">
        <v>6</v>
      </c>
      <c r="U192" s="15">
        <v>389.20000000000005</v>
      </c>
      <c r="V192" s="16">
        <v>0.1</v>
      </c>
      <c r="W192" s="15">
        <v>350.28000000000003</v>
      </c>
      <c r="X192" s="15">
        <v>391.28000000000003</v>
      </c>
      <c r="Y192" s="15" t="s">
        <v>2149</v>
      </c>
      <c r="Z192" s="15" t="s">
        <v>2064</v>
      </c>
      <c r="AA192" s="17">
        <v>5</v>
      </c>
      <c r="AB192">
        <v>146.07500000000002</v>
      </c>
    </row>
    <row r="193" spans="1:28">
      <c r="A193" s="18" t="s">
        <v>1909</v>
      </c>
      <c r="B193" s="18" t="s">
        <v>1910</v>
      </c>
      <c r="C193" s="18" t="s">
        <v>1911</v>
      </c>
      <c r="D193" s="18">
        <v>43</v>
      </c>
      <c r="E193" s="18" t="s">
        <v>31</v>
      </c>
      <c r="F193" s="18" t="s">
        <v>44</v>
      </c>
      <c r="G193" s="18" t="s">
        <v>1912</v>
      </c>
      <c r="H193" s="18" t="s">
        <v>1913</v>
      </c>
      <c r="I193" s="18" t="s">
        <v>1976</v>
      </c>
      <c r="J193" s="18">
        <v>45012</v>
      </c>
      <c r="K193" s="18" t="s">
        <v>1977</v>
      </c>
      <c r="L193" s="18" t="s">
        <v>343</v>
      </c>
      <c r="M193" s="18">
        <v>77.84</v>
      </c>
      <c r="N193" s="18">
        <v>5</v>
      </c>
      <c r="O193" s="18" t="s">
        <v>98</v>
      </c>
      <c r="P193" s="18">
        <v>2</v>
      </c>
      <c r="Q193" s="18">
        <v>53</v>
      </c>
      <c r="R193" s="18">
        <v>45017</v>
      </c>
      <c r="S193" s="18" t="s">
        <v>1978</v>
      </c>
      <c r="T193" s="18">
        <v>5</v>
      </c>
      <c r="U193" s="18">
        <v>389.20000000000005</v>
      </c>
      <c r="V193" s="19">
        <v>0.1</v>
      </c>
      <c r="W193" s="18">
        <v>350.28000000000003</v>
      </c>
      <c r="X193" s="18">
        <v>403.28000000000003</v>
      </c>
      <c r="Y193" s="18" t="s">
        <v>2144</v>
      </c>
      <c r="Z193" s="18" t="s">
        <v>2064</v>
      </c>
      <c r="AA193" s="20">
        <v>4</v>
      </c>
      <c r="AB193">
        <v>61.335000000000001</v>
      </c>
    </row>
    <row r="194" spans="1:28">
      <c r="A194" s="15" t="s">
        <v>531</v>
      </c>
      <c r="B194" s="15" t="s">
        <v>397</v>
      </c>
      <c r="C194" s="15" t="s">
        <v>532</v>
      </c>
      <c r="D194" s="15">
        <v>51</v>
      </c>
      <c r="E194" s="15" t="s">
        <v>54</v>
      </c>
      <c r="F194" s="15" t="s">
        <v>142</v>
      </c>
      <c r="G194" s="15" t="s">
        <v>533</v>
      </c>
      <c r="H194" s="15" t="s">
        <v>534</v>
      </c>
      <c r="I194" s="15" t="s">
        <v>1103</v>
      </c>
      <c r="J194" s="15">
        <v>45339</v>
      </c>
      <c r="K194" s="15" t="s">
        <v>1104</v>
      </c>
      <c r="L194" s="15" t="s">
        <v>311</v>
      </c>
      <c r="M194" s="15">
        <v>129.75</v>
      </c>
      <c r="N194" s="15">
        <v>3</v>
      </c>
      <c r="O194" s="15" t="s">
        <v>60</v>
      </c>
      <c r="P194" s="15">
        <v>5</v>
      </c>
      <c r="Q194" s="15">
        <v>37</v>
      </c>
      <c r="R194" s="15">
        <v>45341</v>
      </c>
      <c r="S194" s="15" t="s">
        <v>1105</v>
      </c>
      <c r="T194" s="15">
        <v>2</v>
      </c>
      <c r="U194" s="15">
        <v>389.25</v>
      </c>
      <c r="V194" s="16">
        <v>0.15</v>
      </c>
      <c r="W194" s="15">
        <v>330.86250000000001</v>
      </c>
      <c r="X194" s="15">
        <v>367.86250000000001</v>
      </c>
      <c r="Y194" s="15" t="s">
        <v>2118</v>
      </c>
      <c r="Z194" s="15" t="s">
        <v>2060</v>
      </c>
      <c r="AA194" s="17">
        <v>10</v>
      </c>
      <c r="AB194">
        <v>181.36349999999999</v>
      </c>
    </row>
    <row r="195" spans="1:28">
      <c r="A195" s="18" t="s">
        <v>897</v>
      </c>
      <c r="B195" s="18" t="s">
        <v>150</v>
      </c>
      <c r="C195" s="18" t="s">
        <v>898</v>
      </c>
      <c r="D195" s="18">
        <v>29</v>
      </c>
      <c r="E195" s="18" t="s">
        <v>31</v>
      </c>
      <c r="F195" s="18" t="s">
        <v>44</v>
      </c>
      <c r="G195" s="18" t="s">
        <v>899</v>
      </c>
      <c r="H195" s="18" t="s">
        <v>900</v>
      </c>
      <c r="I195" s="18" t="s">
        <v>1467</v>
      </c>
      <c r="J195" s="18">
        <v>45108</v>
      </c>
      <c r="K195" s="18" t="s">
        <v>1468</v>
      </c>
      <c r="L195" s="18" t="s">
        <v>237</v>
      </c>
      <c r="M195" s="18">
        <v>132.97</v>
      </c>
      <c r="N195" s="18">
        <v>3</v>
      </c>
      <c r="O195" s="18" t="s">
        <v>60</v>
      </c>
      <c r="P195" s="18">
        <v>3</v>
      </c>
      <c r="Q195" s="18">
        <v>36</v>
      </c>
      <c r="R195" s="18">
        <v>45110</v>
      </c>
      <c r="S195" s="18" t="s">
        <v>1469</v>
      </c>
      <c r="T195" s="18">
        <v>2</v>
      </c>
      <c r="U195" s="18">
        <v>398.90999999999997</v>
      </c>
      <c r="V195" s="19">
        <v>0.15</v>
      </c>
      <c r="W195" s="18">
        <v>339.07349999999997</v>
      </c>
      <c r="X195" s="18">
        <v>375.07349999999997</v>
      </c>
      <c r="Y195" s="18" t="s">
        <v>2094</v>
      </c>
      <c r="Z195" s="18" t="s">
        <v>2060</v>
      </c>
      <c r="AA195" s="20">
        <v>11</v>
      </c>
      <c r="AB195">
        <v>0</v>
      </c>
    </row>
    <row r="196" spans="1:28">
      <c r="A196" s="15" t="s">
        <v>212</v>
      </c>
      <c r="B196" s="15" t="s">
        <v>213</v>
      </c>
      <c r="C196" s="15" t="s">
        <v>214</v>
      </c>
      <c r="D196" s="15">
        <v>39</v>
      </c>
      <c r="E196" s="15" t="s">
        <v>43</v>
      </c>
      <c r="F196" s="15" t="s">
        <v>161</v>
      </c>
      <c r="G196" s="15" t="s">
        <v>215</v>
      </c>
      <c r="H196" s="15" t="s">
        <v>216</v>
      </c>
      <c r="I196" s="15" t="s">
        <v>591</v>
      </c>
      <c r="J196" s="15">
        <v>45525</v>
      </c>
      <c r="K196" s="15" t="s">
        <v>592</v>
      </c>
      <c r="L196" s="15" t="s">
        <v>593</v>
      </c>
      <c r="M196" s="15">
        <v>403.03</v>
      </c>
      <c r="N196" s="15">
        <v>1</v>
      </c>
      <c r="O196" s="15" t="s">
        <v>87</v>
      </c>
      <c r="P196" s="15">
        <v>3</v>
      </c>
      <c r="Q196" s="15">
        <v>52</v>
      </c>
      <c r="R196" s="15">
        <v>45526</v>
      </c>
      <c r="S196" s="15" t="s">
        <v>594</v>
      </c>
      <c r="T196" s="15">
        <v>1</v>
      </c>
      <c r="U196" s="15">
        <v>403.03</v>
      </c>
      <c r="V196" s="16">
        <v>0.2</v>
      </c>
      <c r="W196" s="15">
        <v>322.42399999999998</v>
      </c>
      <c r="X196" s="15">
        <v>374.42399999999998</v>
      </c>
      <c r="Y196" s="15" t="s">
        <v>2085</v>
      </c>
      <c r="Z196" s="15" t="s">
        <v>2060</v>
      </c>
      <c r="AA196" s="17">
        <v>5</v>
      </c>
      <c r="AB196">
        <v>129.75</v>
      </c>
    </row>
    <row r="197" spans="1:28">
      <c r="A197" s="18" t="s">
        <v>328</v>
      </c>
      <c r="B197" s="18" t="s">
        <v>329</v>
      </c>
      <c r="C197" s="18" t="s">
        <v>330</v>
      </c>
      <c r="D197" s="18">
        <v>29</v>
      </c>
      <c r="E197" s="18" t="s">
        <v>54</v>
      </c>
      <c r="F197" s="18" t="s">
        <v>92</v>
      </c>
      <c r="G197" s="18" t="s">
        <v>331</v>
      </c>
      <c r="H197" s="18" t="s">
        <v>332</v>
      </c>
      <c r="I197" s="18" t="s">
        <v>333</v>
      </c>
      <c r="J197" s="18">
        <v>45656</v>
      </c>
      <c r="K197" s="18" t="s">
        <v>334</v>
      </c>
      <c r="L197" s="18" t="s">
        <v>64</v>
      </c>
      <c r="M197" s="18">
        <v>405</v>
      </c>
      <c r="N197" s="18">
        <v>1</v>
      </c>
      <c r="O197" s="18" t="s">
        <v>65</v>
      </c>
      <c r="P197" s="18">
        <v>7</v>
      </c>
      <c r="Q197" s="18">
        <v>36</v>
      </c>
      <c r="R197" s="18">
        <v>45661</v>
      </c>
      <c r="S197" s="18" t="s">
        <v>335</v>
      </c>
      <c r="T197" s="18">
        <v>5</v>
      </c>
      <c r="U197" s="18">
        <v>405</v>
      </c>
      <c r="V197" s="19">
        <v>0</v>
      </c>
      <c r="W197" s="18">
        <v>405</v>
      </c>
      <c r="X197" s="18">
        <v>405</v>
      </c>
      <c r="Y197" s="18" t="s">
        <v>2136</v>
      </c>
      <c r="Z197" s="18" t="s">
        <v>2060</v>
      </c>
      <c r="AA197" s="20">
        <v>12</v>
      </c>
      <c r="AB197">
        <v>15.070499999999999</v>
      </c>
    </row>
    <row r="198" spans="1:28">
      <c r="A198" s="15" t="s">
        <v>438</v>
      </c>
      <c r="B198" s="15" t="s">
        <v>439</v>
      </c>
      <c r="C198" s="15" t="s">
        <v>440</v>
      </c>
      <c r="D198" s="15">
        <v>28</v>
      </c>
      <c r="E198" s="15" t="s">
        <v>54</v>
      </c>
      <c r="F198" s="15" t="s">
        <v>78</v>
      </c>
      <c r="G198" s="15" t="s">
        <v>441</v>
      </c>
      <c r="H198" s="15" t="s">
        <v>442</v>
      </c>
      <c r="I198" s="15" t="s">
        <v>443</v>
      </c>
      <c r="J198" s="15">
        <v>45229</v>
      </c>
      <c r="K198" s="15" t="s">
        <v>444</v>
      </c>
      <c r="L198" s="15" t="s">
        <v>64</v>
      </c>
      <c r="M198" s="15">
        <v>405</v>
      </c>
      <c r="N198" s="15">
        <v>1</v>
      </c>
      <c r="O198" s="15" t="s">
        <v>65</v>
      </c>
      <c r="P198" s="15">
        <v>5</v>
      </c>
      <c r="Q198" s="15">
        <v>44</v>
      </c>
      <c r="R198" s="15">
        <v>45233</v>
      </c>
      <c r="S198" s="15" t="s">
        <v>445</v>
      </c>
      <c r="T198" s="15">
        <v>4</v>
      </c>
      <c r="U198" s="15">
        <v>405</v>
      </c>
      <c r="V198" s="16">
        <v>0</v>
      </c>
      <c r="W198" s="15">
        <v>405</v>
      </c>
      <c r="X198" s="15">
        <v>405</v>
      </c>
      <c r="Y198" s="15" t="s">
        <v>2120</v>
      </c>
      <c r="Z198" s="15" t="s">
        <v>2060</v>
      </c>
      <c r="AA198" s="17">
        <v>2</v>
      </c>
      <c r="AB198">
        <v>264.08800000000002</v>
      </c>
    </row>
    <row r="199" spans="1:28">
      <c r="A199" s="18" t="s">
        <v>40</v>
      </c>
      <c r="B199" s="18" t="s">
        <v>41</v>
      </c>
      <c r="C199" s="18" t="s">
        <v>42</v>
      </c>
      <c r="D199" s="18">
        <v>53</v>
      </c>
      <c r="E199" s="18" t="s">
        <v>43</v>
      </c>
      <c r="F199" s="18" t="s">
        <v>44</v>
      </c>
      <c r="G199" s="18" t="s">
        <v>45</v>
      </c>
      <c r="H199" s="18" t="s">
        <v>46</v>
      </c>
      <c r="I199" s="18" t="s">
        <v>814</v>
      </c>
      <c r="J199" s="18">
        <v>45589</v>
      </c>
      <c r="K199" s="18" t="s">
        <v>815</v>
      </c>
      <c r="L199" s="18" t="s">
        <v>59</v>
      </c>
      <c r="M199" s="18">
        <v>202.54</v>
      </c>
      <c r="N199" s="18">
        <v>2</v>
      </c>
      <c r="O199" s="18" t="s">
        <v>87</v>
      </c>
      <c r="P199" s="18">
        <v>6</v>
      </c>
      <c r="Q199" s="18">
        <v>70</v>
      </c>
      <c r="R199" s="18">
        <v>45594</v>
      </c>
      <c r="S199" s="18" t="s">
        <v>816</v>
      </c>
      <c r="T199" s="18">
        <v>5</v>
      </c>
      <c r="U199" s="18">
        <v>405.08</v>
      </c>
      <c r="V199" s="19">
        <v>0.2</v>
      </c>
      <c r="W199" s="18">
        <v>324.06399999999996</v>
      </c>
      <c r="X199" s="18">
        <v>394.06399999999996</v>
      </c>
      <c r="Y199" s="18" t="s">
        <v>2105</v>
      </c>
      <c r="Z199" s="18" t="s">
        <v>2060</v>
      </c>
      <c r="AA199" s="20">
        <v>4</v>
      </c>
      <c r="AB199">
        <v>151.90499999999997</v>
      </c>
    </row>
    <row r="200" spans="1:28">
      <c r="A200" s="15" t="s">
        <v>493</v>
      </c>
      <c r="B200" s="15" t="s">
        <v>189</v>
      </c>
      <c r="C200" s="15" t="s">
        <v>330</v>
      </c>
      <c r="D200" s="15">
        <v>39</v>
      </c>
      <c r="E200" s="15" t="s">
        <v>54</v>
      </c>
      <c r="F200" s="15" t="s">
        <v>44</v>
      </c>
      <c r="G200" s="15" t="s">
        <v>494</v>
      </c>
      <c r="H200" s="15" t="s">
        <v>495</v>
      </c>
      <c r="I200" s="15" t="s">
        <v>1036</v>
      </c>
      <c r="J200" s="15">
        <v>45036</v>
      </c>
      <c r="K200" s="15" t="s">
        <v>1037</v>
      </c>
      <c r="L200" s="15" t="s">
        <v>517</v>
      </c>
      <c r="M200" s="15">
        <v>136.30000000000001</v>
      </c>
      <c r="N200" s="15">
        <v>3</v>
      </c>
      <c r="O200" s="15" t="s">
        <v>60</v>
      </c>
      <c r="P200" s="15">
        <v>6</v>
      </c>
      <c r="Q200" s="15">
        <v>42</v>
      </c>
      <c r="R200" s="15">
        <v>45043</v>
      </c>
      <c r="S200" s="15" t="s">
        <v>1038</v>
      </c>
      <c r="T200" s="15">
        <v>7</v>
      </c>
      <c r="U200" s="15">
        <v>408.90000000000003</v>
      </c>
      <c r="V200" s="16">
        <v>0.15</v>
      </c>
      <c r="W200" s="15">
        <v>347.56500000000005</v>
      </c>
      <c r="X200" s="15">
        <v>389.56500000000005</v>
      </c>
      <c r="Y200" s="15" t="s">
        <v>2127</v>
      </c>
      <c r="Z200" s="15" t="s">
        <v>2064</v>
      </c>
      <c r="AA200" s="17">
        <v>11</v>
      </c>
      <c r="AB200">
        <v>66.512</v>
      </c>
    </row>
    <row r="201" spans="1:28">
      <c r="A201" s="18" t="s">
        <v>486</v>
      </c>
      <c r="B201" s="18" t="s">
        <v>487</v>
      </c>
      <c r="C201" s="18" t="s">
        <v>132</v>
      </c>
      <c r="D201" s="18">
        <v>68</v>
      </c>
      <c r="E201" s="18" t="s">
        <v>54</v>
      </c>
      <c r="F201" s="18" t="s">
        <v>223</v>
      </c>
      <c r="G201" s="18" t="s">
        <v>488</v>
      </c>
      <c r="H201" s="18" t="s">
        <v>489</v>
      </c>
      <c r="I201" s="18" t="s">
        <v>936</v>
      </c>
      <c r="J201" s="18">
        <v>45529</v>
      </c>
      <c r="K201" s="18" t="s">
        <v>937</v>
      </c>
      <c r="L201" s="18" t="s">
        <v>185</v>
      </c>
      <c r="M201" s="18">
        <v>104.18</v>
      </c>
      <c r="N201" s="18">
        <v>4</v>
      </c>
      <c r="O201" s="18" t="s">
        <v>38</v>
      </c>
      <c r="P201" s="18">
        <v>4</v>
      </c>
      <c r="Q201" s="18">
        <v>45</v>
      </c>
      <c r="R201" s="18">
        <v>45536</v>
      </c>
      <c r="S201" s="18" t="s">
        <v>938</v>
      </c>
      <c r="T201" s="18">
        <v>7</v>
      </c>
      <c r="U201" s="18">
        <v>416.72</v>
      </c>
      <c r="V201" s="19">
        <v>0.08</v>
      </c>
      <c r="W201" s="18">
        <v>383.38240000000002</v>
      </c>
      <c r="X201" s="18">
        <v>428.38240000000002</v>
      </c>
      <c r="Y201" s="18" t="s">
        <v>2135</v>
      </c>
      <c r="Z201" s="18" t="s">
        <v>2064</v>
      </c>
      <c r="AA201" s="20">
        <v>8</v>
      </c>
      <c r="AB201">
        <v>87.644999999999996</v>
      </c>
    </row>
    <row r="202" spans="1:28">
      <c r="A202" s="15" t="s">
        <v>239</v>
      </c>
      <c r="B202" s="15" t="s">
        <v>68</v>
      </c>
      <c r="C202" s="15" t="s">
        <v>240</v>
      </c>
      <c r="D202" s="15">
        <v>52</v>
      </c>
      <c r="E202" s="15" t="s">
        <v>54</v>
      </c>
      <c r="F202" s="15" t="s">
        <v>44</v>
      </c>
      <c r="G202" s="15" t="s">
        <v>241</v>
      </c>
      <c r="H202" s="15" t="s">
        <v>242</v>
      </c>
      <c r="I202" s="15" t="s">
        <v>1561</v>
      </c>
      <c r="J202" s="15">
        <v>45303</v>
      </c>
      <c r="K202" s="15" t="s">
        <v>1562</v>
      </c>
      <c r="L202" s="15" t="s">
        <v>185</v>
      </c>
      <c r="M202" s="15">
        <v>104.18</v>
      </c>
      <c r="N202" s="15">
        <v>4</v>
      </c>
      <c r="O202" s="15" t="s">
        <v>65</v>
      </c>
      <c r="P202" s="15">
        <v>3</v>
      </c>
      <c r="Q202" s="15">
        <v>40</v>
      </c>
      <c r="R202" s="15">
        <v>45308</v>
      </c>
      <c r="S202" s="15" t="s">
        <v>1563</v>
      </c>
      <c r="T202" s="15">
        <v>5</v>
      </c>
      <c r="U202" s="15">
        <v>416.72</v>
      </c>
      <c r="V202" s="16">
        <v>0</v>
      </c>
      <c r="W202" s="15">
        <v>416.72</v>
      </c>
      <c r="X202" s="15">
        <v>416.72</v>
      </c>
      <c r="Y202" s="15" t="s">
        <v>2123</v>
      </c>
      <c r="Z202" s="15" t="s">
        <v>2064</v>
      </c>
      <c r="AA202" s="17">
        <v>7</v>
      </c>
      <c r="AB202">
        <v>0</v>
      </c>
    </row>
    <row r="203" spans="1:28">
      <c r="A203" s="18" t="s">
        <v>493</v>
      </c>
      <c r="B203" s="18" t="s">
        <v>189</v>
      </c>
      <c r="C203" s="18" t="s">
        <v>330</v>
      </c>
      <c r="D203" s="18">
        <v>39</v>
      </c>
      <c r="E203" s="18" t="s">
        <v>54</v>
      </c>
      <c r="F203" s="18" t="s">
        <v>44</v>
      </c>
      <c r="G203" s="18" t="s">
        <v>494</v>
      </c>
      <c r="H203" s="18" t="s">
        <v>495</v>
      </c>
      <c r="I203" s="18" t="s">
        <v>496</v>
      </c>
      <c r="J203" s="18">
        <v>45680</v>
      </c>
      <c r="K203" s="18" t="s">
        <v>497</v>
      </c>
      <c r="L203" s="18" t="s">
        <v>498</v>
      </c>
      <c r="M203" s="18">
        <v>421.7</v>
      </c>
      <c r="N203" s="18">
        <v>1</v>
      </c>
      <c r="O203" s="18" t="s">
        <v>98</v>
      </c>
      <c r="P203" s="18">
        <v>3</v>
      </c>
      <c r="Q203" s="18">
        <v>59</v>
      </c>
      <c r="R203" s="18">
        <v>45684</v>
      </c>
      <c r="S203" s="18" t="s">
        <v>499</v>
      </c>
      <c r="T203" s="18">
        <v>4</v>
      </c>
      <c r="U203" s="18">
        <v>421.7</v>
      </c>
      <c r="V203" s="19">
        <v>0.1</v>
      </c>
      <c r="W203" s="18">
        <v>379.53</v>
      </c>
      <c r="X203" s="18">
        <v>438.53</v>
      </c>
      <c r="Y203" s="18" t="s">
        <v>2127</v>
      </c>
      <c r="Z203" s="18" t="s">
        <v>2064</v>
      </c>
      <c r="AA203" s="20">
        <v>6</v>
      </c>
      <c r="AB203">
        <v>94.584000000000003</v>
      </c>
    </row>
    <row r="204" spans="1:28">
      <c r="A204" s="15" t="s">
        <v>682</v>
      </c>
      <c r="B204" s="15" t="s">
        <v>683</v>
      </c>
      <c r="C204" s="15" t="s">
        <v>684</v>
      </c>
      <c r="D204" s="15">
        <v>68</v>
      </c>
      <c r="E204" s="15" t="s">
        <v>31</v>
      </c>
      <c r="F204" s="15" t="s">
        <v>223</v>
      </c>
      <c r="G204" s="15" t="s">
        <v>685</v>
      </c>
      <c r="H204" s="15" t="s">
        <v>686</v>
      </c>
      <c r="I204" s="15" t="s">
        <v>687</v>
      </c>
      <c r="J204" s="15">
        <v>45636</v>
      </c>
      <c r="K204" s="15" t="s">
        <v>688</v>
      </c>
      <c r="L204" s="15" t="s">
        <v>689</v>
      </c>
      <c r="M204" s="15">
        <v>424.82</v>
      </c>
      <c r="N204" s="15">
        <v>1</v>
      </c>
      <c r="O204" s="15" t="s">
        <v>65</v>
      </c>
      <c r="P204" s="15">
        <v>6</v>
      </c>
      <c r="Q204" s="15">
        <v>44</v>
      </c>
      <c r="R204" s="15">
        <v>45638</v>
      </c>
      <c r="S204" s="15" t="s">
        <v>690</v>
      </c>
      <c r="T204" s="15">
        <v>2</v>
      </c>
      <c r="U204" s="15">
        <v>424.82</v>
      </c>
      <c r="V204" s="16">
        <v>0</v>
      </c>
      <c r="W204" s="15">
        <v>424.82</v>
      </c>
      <c r="X204" s="15">
        <v>424.82</v>
      </c>
      <c r="Y204" s="15" t="s">
        <v>2130</v>
      </c>
      <c r="Z204" s="15" t="s">
        <v>2060</v>
      </c>
      <c r="AA204" s="17">
        <v>5</v>
      </c>
      <c r="AB204">
        <v>28.088999999999999</v>
      </c>
    </row>
    <row r="205" spans="1:28">
      <c r="A205" s="18" t="s">
        <v>438</v>
      </c>
      <c r="B205" s="18" t="s">
        <v>439</v>
      </c>
      <c r="C205" s="18" t="s">
        <v>440</v>
      </c>
      <c r="D205" s="18">
        <v>28</v>
      </c>
      <c r="E205" s="18" t="s">
        <v>54</v>
      </c>
      <c r="F205" s="18" t="s">
        <v>78</v>
      </c>
      <c r="G205" s="18" t="s">
        <v>441</v>
      </c>
      <c r="H205" s="18" t="s">
        <v>442</v>
      </c>
      <c r="I205" s="18" t="s">
        <v>1492</v>
      </c>
      <c r="J205" s="18">
        <v>45501</v>
      </c>
      <c r="K205" s="18" t="s">
        <v>1493</v>
      </c>
      <c r="L205" s="18" t="s">
        <v>689</v>
      </c>
      <c r="M205" s="18">
        <v>424.82</v>
      </c>
      <c r="N205" s="18">
        <v>1</v>
      </c>
      <c r="O205" s="18" t="s">
        <v>38</v>
      </c>
      <c r="P205" s="18">
        <v>5</v>
      </c>
      <c r="Q205" s="18">
        <v>49</v>
      </c>
      <c r="R205" s="18">
        <v>45508</v>
      </c>
      <c r="S205" s="18" t="s">
        <v>1494</v>
      </c>
      <c r="T205" s="18">
        <v>7</v>
      </c>
      <c r="U205" s="18">
        <v>424.82</v>
      </c>
      <c r="V205" s="19">
        <v>0.08</v>
      </c>
      <c r="W205" s="18">
        <v>390.83440000000002</v>
      </c>
      <c r="X205" s="18">
        <v>439.83440000000002</v>
      </c>
      <c r="Y205" s="18" t="s">
        <v>2120</v>
      </c>
      <c r="Z205" s="18" t="s">
        <v>2064</v>
      </c>
      <c r="AA205" s="20">
        <v>7</v>
      </c>
      <c r="AB205">
        <v>87.273600000000002</v>
      </c>
    </row>
    <row r="206" spans="1:28">
      <c r="A206" s="15" t="s">
        <v>461</v>
      </c>
      <c r="B206" s="15" t="s">
        <v>462</v>
      </c>
      <c r="C206" s="15" t="s">
        <v>463</v>
      </c>
      <c r="D206" s="15">
        <v>63</v>
      </c>
      <c r="E206" s="15" t="s">
        <v>31</v>
      </c>
      <c r="F206" s="15" t="s">
        <v>142</v>
      </c>
      <c r="G206" s="15" t="s">
        <v>464</v>
      </c>
      <c r="H206" s="15" t="s">
        <v>465</v>
      </c>
      <c r="I206" s="15" t="s">
        <v>1265</v>
      </c>
      <c r="J206" s="15">
        <v>45457</v>
      </c>
      <c r="K206" s="15" t="s">
        <v>1266</v>
      </c>
      <c r="L206" s="15" t="s">
        <v>556</v>
      </c>
      <c r="M206" s="15">
        <v>425.59</v>
      </c>
      <c r="N206" s="15">
        <v>1</v>
      </c>
      <c r="O206" s="15" t="s">
        <v>87</v>
      </c>
      <c r="P206" s="15">
        <v>7</v>
      </c>
      <c r="Q206" s="15">
        <v>40</v>
      </c>
      <c r="R206" s="15">
        <v>45460</v>
      </c>
      <c r="S206" s="15" t="s">
        <v>1267</v>
      </c>
      <c r="T206" s="15">
        <v>3</v>
      </c>
      <c r="U206" s="15">
        <v>425.59</v>
      </c>
      <c r="V206" s="16">
        <v>0.2</v>
      </c>
      <c r="W206" s="15">
        <v>340.47199999999998</v>
      </c>
      <c r="X206" s="15">
        <v>380.47199999999998</v>
      </c>
      <c r="Y206" s="15" t="s">
        <v>2070</v>
      </c>
      <c r="Z206" s="15" t="s">
        <v>2060</v>
      </c>
      <c r="AA206" s="17">
        <v>7</v>
      </c>
      <c r="AB206">
        <v>382.01600000000002</v>
      </c>
    </row>
    <row r="207" spans="1:28">
      <c r="A207" s="18" t="s">
        <v>361</v>
      </c>
      <c r="B207" s="18" t="s">
        <v>362</v>
      </c>
      <c r="C207" s="18" t="s">
        <v>363</v>
      </c>
      <c r="D207" s="18">
        <v>32</v>
      </c>
      <c r="E207" s="18" t="s">
        <v>43</v>
      </c>
      <c r="F207" s="18" t="s">
        <v>170</v>
      </c>
      <c r="G207" s="18" t="s">
        <v>364</v>
      </c>
      <c r="H207" s="18" t="s">
        <v>365</v>
      </c>
      <c r="I207" s="18" t="s">
        <v>1451</v>
      </c>
      <c r="J207" s="18">
        <v>45515</v>
      </c>
      <c r="K207" s="18" t="s">
        <v>1452</v>
      </c>
      <c r="L207" s="18" t="s">
        <v>556</v>
      </c>
      <c r="M207" s="18">
        <v>425.59</v>
      </c>
      <c r="N207" s="18">
        <v>1</v>
      </c>
      <c r="O207" s="18" t="s">
        <v>38</v>
      </c>
      <c r="P207" s="18">
        <v>1</v>
      </c>
      <c r="Q207" s="18">
        <v>62</v>
      </c>
      <c r="R207" s="18">
        <v>45518</v>
      </c>
      <c r="S207" s="18" t="s">
        <v>1453</v>
      </c>
      <c r="T207" s="18">
        <v>3</v>
      </c>
      <c r="U207" s="18">
        <v>425.59</v>
      </c>
      <c r="V207" s="19">
        <v>0.08</v>
      </c>
      <c r="W207" s="18">
        <v>391.5428</v>
      </c>
      <c r="X207" s="18">
        <v>453.5428</v>
      </c>
      <c r="Y207" s="18" t="s">
        <v>2095</v>
      </c>
      <c r="Z207" s="18" t="s">
        <v>2064</v>
      </c>
      <c r="AA207" s="20">
        <v>8</v>
      </c>
      <c r="AB207">
        <v>0</v>
      </c>
    </row>
    <row r="208" spans="1:28">
      <c r="A208" s="15" t="s">
        <v>486</v>
      </c>
      <c r="B208" s="15" t="s">
        <v>487</v>
      </c>
      <c r="C208" s="15" t="s">
        <v>132</v>
      </c>
      <c r="D208" s="15">
        <v>68</v>
      </c>
      <c r="E208" s="15" t="s">
        <v>54</v>
      </c>
      <c r="F208" s="15" t="s">
        <v>223</v>
      </c>
      <c r="G208" s="15" t="s">
        <v>488</v>
      </c>
      <c r="H208" s="15" t="s">
        <v>489</v>
      </c>
      <c r="I208" s="15" t="s">
        <v>1117</v>
      </c>
      <c r="J208" s="15">
        <v>45112</v>
      </c>
      <c r="K208" s="15" t="s">
        <v>1118</v>
      </c>
      <c r="L208" s="15" t="s">
        <v>944</v>
      </c>
      <c r="M208" s="15">
        <v>107.47</v>
      </c>
      <c r="N208" s="15">
        <v>4</v>
      </c>
      <c r="O208" s="15" t="s">
        <v>87</v>
      </c>
      <c r="P208" s="15">
        <v>5</v>
      </c>
      <c r="Q208" s="15">
        <v>51</v>
      </c>
      <c r="R208" s="15">
        <v>45115</v>
      </c>
      <c r="S208" s="15" t="s">
        <v>1119</v>
      </c>
      <c r="T208" s="15">
        <v>3</v>
      </c>
      <c r="U208" s="15">
        <v>429.88</v>
      </c>
      <c r="V208" s="16">
        <v>0.2</v>
      </c>
      <c r="W208" s="15">
        <v>343.904</v>
      </c>
      <c r="X208" s="15">
        <v>394.904</v>
      </c>
      <c r="Y208" s="15" t="s">
        <v>2135</v>
      </c>
      <c r="Z208" s="15" t="s">
        <v>2060</v>
      </c>
      <c r="AA208" s="17">
        <v>1</v>
      </c>
      <c r="AB208">
        <v>8.7090000000000014</v>
      </c>
    </row>
    <row r="209" spans="1:28">
      <c r="A209" s="18" t="s">
        <v>1878</v>
      </c>
      <c r="B209" s="18" t="s">
        <v>1107</v>
      </c>
      <c r="C209" s="18" t="s">
        <v>1879</v>
      </c>
      <c r="D209" s="18">
        <v>64</v>
      </c>
      <c r="E209" s="18" t="s">
        <v>43</v>
      </c>
      <c r="F209" s="18" t="s">
        <v>78</v>
      </c>
      <c r="G209" s="18" t="s">
        <v>1880</v>
      </c>
      <c r="H209" s="18" t="s">
        <v>1881</v>
      </c>
      <c r="I209" s="18" t="s">
        <v>1882</v>
      </c>
      <c r="J209" s="18">
        <v>45633</v>
      </c>
      <c r="K209" s="18" t="s">
        <v>1883</v>
      </c>
      <c r="L209" s="18" t="s">
        <v>944</v>
      </c>
      <c r="M209" s="18">
        <v>107.47</v>
      </c>
      <c r="N209" s="18">
        <v>4</v>
      </c>
      <c r="O209" s="18" t="s">
        <v>87</v>
      </c>
      <c r="P209" s="18">
        <v>5</v>
      </c>
      <c r="Q209" s="18">
        <v>42</v>
      </c>
      <c r="R209" s="18">
        <v>45637</v>
      </c>
      <c r="S209" s="18" t="s">
        <v>1884</v>
      </c>
      <c r="T209" s="18">
        <v>4</v>
      </c>
      <c r="U209" s="18">
        <v>429.88</v>
      </c>
      <c r="V209" s="19">
        <v>0.2</v>
      </c>
      <c r="W209" s="18">
        <v>343.904</v>
      </c>
      <c r="X209" s="18">
        <v>385.904</v>
      </c>
      <c r="Y209" s="18" t="s">
        <v>2146</v>
      </c>
      <c r="Z209" s="18" t="s">
        <v>2060</v>
      </c>
      <c r="AA209" s="20">
        <v>5</v>
      </c>
      <c r="AB209">
        <v>33.285000000000004</v>
      </c>
    </row>
    <row r="210" spans="1:28">
      <c r="A210" s="15" t="s">
        <v>469</v>
      </c>
      <c r="B210" s="15" t="s">
        <v>470</v>
      </c>
      <c r="C210" s="15" t="s">
        <v>471</v>
      </c>
      <c r="D210" s="15">
        <v>18</v>
      </c>
      <c r="E210" s="15" t="s">
        <v>43</v>
      </c>
      <c r="F210" s="15" t="s">
        <v>44</v>
      </c>
      <c r="G210" s="15" t="s">
        <v>472</v>
      </c>
      <c r="H210" s="15" t="s">
        <v>473</v>
      </c>
      <c r="I210" s="15" t="s">
        <v>1999</v>
      </c>
      <c r="J210" s="15">
        <v>45380</v>
      </c>
      <c r="K210" s="15" t="s">
        <v>2000</v>
      </c>
      <c r="L210" s="15" t="s">
        <v>944</v>
      </c>
      <c r="M210" s="15">
        <v>107.47</v>
      </c>
      <c r="N210" s="15">
        <v>4</v>
      </c>
      <c r="O210" s="15" t="s">
        <v>98</v>
      </c>
      <c r="P210" s="15">
        <v>3</v>
      </c>
      <c r="Q210" s="15">
        <v>65</v>
      </c>
      <c r="R210" s="15">
        <v>45385</v>
      </c>
      <c r="S210" s="15" t="s">
        <v>2001</v>
      </c>
      <c r="T210" s="15">
        <v>5</v>
      </c>
      <c r="U210" s="15">
        <v>429.88</v>
      </c>
      <c r="V210" s="16">
        <v>0.1</v>
      </c>
      <c r="W210" s="15">
        <v>386.892</v>
      </c>
      <c r="X210" s="15">
        <v>451.892</v>
      </c>
      <c r="Y210" s="15" t="s">
        <v>2150</v>
      </c>
      <c r="Z210" s="15" t="s">
        <v>2064</v>
      </c>
      <c r="AA210" s="17">
        <v>12</v>
      </c>
      <c r="AB210">
        <v>2.6792000000000002</v>
      </c>
    </row>
    <row r="211" spans="1:28">
      <c r="A211" s="18" t="s">
        <v>130</v>
      </c>
      <c r="B211" s="18" t="s">
        <v>131</v>
      </c>
      <c r="C211" s="18" t="s">
        <v>132</v>
      </c>
      <c r="D211" s="18">
        <v>30</v>
      </c>
      <c r="E211" s="18" t="s">
        <v>43</v>
      </c>
      <c r="F211" s="18" t="s">
        <v>44</v>
      </c>
      <c r="G211" s="18" t="s">
        <v>133</v>
      </c>
      <c r="H211" s="18" t="s">
        <v>134</v>
      </c>
      <c r="I211" s="18" t="s">
        <v>2020</v>
      </c>
      <c r="J211" s="18">
        <v>45188</v>
      </c>
      <c r="K211" s="18" t="s">
        <v>2021</v>
      </c>
      <c r="L211" s="18" t="s">
        <v>944</v>
      </c>
      <c r="M211" s="18">
        <v>107.47</v>
      </c>
      <c r="N211" s="18">
        <v>4</v>
      </c>
      <c r="O211" s="18" t="s">
        <v>38</v>
      </c>
      <c r="P211" s="18">
        <v>2</v>
      </c>
      <c r="Q211" s="18">
        <v>35</v>
      </c>
      <c r="R211" s="18">
        <v>45191</v>
      </c>
      <c r="S211" s="18" t="s">
        <v>2022</v>
      </c>
      <c r="T211" s="18">
        <v>3</v>
      </c>
      <c r="U211" s="18">
        <v>429.88</v>
      </c>
      <c r="V211" s="19">
        <v>0.08</v>
      </c>
      <c r="W211" s="18">
        <v>395.4896</v>
      </c>
      <c r="X211" s="18">
        <v>430.4896</v>
      </c>
      <c r="Y211" s="18" t="s">
        <v>2147</v>
      </c>
      <c r="Z211" s="18" t="s">
        <v>2064</v>
      </c>
      <c r="AA211" s="20">
        <v>3</v>
      </c>
      <c r="AB211">
        <v>102.1416</v>
      </c>
    </row>
    <row r="212" spans="1:28">
      <c r="A212" s="15" t="s">
        <v>625</v>
      </c>
      <c r="B212" s="15" t="s">
        <v>131</v>
      </c>
      <c r="C212" s="15" t="s">
        <v>626</v>
      </c>
      <c r="D212" s="15">
        <v>47</v>
      </c>
      <c r="E212" s="15" t="s">
        <v>54</v>
      </c>
      <c r="F212" s="15" t="s">
        <v>78</v>
      </c>
      <c r="G212" s="15" t="s">
        <v>627</v>
      </c>
      <c r="H212" s="15" t="s">
        <v>628</v>
      </c>
      <c r="I212" s="15" t="s">
        <v>629</v>
      </c>
      <c r="J212" s="15">
        <v>45076</v>
      </c>
      <c r="K212" s="15" t="s">
        <v>630</v>
      </c>
      <c r="L212" s="15" t="s">
        <v>386</v>
      </c>
      <c r="M212" s="15">
        <v>431.44</v>
      </c>
      <c r="N212" s="15">
        <v>1</v>
      </c>
      <c r="O212" s="15" t="s">
        <v>65</v>
      </c>
      <c r="P212" s="15">
        <v>7</v>
      </c>
      <c r="Q212" s="15">
        <v>35</v>
      </c>
      <c r="R212" s="15">
        <v>45080</v>
      </c>
      <c r="S212" s="15" t="s">
        <v>631</v>
      </c>
      <c r="T212" s="15">
        <v>4</v>
      </c>
      <c r="U212" s="15">
        <v>431.44</v>
      </c>
      <c r="V212" s="16">
        <v>0</v>
      </c>
      <c r="W212" s="15">
        <v>431.44</v>
      </c>
      <c r="X212" s="15">
        <v>431.44</v>
      </c>
      <c r="Y212" s="15" t="s">
        <v>2151</v>
      </c>
      <c r="Z212" s="15" t="s">
        <v>2060</v>
      </c>
      <c r="AA212" s="17">
        <v>4</v>
      </c>
      <c r="AB212">
        <v>330.77249999999992</v>
      </c>
    </row>
    <row r="213" spans="1:28">
      <c r="A213" s="18" t="s">
        <v>753</v>
      </c>
      <c r="B213" s="18" t="s">
        <v>754</v>
      </c>
      <c r="C213" s="18" t="s">
        <v>755</v>
      </c>
      <c r="D213" s="18">
        <v>43</v>
      </c>
      <c r="E213" s="18" t="s">
        <v>54</v>
      </c>
      <c r="F213" s="18" t="s">
        <v>161</v>
      </c>
      <c r="G213" s="18" t="s">
        <v>756</v>
      </c>
      <c r="H213" s="18" t="s">
        <v>757</v>
      </c>
      <c r="I213" s="18" t="s">
        <v>1558</v>
      </c>
      <c r="J213" s="18">
        <v>44966</v>
      </c>
      <c r="K213" s="18" t="s">
        <v>1559</v>
      </c>
      <c r="L213" s="18" t="s">
        <v>484</v>
      </c>
      <c r="M213" s="18">
        <v>87.09</v>
      </c>
      <c r="N213" s="18">
        <v>5</v>
      </c>
      <c r="O213" s="18" t="s">
        <v>65</v>
      </c>
      <c r="P213" s="18">
        <v>7</v>
      </c>
      <c r="Q213" s="18">
        <v>56</v>
      </c>
      <c r="R213" s="18">
        <v>44971</v>
      </c>
      <c r="S213" s="18" t="s">
        <v>1560</v>
      </c>
      <c r="T213" s="18">
        <v>5</v>
      </c>
      <c r="U213" s="18">
        <v>435.45000000000005</v>
      </c>
      <c r="V213" s="19">
        <v>0</v>
      </c>
      <c r="W213" s="18">
        <v>435.45000000000005</v>
      </c>
      <c r="X213" s="18">
        <v>435.45000000000005</v>
      </c>
      <c r="Y213" s="18" t="s">
        <v>2117</v>
      </c>
      <c r="Z213" s="18" t="s">
        <v>2060</v>
      </c>
      <c r="AA213" s="20">
        <v>2</v>
      </c>
      <c r="AB213">
        <v>58.387499999999996</v>
      </c>
    </row>
    <row r="214" spans="1:28">
      <c r="A214" s="15" t="s">
        <v>1935</v>
      </c>
      <c r="B214" s="15" t="s">
        <v>1936</v>
      </c>
      <c r="C214" s="15" t="s">
        <v>1937</v>
      </c>
      <c r="D214" s="15">
        <v>54</v>
      </c>
      <c r="E214" s="15" t="s">
        <v>43</v>
      </c>
      <c r="F214" s="15" t="s">
        <v>78</v>
      </c>
      <c r="G214" s="15" t="s">
        <v>1938</v>
      </c>
      <c r="H214" s="15" t="s">
        <v>1939</v>
      </c>
      <c r="I214" s="15" t="s">
        <v>1940</v>
      </c>
      <c r="J214" s="15">
        <v>45587</v>
      </c>
      <c r="K214" s="15" t="s">
        <v>1941</v>
      </c>
      <c r="L214" s="15" t="s">
        <v>484</v>
      </c>
      <c r="M214" s="15">
        <v>87.09</v>
      </c>
      <c r="N214" s="15">
        <v>5</v>
      </c>
      <c r="O214" s="15" t="s">
        <v>60</v>
      </c>
      <c r="P214" s="15">
        <v>7</v>
      </c>
      <c r="Q214" s="15">
        <v>40</v>
      </c>
      <c r="R214" s="15">
        <v>45589</v>
      </c>
      <c r="S214" s="15" t="s">
        <v>1942</v>
      </c>
      <c r="T214" s="15">
        <v>2</v>
      </c>
      <c r="U214" s="15">
        <v>435.45000000000005</v>
      </c>
      <c r="V214" s="16">
        <v>0.15</v>
      </c>
      <c r="W214" s="15">
        <v>370.13250000000005</v>
      </c>
      <c r="X214" s="15">
        <v>410.13250000000005</v>
      </c>
      <c r="Y214" s="15" t="s">
        <v>2152</v>
      </c>
      <c r="Z214" s="15" t="s">
        <v>2060</v>
      </c>
      <c r="AA214" s="17">
        <v>2</v>
      </c>
      <c r="AB214">
        <v>18.8504</v>
      </c>
    </row>
    <row r="215" spans="1:28">
      <c r="A215" s="18" t="s">
        <v>149</v>
      </c>
      <c r="B215" s="18" t="s">
        <v>150</v>
      </c>
      <c r="C215" s="18" t="s">
        <v>151</v>
      </c>
      <c r="D215" s="18">
        <v>44</v>
      </c>
      <c r="E215" s="18" t="s">
        <v>43</v>
      </c>
      <c r="F215" s="18" t="s">
        <v>92</v>
      </c>
      <c r="G215" s="18" t="s">
        <v>152</v>
      </c>
      <c r="H215" s="18" t="s">
        <v>153</v>
      </c>
      <c r="I215" s="18" t="s">
        <v>154</v>
      </c>
      <c r="J215" s="18">
        <v>45377</v>
      </c>
      <c r="K215" s="18" t="s">
        <v>155</v>
      </c>
      <c r="L215" s="18" t="s">
        <v>156</v>
      </c>
      <c r="M215" s="18">
        <v>220.27</v>
      </c>
      <c r="N215" s="18">
        <v>2</v>
      </c>
      <c r="O215" s="18" t="s">
        <v>65</v>
      </c>
      <c r="P215" s="18">
        <v>3</v>
      </c>
      <c r="Q215" s="18">
        <v>39</v>
      </c>
      <c r="R215" s="18">
        <v>45382</v>
      </c>
      <c r="S215" s="18" t="s">
        <v>157</v>
      </c>
      <c r="T215" s="18">
        <v>5</v>
      </c>
      <c r="U215" s="18">
        <v>440.54</v>
      </c>
      <c r="V215" s="19">
        <v>0</v>
      </c>
      <c r="W215" s="18">
        <v>440.54</v>
      </c>
      <c r="X215" s="18">
        <v>440.54</v>
      </c>
      <c r="Y215" s="18" t="s">
        <v>2129</v>
      </c>
      <c r="Z215" s="18" t="s">
        <v>2064</v>
      </c>
      <c r="AA215" s="20">
        <v>9</v>
      </c>
      <c r="AB215">
        <v>54.52000000000001</v>
      </c>
    </row>
    <row r="216" spans="1:28">
      <c r="A216" s="15" t="s">
        <v>649</v>
      </c>
      <c r="B216" s="15" t="s">
        <v>650</v>
      </c>
      <c r="C216" s="15" t="s">
        <v>651</v>
      </c>
      <c r="D216" s="15">
        <v>45</v>
      </c>
      <c r="E216" s="15" t="s">
        <v>54</v>
      </c>
      <c r="F216" s="15" t="s">
        <v>92</v>
      </c>
      <c r="G216" s="15" t="s">
        <v>652</v>
      </c>
      <c r="H216" s="15" t="s">
        <v>653</v>
      </c>
      <c r="I216" s="15" t="s">
        <v>668</v>
      </c>
      <c r="J216" s="15">
        <v>45673</v>
      </c>
      <c r="K216" s="15" t="s">
        <v>669</v>
      </c>
      <c r="L216" s="15" t="s">
        <v>156</v>
      </c>
      <c r="M216" s="15">
        <v>220.27</v>
      </c>
      <c r="N216" s="15">
        <v>2</v>
      </c>
      <c r="O216" s="15" t="s">
        <v>87</v>
      </c>
      <c r="P216" s="15">
        <v>1</v>
      </c>
      <c r="Q216" s="15">
        <v>63</v>
      </c>
      <c r="R216" s="15">
        <v>45675</v>
      </c>
      <c r="S216" s="15" t="s">
        <v>670</v>
      </c>
      <c r="T216" s="15">
        <v>2</v>
      </c>
      <c r="U216" s="15">
        <v>440.54</v>
      </c>
      <c r="V216" s="16">
        <v>0.2</v>
      </c>
      <c r="W216" s="15">
        <v>352.43200000000002</v>
      </c>
      <c r="X216" s="15">
        <v>415.43200000000002</v>
      </c>
      <c r="Y216" s="15" t="s">
        <v>2114</v>
      </c>
      <c r="Z216" s="15" t="s">
        <v>2064</v>
      </c>
      <c r="AA216" s="17">
        <v>7</v>
      </c>
      <c r="AB216">
        <v>85.975999999999999</v>
      </c>
    </row>
    <row r="217" spans="1:28">
      <c r="A217" s="18" t="s">
        <v>415</v>
      </c>
      <c r="B217" s="18" t="s">
        <v>231</v>
      </c>
      <c r="C217" s="18" t="s">
        <v>416</v>
      </c>
      <c r="D217" s="18">
        <v>28</v>
      </c>
      <c r="E217" s="18" t="s">
        <v>54</v>
      </c>
      <c r="F217" s="18" t="s">
        <v>142</v>
      </c>
      <c r="G217" s="18" t="s">
        <v>417</v>
      </c>
      <c r="H217" s="18" t="s">
        <v>418</v>
      </c>
      <c r="I217" s="18" t="s">
        <v>955</v>
      </c>
      <c r="J217" s="18">
        <v>45550</v>
      </c>
      <c r="K217" s="18" t="s">
        <v>956</v>
      </c>
      <c r="L217" s="18" t="s">
        <v>156</v>
      </c>
      <c r="M217" s="18">
        <v>220.27</v>
      </c>
      <c r="N217" s="18">
        <v>2</v>
      </c>
      <c r="O217" s="18" t="s">
        <v>87</v>
      </c>
      <c r="P217" s="18">
        <v>1</v>
      </c>
      <c r="Q217" s="18">
        <v>42</v>
      </c>
      <c r="R217" s="18">
        <v>45552</v>
      </c>
      <c r="S217" s="18" t="s">
        <v>957</v>
      </c>
      <c r="T217" s="18">
        <v>2</v>
      </c>
      <c r="U217" s="18">
        <v>440.54</v>
      </c>
      <c r="V217" s="19">
        <v>0.2</v>
      </c>
      <c r="W217" s="18">
        <v>352.43200000000002</v>
      </c>
      <c r="X217" s="18">
        <v>394.43200000000002</v>
      </c>
      <c r="Y217" s="18" t="s">
        <v>2088</v>
      </c>
      <c r="Z217" s="18" t="s">
        <v>2064</v>
      </c>
      <c r="AA217" s="20">
        <v>12</v>
      </c>
      <c r="AB217">
        <v>44.070399999999999</v>
      </c>
    </row>
    <row r="218" spans="1:28">
      <c r="A218" s="15" t="s">
        <v>296</v>
      </c>
      <c r="B218" s="15" t="s">
        <v>297</v>
      </c>
      <c r="C218" s="15" t="s">
        <v>298</v>
      </c>
      <c r="D218" s="15">
        <v>48</v>
      </c>
      <c r="E218" s="15" t="s">
        <v>43</v>
      </c>
      <c r="F218" s="15" t="s">
        <v>92</v>
      </c>
      <c r="G218" s="15" t="s">
        <v>299</v>
      </c>
      <c r="H218" s="15" t="s">
        <v>300</v>
      </c>
      <c r="I218" s="15" t="s">
        <v>1854</v>
      </c>
      <c r="J218" s="15">
        <v>45310</v>
      </c>
      <c r="K218" s="15" t="s">
        <v>1855</v>
      </c>
      <c r="L218" s="15" t="s">
        <v>156</v>
      </c>
      <c r="M218" s="15">
        <v>220.27</v>
      </c>
      <c r="N218" s="15">
        <v>2</v>
      </c>
      <c r="O218" s="15" t="s">
        <v>60</v>
      </c>
      <c r="P218" s="15">
        <v>7</v>
      </c>
      <c r="Q218" s="15">
        <v>42</v>
      </c>
      <c r="R218" s="15">
        <v>45317</v>
      </c>
      <c r="S218" s="15" t="s">
        <v>1856</v>
      </c>
      <c r="T218" s="15">
        <v>7</v>
      </c>
      <c r="U218" s="15">
        <v>440.54</v>
      </c>
      <c r="V218" s="16">
        <v>0.15</v>
      </c>
      <c r="W218" s="15">
        <v>374.459</v>
      </c>
      <c r="X218" s="15">
        <v>416.459</v>
      </c>
      <c r="Y218" s="15" t="s">
        <v>2080</v>
      </c>
      <c r="Z218" s="15" t="s">
        <v>2072</v>
      </c>
      <c r="AA218" s="17">
        <v>10</v>
      </c>
      <c r="AB218">
        <v>32.241</v>
      </c>
    </row>
    <row r="219" spans="1:28">
      <c r="A219" s="18" t="s">
        <v>779</v>
      </c>
      <c r="B219" s="18" t="s">
        <v>780</v>
      </c>
      <c r="C219" s="18" t="s">
        <v>781</v>
      </c>
      <c r="D219" s="18">
        <v>32</v>
      </c>
      <c r="E219" s="18" t="s">
        <v>31</v>
      </c>
      <c r="F219" s="18" t="s">
        <v>161</v>
      </c>
      <c r="G219" s="18" t="s">
        <v>782</v>
      </c>
      <c r="H219" s="18" t="s">
        <v>783</v>
      </c>
      <c r="I219" s="18" t="s">
        <v>866</v>
      </c>
      <c r="J219" s="18">
        <v>45537</v>
      </c>
      <c r="K219" s="18" t="s">
        <v>867</v>
      </c>
      <c r="L219" s="18" t="s">
        <v>741</v>
      </c>
      <c r="M219" s="18">
        <v>110.95</v>
      </c>
      <c r="N219" s="18">
        <v>4</v>
      </c>
      <c r="O219" s="18" t="s">
        <v>60</v>
      </c>
      <c r="P219" s="18">
        <v>1</v>
      </c>
      <c r="Q219" s="18">
        <v>60</v>
      </c>
      <c r="R219" s="18">
        <v>45541</v>
      </c>
      <c r="S219" s="18" t="s">
        <v>868</v>
      </c>
      <c r="T219" s="18">
        <v>4</v>
      </c>
      <c r="U219" s="18">
        <v>443.8</v>
      </c>
      <c r="V219" s="19">
        <v>0.15</v>
      </c>
      <c r="W219" s="18">
        <v>377.23</v>
      </c>
      <c r="X219" s="18">
        <v>437.23</v>
      </c>
      <c r="Y219" s="18" t="s">
        <v>2074</v>
      </c>
      <c r="Z219" s="18" t="s">
        <v>2064</v>
      </c>
      <c r="AA219" s="20">
        <v>10</v>
      </c>
      <c r="AB219">
        <v>63.411999999999999</v>
      </c>
    </row>
    <row r="220" spans="1:28">
      <c r="A220" s="15" t="s">
        <v>595</v>
      </c>
      <c r="B220" s="15" t="s">
        <v>596</v>
      </c>
      <c r="C220" s="15" t="s">
        <v>597</v>
      </c>
      <c r="D220" s="15">
        <v>21</v>
      </c>
      <c r="E220" s="15" t="s">
        <v>31</v>
      </c>
      <c r="F220" s="15" t="s">
        <v>44</v>
      </c>
      <c r="G220" s="15" t="s">
        <v>598</v>
      </c>
      <c r="H220" s="15" t="s">
        <v>599</v>
      </c>
      <c r="I220" s="15" t="s">
        <v>1445</v>
      </c>
      <c r="J220" s="15">
        <v>45064</v>
      </c>
      <c r="K220" s="15" t="s">
        <v>1446</v>
      </c>
      <c r="L220" s="15" t="s">
        <v>640</v>
      </c>
      <c r="M220" s="15">
        <v>445.81</v>
      </c>
      <c r="N220" s="15">
        <v>1</v>
      </c>
      <c r="O220" s="15" t="s">
        <v>87</v>
      </c>
      <c r="P220" s="15">
        <v>7</v>
      </c>
      <c r="Q220" s="15">
        <v>41</v>
      </c>
      <c r="R220" s="15">
        <v>45071</v>
      </c>
      <c r="S220" s="15" t="s">
        <v>1447</v>
      </c>
      <c r="T220" s="15">
        <v>7</v>
      </c>
      <c r="U220" s="15">
        <v>445.81</v>
      </c>
      <c r="V220" s="16">
        <v>0.2</v>
      </c>
      <c r="W220" s="15">
        <v>356.64800000000002</v>
      </c>
      <c r="X220" s="15">
        <v>397.64800000000002</v>
      </c>
      <c r="Y220" s="15" t="s">
        <v>2153</v>
      </c>
      <c r="Z220" s="15" t="s">
        <v>2072</v>
      </c>
      <c r="AA220" s="17">
        <v>9</v>
      </c>
      <c r="AB220">
        <v>145.45599999999999</v>
      </c>
    </row>
    <row r="221" spans="1:28">
      <c r="A221" s="18" t="s">
        <v>1249</v>
      </c>
      <c r="B221" s="18" t="s">
        <v>68</v>
      </c>
      <c r="C221" s="18" t="s">
        <v>1250</v>
      </c>
      <c r="D221" s="18">
        <v>40</v>
      </c>
      <c r="E221" s="18" t="s">
        <v>31</v>
      </c>
      <c r="F221" s="18" t="s">
        <v>78</v>
      </c>
      <c r="G221" s="18" t="s">
        <v>1251</v>
      </c>
      <c r="H221" s="18" t="s">
        <v>1252</v>
      </c>
      <c r="I221" s="18" t="s">
        <v>1507</v>
      </c>
      <c r="J221" s="18">
        <v>45195</v>
      </c>
      <c r="K221" s="18" t="s">
        <v>1508</v>
      </c>
      <c r="L221" s="18" t="s">
        <v>640</v>
      </c>
      <c r="M221" s="18">
        <v>445.81</v>
      </c>
      <c r="N221" s="18">
        <v>1</v>
      </c>
      <c r="O221" s="18" t="s">
        <v>65</v>
      </c>
      <c r="P221" s="18">
        <v>1</v>
      </c>
      <c r="Q221" s="18">
        <v>51</v>
      </c>
      <c r="R221" s="18">
        <v>45198</v>
      </c>
      <c r="S221" s="18" t="s">
        <v>1509</v>
      </c>
      <c r="T221" s="18">
        <v>3</v>
      </c>
      <c r="U221" s="18">
        <v>445.81</v>
      </c>
      <c r="V221" s="19">
        <v>0</v>
      </c>
      <c r="W221" s="18">
        <v>445.81</v>
      </c>
      <c r="X221" s="18">
        <v>445.81</v>
      </c>
      <c r="Y221" s="18" t="s">
        <v>2076</v>
      </c>
      <c r="Z221" s="18" t="s">
        <v>2064</v>
      </c>
      <c r="AA221" s="20">
        <v>7</v>
      </c>
      <c r="AB221">
        <v>27.260000000000005</v>
      </c>
    </row>
    <row r="222" spans="1:28">
      <c r="A222" s="15" t="s">
        <v>220</v>
      </c>
      <c r="B222" s="15" t="s">
        <v>221</v>
      </c>
      <c r="C222" s="15" t="s">
        <v>222</v>
      </c>
      <c r="D222" s="15">
        <v>33</v>
      </c>
      <c r="E222" s="15" t="s">
        <v>54</v>
      </c>
      <c r="F222" s="15" t="s">
        <v>223</v>
      </c>
      <c r="G222" s="15" t="s">
        <v>224</v>
      </c>
      <c r="H222" s="15" t="s">
        <v>225</v>
      </c>
      <c r="I222" s="15" t="s">
        <v>226</v>
      </c>
      <c r="J222" s="15">
        <v>45125</v>
      </c>
      <c r="K222" s="15" t="s">
        <v>227</v>
      </c>
      <c r="L222" s="15" t="s">
        <v>228</v>
      </c>
      <c r="M222" s="15">
        <v>461.07</v>
      </c>
      <c r="N222" s="15">
        <v>1</v>
      </c>
      <c r="O222" s="15" t="s">
        <v>38</v>
      </c>
      <c r="P222" s="15">
        <v>1</v>
      </c>
      <c r="Q222" s="15">
        <v>56</v>
      </c>
      <c r="R222" s="15">
        <v>45126</v>
      </c>
      <c r="S222" s="15" t="s">
        <v>229</v>
      </c>
      <c r="T222" s="15">
        <v>1</v>
      </c>
      <c r="U222" s="15">
        <v>461.07</v>
      </c>
      <c r="V222" s="16">
        <v>0.08</v>
      </c>
      <c r="W222" s="15">
        <v>424.18439999999998</v>
      </c>
      <c r="X222" s="15">
        <v>480.18439999999998</v>
      </c>
      <c r="Y222" s="15" t="s">
        <v>2141</v>
      </c>
      <c r="Z222" s="15" t="s">
        <v>2072</v>
      </c>
      <c r="AA222" s="17">
        <v>4</v>
      </c>
      <c r="AB222">
        <v>221.41800000000001</v>
      </c>
    </row>
    <row r="223" spans="1:28">
      <c r="A223" s="18" t="s">
        <v>239</v>
      </c>
      <c r="B223" s="18" t="s">
        <v>68</v>
      </c>
      <c r="C223" s="18" t="s">
        <v>240</v>
      </c>
      <c r="D223" s="18">
        <v>52</v>
      </c>
      <c r="E223" s="18" t="s">
        <v>54</v>
      </c>
      <c r="F223" s="18" t="s">
        <v>44</v>
      </c>
      <c r="G223" s="18" t="s">
        <v>241</v>
      </c>
      <c r="H223" s="18" t="s">
        <v>242</v>
      </c>
      <c r="I223" s="18" t="s">
        <v>716</v>
      </c>
      <c r="J223" s="18">
        <v>45427</v>
      </c>
      <c r="K223" s="18" t="s">
        <v>717</v>
      </c>
      <c r="L223" s="18" t="s">
        <v>228</v>
      </c>
      <c r="M223" s="18">
        <v>461.07</v>
      </c>
      <c r="N223" s="18">
        <v>1</v>
      </c>
      <c r="O223" s="18" t="s">
        <v>87</v>
      </c>
      <c r="P223" s="18">
        <v>7</v>
      </c>
      <c r="Q223" s="18">
        <v>57</v>
      </c>
      <c r="R223" s="18">
        <v>45434</v>
      </c>
      <c r="S223" s="18" t="s">
        <v>718</v>
      </c>
      <c r="T223" s="18">
        <v>7</v>
      </c>
      <c r="U223" s="18">
        <v>461.07</v>
      </c>
      <c r="V223" s="19">
        <v>0.2</v>
      </c>
      <c r="W223" s="18">
        <v>368.85599999999999</v>
      </c>
      <c r="X223" s="18">
        <v>425.85599999999999</v>
      </c>
      <c r="Y223" s="18" t="s">
        <v>2123</v>
      </c>
      <c r="Z223" s="18" t="s">
        <v>2072</v>
      </c>
      <c r="AA223" s="20">
        <v>6</v>
      </c>
      <c r="AB223">
        <v>114.51900000000001</v>
      </c>
    </row>
    <row r="224" spans="1:28">
      <c r="A224" s="15" t="s">
        <v>753</v>
      </c>
      <c r="B224" s="15" t="s">
        <v>754</v>
      </c>
      <c r="C224" s="15" t="s">
        <v>755</v>
      </c>
      <c r="D224" s="15">
        <v>43</v>
      </c>
      <c r="E224" s="15" t="s">
        <v>54</v>
      </c>
      <c r="F224" s="15" t="s">
        <v>161</v>
      </c>
      <c r="G224" s="15" t="s">
        <v>756</v>
      </c>
      <c r="H224" s="15" t="s">
        <v>757</v>
      </c>
      <c r="I224" s="15" t="s">
        <v>1839</v>
      </c>
      <c r="J224" s="15">
        <v>45432</v>
      </c>
      <c r="K224" s="15" t="s">
        <v>1840</v>
      </c>
      <c r="L224" s="15" t="s">
        <v>228</v>
      </c>
      <c r="M224" s="15">
        <v>461.07</v>
      </c>
      <c r="N224" s="15">
        <v>1</v>
      </c>
      <c r="O224" s="15" t="s">
        <v>38</v>
      </c>
      <c r="P224" s="15">
        <v>1</v>
      </c>
      <c r="Q224" s="15">
        <v>42</v>
      </c>
      <c r="R224" s="15">
        <v>45433</v>
      </c>
      <c r="S224" s="15" t="s">
        <v>1841</v>
      </c>
      <c r="T224" s="15">
        <v>1</v>
      </c>
      <c r="U224" s="15">
        <v>461.07</v>
      </c>
      <c r="V224" s="16">
        <v>0.08</v>
      </c>
      <c r="W224" s="15">
        <v>424.18439999999998</v>
      </c>
      <c r="X224" s="15">
        <v>466.18439999999998</v>
      </c>
      <c r="Y224" s="15" t="s">
        <v>2117</v>
      </c>
      <c r="Z224" s="15" t="s">
        <v>2072</v>
      </c>
      <c r="AA224" s="17">
        <v>1</v>
      </c>
      <c r="AB224">
        <v>126.50999999999999</v>
      </c>
    </row>
    <row r="225" spans="1:28">
      <c r="A225" s="18" t="s">
        <v>304</v>
      </c>
      <c r="B225" s="18" t="s">
        <v>305</v>
      </c>
      <c r="C225" s="18" t="s">
        <v>306</v>
      </c>
      <c r="D225" s="18">
        <v>26</v>
      </c>
      <c r="E225" s="18" t="s">
        <v>54</v>
      </c>
      <c r="F225" s="18" t="s">
        <v>170</v>
      </c>
      <c r="G225" s="18" t="s">
        <v>307</v>
      </c>
      <c r="H225" s="18" t="s">
        <v>308</v>
      </c>
      <c r="I225" s="18" t="s">
        <v>1286</v>
      </c>
      <c r="J225" s="18">
        <v>45454</v>
      </c>
      <c r="K225" s="18" t="s">
        <v>1287</v>
      </c>
      <c r="L225" s="18" t="s">
        <v>660</v>
      </c>
      <c r="M225" s="18">
        <v>235.63</v>
      </c>
      <c r="N225" s="18">
        <v>2</v>
      </c>
      <c r="O225" s="18" t="s">
        <v>60</v>
      </c>
      <c r="P225" s="18">
        <v>4</v>
      </c>
      <c r="Q225" s="18">
        <v>44</v>
      </c>
      <c r="R225" s="18">
        <v>45458</v>
      </c>
      <c r="S225" s="18" t="s">
        <v>1288</v>
      </c>
      <c r="T225" s="18">
        <v>4</v>
      </c>
      <c r="U225" s="18">
        <v>471.26</v>
      </c>
      <c r="V225" s="19">
        <v>0.15</v>
      </c>
      <c r="W225" s="18">
        <v>400.57100000000003</v>
      </c>
      <c r="X225" s="18">
        <v>444.57100000000003</v>
      </c>
      <c r="Y225" s="18" t="s">
        <v>2109</v>
      </c>
      <c r="Z225" s="18" t="s">
        <v>2072</v>
      </c>
      <c r="AA225" s="20">
        <v>9</v>
      </c>
      <c r="AB225">
        <v>79.226399999999998</v>
      </c>
    </row>
    <row r="226" spans="1:28">
      <c r="A226" s="15" t="s">
        <v>319</v>
      </c>
      <c r="B226" s="15" t="s">
        <v>320</v>
      </c>
      <c r="C226" s="15" t="s">
        <v>321</v>
      </c>
      <c r="D226" s="15">
        <v>45</v>
      </c>
      <c r="E226" s="15" t="s">
        <v>31</v>
      </c>
      <c r="F226" s="15" t="s">
        <v>44</v>
      </c>
      <c r="G226" s="15" t="s">
        <v>322</v>
      </c>
      <c r="H226" s="15" t="s">
        <v>323</v>
      </c>
      <c r="I226" s="15" t="s">
        <v>1070</v>
      </c>
      <c r="J226" s="15">
        <v>45079</v>
      </c>
      <c r="K226" s="15" t="s">
        <v>1071</v>
      </c>
      <c r="L226" s="15" t="s">
        <v>290</v>
      </c>
      <c r="M226" s="15">
        <v>157.63999999999999</v>
      </c>
      <c r="N226" s="15">
        <v>3</v>
      </c>
      <c r="O226" s="15" t="s">
        <v>87</v>
      </c>
      <c r="P226" s="15">
        <v>2</v>
      </c>
      <c r="Q226" s="15">
        <v>47</v>
      </c>
      <c r="R226" s="15">
        <v>45085</v>
      </c>
      <c r="S226" s="15" t="s">
        <v>1072</v>
      </c>
      <c r="T226" s="15">
        <v>6</v>
      </c>
      <c r="U226" s="15">
        <v>472.91999999999996</v>
      </c>
      <c r="V226" s="16">
        <v>0.2</v>
      </c>
      <c r="W226" s="15">
        <v>378.33599999999996</v>
      </c>
      <c r="X226" s="15">
        <v>425.33599999999996</v>
      </c>
      <c r="Y226" s="15" t="s">
        <v>2102</v>
      </c>
      <c r="Z226" s="15" t="s">
        <v>2064</v>
      </c>
      <c r="AA226" s="17">
        <v>9</v>
      </c>
      <c r="AB226">
        <v>37.262</v>
      </c>
    </row>
    <row r="227" spans="1:28">
      <c r="A227" s="18" t="s">
        <v>649</v>
      </c>
      <c r="B227" s="18" t="s">
        <v>650</v>
      </c>
      <c r="C227" s="18" t="s">
        <v>651</v>
      </c>
      <c r="D227" s="18">
        <v>45</v>
      </c>
      <c r="E227" s="18" t="s">
        <v>54</v>
      </c>
      <c r="F227" s="18" t="s">
        <v>92</v>
      </c>
      <c r="G227" s="18" t="s">
        <v>652</v>
      </c>
      <c r="H227" s="18" t="s">
        <v>653</v>
      </c>
      <c r="I227" s="18" t="s">
        <v>1687</v>
      </c>
      <c r="J227" s="18">
        <v>45404</v>
      </c>
      <c r="K227" s="18" t="s">
        <v>1688</v>
      </c>
      <c r="L227" s="18" t="s">
        <v>290</v>
      </c>
      <c r="M227" s="18">
        <v>157.63999999999999</v>
      </c>
      <c r="N227" s="18">
        <v>3</v>
      </c>
      <c r="O227" s="18" t="s">
        <v>38</v>
      </c>
      <c r="P227" s="18">
        <v>4</v>
      </c>
      <c r="Q227" s="18">
        <v>66</v>
      </c>
      <c r="R227" s="18">
        <v>45405</v>
      </c>
      <c r="S227" s="18" t="s">
        <v>1402</v>
      </c>
      <c r="T227" s="18">
        <v>1</v>
      </c>
      <c r="U227" s="18">
        <v>472.91999999999996</v>
      </c>
      <c r="V227" s="19">
        <v>0.08</v>
      </c>
      <c r="W227" s="18">
        <v>435.08639999999997</v>
      </c>
      <c r="X227" s="18">
        <v>501.08639999999997</v>
      </c>
      <c r="Y227" s="18" t="s">
        <v>2114</v>
      </c>
      <c r="Z227" s="18" t="s">
        <v>2060</v>
      </c>
      <c r="AA227" s="20">
        <v>10</v>
      </c>
      <c r="AB227">
        <v>144.44400000000002</v>
      </c>
    </row>
    <row r="228" spans="1:28">
      <c r="A228" s="15" t="s">
        <v>850</v>
      </c>
      <c r="B228" s="15" t="s">
        <v>851</v>
      </c>
      <c r="C228" s="15" t="s">
        <v>390</v>
      </c>
      <c r="D228" s="15">
        <v>37</v>
      </c>
      <c r="E228" s="15" t="s">
        <v>54</v>
      </c>
      <c r="F228" s="15" t="s">
        <v>223</v>
      </c>
      <c r="G228" s="15" t="s">
        <v>852</v>
      </c>
      <c r="H228" s="15" t="s">
        <v>853</v>
      </c>
      <c r="I228" s="15" t="s">
        <v>1280</v>
      </c>
      <c r="J228" s="15">
        <v>45335</v>
      </c>
      <c r="K228" s="15" t="s">
        <v>1281</v>
      </c>
      <c r="L228" s="15" t="s">
        <v>294</v>
      </c>
      <c r="M228" s="15">
        <v>158.53</v>
      </c>
      <c r="N228" s="15">
        <v>3</v>
      </c>
      <c r="O228" s="15" t="s">
        <v>98</v>
      </c>
      <c r="P228" s="15">
        <v>3</v>
      </c>
      <c r="Q228" s="15">
        <v>63</v>
      </c>
      <c r="R228" s="15">
        <v>45336</v>
      </c>
      <c r="S228" s="15" t="s">
        <v>1282</v>
      </c>
      <c r="T228" s="15">
        <v>1</v>
      </c>
      <c r="U228" s="15">
        <v>475.59000000000003</v>
      </c>
      <c r="V228" s="16">
        <v>0.1</v>
      </c>
      <c r="W228" s="15">
        <v>428.03100000000001</v>
      </c>
      <c r="X228" s="15">
        <v>491.03100000000001</v>
      </c>
      <c r="Y228" s="15" t="s">
        <v>2133</v>
      </c>
      <c r="Z228" s="15" t="s">
        <v>2060</v>
      </c>
      <c r="AA228" s="17">
        <v>9</v>
      </c>
      <c r="AB228">
        <v>46.332000000000001</v>
      </c>
    </row>
    <row r="229" spans="1:28">
      <c r="A229" s="18" t="s">
        <v>1194</v>
      </c>
      <c r="B229" s="18" t="s">
        <v>42</v>
      </c>
      <c r="C229" s="18" t="s">
        <v>1195</v>
      </c>
      <c r="D229" s="18">
        <v>34</v>
      </c>
      <c r="E229" s="18" t="s">
        <v>54</v>
      </c>
      <c r="F229" s="18" t="s">
        <v>223</v>
      </c>
      <c r="G229" s="18" t="s">
        <v>1196</v>
      </c>
      <c r="H229" s="18" t="s">
        <v>1197</v>
      </c>
      <c r="I229" s="18" t="s">
        <v>1430</v>
      </c>
      <c r="J229" s="18">
        <v>45324</v>
      </c>
      <c r="K229" s="18" t="s">
        <v>1431</v>
      </c>
      <c r="L229" s="18" t="s">
        <v>294</v>
      </c>
      <c r="M229" s="18">
        <v>158.53</v>
      </c>
      <c r="N229" s="18">
        <v>3</v>
      </c>
      <c r="O229" s="18" t="s">
        <v>87</v>
      </c>
      <c r="P229" s="18">
        <v>6</v>
      </c>
      <c r="Q229" s="18">
        <v>38</v>
      </c>
      <c r="R229" s="18">
        <v>45331</v>
      </c>
      <c r="S229" s="18" t="s">
        <v>1432</v>
      </c>
      <c r="T229" s="18">
        <v>7</v>
      </c>
      <c r="U229" s="18">
        <v>475.59000000000003</v>
      </c>
      <c r="V229" s="19">
        <v>0.2</v>
      </c>
      <c r="W229" s="18">
        <v>380.47200000000004</v>
      </c>
      <c r="X229" s="18">
        <v>418.47200000000004</v>
      </c>
      <c r="Y229" s="18" t="s">
        <v>2061</v>
      </c>
      <c r="Z229" s="18" t="s">
        <v>2064</v>
      </c>
      <c r="AA229" s="20">
        <v>8</v>
      </c>
      <c r="AB229">
        <v>53.188000000000002</v>
      </c>
    </row>
    <row r="230" spans="1:28">
      <c r="A230" s="15" t="s">
        <v>1241</v>
      </c>
      <c r="B230" s="15" t="s">
        <v>1242</v>
      </c>
      <c r="C230" s="15" t="s">
        <v>1243</v>
      </c>
      <c r="D230" s="15">
        <v>55</v>
      </c>
      <c r="E230" s="15" t="s">
        <v>43</v>
      </c>
      <c r="F230" s="15" t="s">
        <v>161</v>
      </c>
      <c r="G230" s="15" t="s">
        <v>1244</v>
      </c>
      <c r="H230" s="15" t="s">
        <v>1245</v>
      </c>
      <c r="I230" s="15" t="s">
        <v>1516</v>
      </c>
      <c r="J230" s="15">
        <v>45388</v>
      </c>
      <c r="K230" s="15" t="s">
        <v>1517</v>
      </c>
      <c r="L230" s="15" t="s">
        <v>576</v>
      </c>
      <c r="M230" s="15">
        <v>477.52</v>
      </c>
      <c r="N230" s="15">
        <v>1</v>
      </c>
      <c r="O230" s="15" t="s">
        <v>65</v>
      </c>
      <c r="P230" s="15">
        <v>7</v>
      </c>
      <c r="Q230" s="15">
        <v>48</v>
      </c>
      <c r="R230" s="15">
        <v>45393</v>
      </c>
      <c r="S230" s="15" t="s">
        <v>1518</v>
      </c>
      <c r="T230" s="15">
        <v>5</v>
      </c>
      <c r="U230" s="15">
        <v>477.52</v>
      </c>
      <c r="V230" s="16">
        <v>0</v>
      </c>
      <c r="W230" s="15">
        <v>477.52</v>
      </c>
      <c r="X230" s="15">
        <v>477.52</v>
      </c>
      <c r="Y230" s="15" t="s">
        <v>2101</v>
      </c>
      <c r="Z230" s="15" t="s">
        <v>2060</v>
      </c>
      <c r="AA230" s="17">
        <v>7</v>
      </c>
      <c r="AB230">
        <v>119.2384</v>
      </c>
    </row>
    <row r="231" spans="1:28">
      <c r="A231" s="18" t="s">
        <v>296</v>
      </c>
      <c r="B231" s="18" t="s">
        <v>297</v>
      </c>
      <c r="C231" s="18" t="s">
        <v>298</v>
      </c>
      <c r="D231" s="18">
        <v>48</v>
      </c>
      <c r="E231" s="18" t="s">
        <v>43</v>
      </c>
      <c r="F231" s="18" t="s">
        <v>92</v>
      </c>
      <c r="G231" s="18" t="s">
        <v>299</v>
      </c>
      <c r="H231" s="18" t="s">
        <v>300</v>
      </c>
      <c r="I231" s="18" t="s">
        <v>790</v>
      </c>
      <c r="J231" s="18">
        <v>45499</v>
      </c>
      <c r="K231" s="18" t="s">
        <v>791</v>
      </c>
      <c r="L231" s="18" t="s">
        <v>326</v>
      </c>
      <c r="M231" s="18">
        <v>481.48</v>
      </c>
      <c r="N231" s="18">
        <v>1</v>
      </c>
      <c r="O231" s="18" t="s">
        <v>38</v>
      </c>
      <c r="P231" s="18">
        <v>1</v>
      </c>
      <c r="Q231" s="18">
        <v>69</v>
      </c>
      <c r="R231" s="18">
        <v>45503</v>
      </c>
      <c r="S231" s="18" t="s">
        <v>792</v>
      </c>
      <c r="T231" s="18">
        <v>4</v>
      </c>
      <c r="U231" s="18">
        <v>481.48</v>
      </c>
      <c r="V231" s="19">
        <v>0.08</v>
      </c>
      <c r="W231" s="18">
        <v>442.96160000000003</v>
      </c>
      <c r="X231" s="18">
        <v>511.96160000000003</v>
      </c>
      <c r="Y231" s="18" t="s">
        <v>2080</v>
      </c>
      <c r="Z231" s="18" t="s">
        <v>2064</v>
      </c>
      <c r="AA231" s="20">
        <v>12</v>
      </c>
      <c r="AB231">
        <v>63.095000000000006</v>
      </c>
    </row>
    <row r="232" spans="1:28">
      <c r="A232" s="15" t="s">
        <v>361</v>
      </c>
      <c r="B232" s="15" t="s">
        <v>362</v>
      </c>
      <c r="C232" s="15" t="s">
        <v>363</v>
      </c>
      <c r="D232" s="15">
        <v>32</v>
      </c>
      <c r="E232" s="15" t="s">
        <v>43</v>
      </c>
      <c r="F232" s="15" t="s">
        <v>170</v>
      </c>
      <c r="G232" s="15" t="s">
        <v>364</v>
      </c>
      <c r="H232" s="15" t="s">
        <v>365</v>
      </c>
      <c r="I232" s="15" t="s">
        <v>1470</v>
      </c>
      <c r="J232" s="15">
        <v>45143</v>
      </c>
      <c r="K232" s="15" t="s">
        <v>1471</v>
      </c>
      <c r="L232" s="15" t="s">
        <v>326</v>
      </c>
      <c r="M232" s="15">
        <v>481.48</v>
      </c>
      <c r="N232" s="15">
        <v>1</v>
      </c>
      <c r="O232" s="15" t="s">
        <v>60</v>
      </c>
      <c r="P232" s="15">
        <v>4</v>
      </c>
      <c r="Q232" s="15">
        <v>67</v>
      </c>
      <c r="R232" s="15">
        <v>45150</v>
      </c>
      <c r="S232" s="15" t="s">
        <v>1472</v>
      </c>
      <c r="T232" s="15">
        <v>7</v>
      </c>
      <c r="U232" s="15">
        <v>481.48</v>
      </c>
      <c r="V232" s="16">
        <v>0.15</v>
      </c>
      <c r="W232" s="15">
        <v>409.25800000000004</v>
      </c>
      <c r="X232" s="15">
        <v>476.25800000000004</v>
      </c>
      <c r="Y232" s="15" t="s">
        <v>2095</v>
      </c>
      <c r="Z232" s="15" t="s">
        <v>2064</v>
      </c>
      <c r="AA232" s="17">
        <v>7</v>
      </c>
      <c r="AB232">
        <v>120.90899999999999</v>
      </c>
    </row>
    <row r="233" spans="1:28">
      <c r="A233" s="18" t="s">
        <v>195</v>
      </c>
      <c r="B233" s="18" t="s">
        <v>196</v>
      </c>
      <c r="C233" s="18" t="s">
        <v>197</v>
      </c>
      <c r="D233" s="18">
        <v>34</v>
      </c>
      <c r="E233" s="18" t="s">
        <v>31</v>
      </c>
      <c r="F233" s="18" t="s">
        <v>92</v>
      </c>
      <c r="G233" s="18" t="s">
        <v>198</v>
      </c>
      <c r="H233" s="18" t="s">
        <v>199</v>
      </c>
      <c r="I233" s="18" t="s">
        <v>2011</v>
      </c>
      <c r="J233" s="18">
        <v>45283</v>
      </c>
      <c r="K233" s="18" t="s">
        <v>2012</v>
      </c>
      <c r="L233" s="18" t="s">
        <v>326</v>
      </c>
      <c r="M233" s="18">
        <v>481.48</v>
      </c>
      <c r="N233" s="18">
        <v>1</v>
      </c>
      <c r="O233" s="18" t="s">
        <v>38</v>
      </c>
      <c r="P233" s="18">
        <v>5</v>
      </c>
      <c r="Q233" s="18">
        <v>70</v>
      </c>
      <c r="R233" s="18">
        <v>45287</v>
      </c>
      <c r="S233" s="18" t="s">
        <v>2013</v>
      </c>
      <c r="T233" s="18">
        <v>4</v>
      </c>
      <c r="U233" s="18">
        <v>481.48</v>
      </c>
      <c r="V233" s="19">
        <v>0.08</v>
      </c>
      <c r="W233" s="18">
        <v>442.96160000000003</v>
      </c>
      <c r="X233" s="18">
        <v>512.96160000000009</v>
      </c>
      <c r="Y233" s="18" t="s">
        <v>2086</v>
      </c>
      <c r="Z233" s="18" t="s">
        <v>2060</v>
      </c>
      <c r="AA233" s="20">
        <v>4</v>
      </c>
      <c r="AB233">
        <v>47.291999999999994</v>
      </c>
    </row>
    <row r="234" spans="1:28">
      <c r="A234" s="15" t="s">
        <v>319</v>
      </c>
      <c r="B234" s="15" t="s">
        <v>320</v>
      </c>
      <c r="C234" s="15" t="s">
        <v>321</v>
      </c>
      <c r="D234" s="15">
        <v>45</v>
      </c>
      <c r="E234" s="15" t="s">
        <v>31</v>
      </c>
      <c r="F234" s="15" t="s">
        <v>44</v>
      </c>
      <c r="G234" s="15" t="s">
        <v>322</v>
      </c>
      <c r="H234" s="15" t="s">
        <v>323</v>
      </c>
      <c r="I234" s="15" t="s">
        <v>1204</v>
      </c>
      <c r="J234" s="15">
        <v>45271</v>
      </c>
      <c r="K234" s="15" t="s">
        <v>1205</v>
      </c>
      <c r="L234" s="15" t="s">
        <v>49</v>
      </c>
      <c r="M234" s="15">
        <v>166.28</v>
      </c>
      <c r="N234" s="15">
        <v>3</v>
      </c>
      <c r="O234" s="15" t="s">
        <v>98</v>
      </c>
      <c r="P234" s="15">
        <v>6</v>
      </c>
      <c r="Q234" s="15">
        <v>59</v>
      </c>
      <c r="R234" s="15">
        <v>45275</v>
      </c>
      <c r="S234" s="15" t="s">
        <v>1206</v>
      </c>
      <c r="T234" s="15">
        <v>4</v>
      </c>
      <c r="U234" s="15">
        <v>498.84000000000003</v>
      </c>
      <c r="V234" s="16">
        <v>0.1</v>
      </c>
      <c r="W234" s="15">
        <v>448.95600000000002</v>
      </c>
      <c r="X234" s="15">
        <v>507.95600000000002</v>
      </c>
      <c r="Y234" s="15" t="s">
        <v>2102</v>
      </c>
      <c r="Z234" s="15" t="s">
        <v>2060</v>
      </c>
      <c r="AA234" s="17">
        <v>11</v>
      </c>
      <c r="AB234">
        <v>12.814</v>
      </c>
    </row>
    <row r="235" spans="1:28">
      <c r="A235" s="18" t="s">
        <v>1460</v>
      </c>
      <c r="B235" s="18" t="s">
        <v>276</v>
      </c>
      <c r="C235" s="18" t="s">
        <v>1461</v>
      </c>
      <c r="D235" s="18">
        <v>30</v>
      </c>
      <c r="E235" s="18" t="s">
        <v>31</v>
      </c>
      <c r="F235" s="18" t="s">
        <v>223</v>
      </c>
      <c r="G235" s="18" t="s">
        <v>1462</v>
      </c>
      <c r="H235" s="18" t="s">
        <v>1463</v>
      </c>
      <c r="I235" s="18" t="s">
        <v>1776</v>
      </c>
      <c r="J235" s="18">
        <v>45393</v>
      </c>
      <c r="K235" s="18" t="s">
        <v>1777</v>
      </c>
      <c r="L235" s="18" t="s">
        <v>245</v>
      </c>
      <c r="M235" s="18">
        <v>126.19</v>
      </c>
      <c r="N235" s="18">
        <v>4</v>
      </c>
      <c r="O235" s="18" t="s">
        <v>38</v>
      </c>
      <c r="P235" s="18">
        <v>5</v>
      </c>
      <c r="Q235" s="18">
        <v>69</v>
      </c>
      <c r="R235" s="18">
        <v>45396</v>
      </c>
      <c r="S235" s="18" t="s">
        <v>1778</v>
      </c>
      <c r="T235" s="18">
        <v>3</v>
      </c>
      <c r="U235" s="18">
        <v>504.76</v>
      </c>
      <c r="V235" s="19">
        <v>0.08</v>
      </c>
      <c r="W235" s="18">
        <v>464.37919999999997</v>
      </c>
      <c r="X235" s="18">
        <v>533.37919999999997</v>
      </c>
      <c r="Y235" s="18" t="s">
        <v>2084</v>
      </c>
      <c r="Z235" s="18" t="s">
        <v>2060</v>
      </c>
      <c r="AA235" s="20">
        <v>2</v>
      </c>
      <c r="AB235">
        <v>0</v>
      </c>
    </row>
    <row r="236" spans="1:28">
      <c r="A236" s="15" t="s">
        <v>167</v>
      </c>
      <c r="B236" s="15" t="s">
        <v>168</v>
      </c>
      <c r="C236" s="15" t="s">
        <v>169</v>
      </c>
      <c r="D236" s="15">
        <v>46</v>
      </c>
      <c r="E236" s="15" t="s">
        <v>31</v>
      </c>
      <c r="F236" s="15" t="s">
        <v>170</v>
      </c>
      <c r="G236" s="15" t="s">
        <v>171</v>
      </c>
      <c r="H236" s="15" t="s">
        <v>172</v>
      </c>
      <c r="I236" s="15" t="s">
        <v>967</v>
      </c>
      <c r="J236" s="15">
        <v>45591</v>
      </c>
      <c r="K236" s="15" t="s">
        <v>968</v>
      </c>
      <c r="L236" s="15" t="s">
        <v>128</v>
      </c>
      <c r="M236" s="15">
        <v>257.06</v>
      </c>
      <c r="N236" s="15">
        <v>2</v>
      </c>
      <c r="O236" s="15" t="s">
        <v>60</v>
      </c>
      <c r="P236" s="15">
        <v>7</v>
      </c>
      <c r="Q236" s="15">
        <v>59</v>
      </c>
      <c r="R236" s="15">
        <v>45592</v>
      </c>
      <c r="S236" s="15" t="s">
        <v>969</v>
      </c>
      <c r="T236" s="15">
        <v>1</v>
      </c>
      <c r="U236" s="15">
        <v>514.12</v>
      </c>
      <c r="V236" s="16">
        <v>0.15</v>
      </c>
      <c r="W236" s="15">
        <v>437.00200000000001</v>
      </c>
      <c r="X236" s="15">
        <v>496.00200000000001</v>
      </c>
      <c r="Y236" s="15" t="s">
        <v>2069</v>
      </c>
      <c r="Z236" s="15" t="s">
        <v>2060</v>
      </c>
      <c r="AA236" s="17">
        <v>11</v>
      </c>
      <c r="AB236">
        <v>54.502000000000002</v>
      </c>
    </row>
    <row r="237" spans="1:28">
      <c r="A237" s="18" t="s">
        <v>212</v>
      </c>
      <c r="B237" s="18" t="s">
        <v>213</v>
      </c>
      <c r="C237" s="18" t="s">
        <v>214</v>
      </c>
      <c r="D237" s="18">
        <v>39</v>
      </c>
      <c r="E237" s="18" t="s">
        <v>43</v>
      </c>
      <c r="F237" s="18" t="s">
        <v>161</v>
      </c>
      <c r="G237" s="18" t="s">
        <v>215</v>
      </c>
      <c r="H237" s="18" t="s">
        <v>216</v>
      </c>
      <c r="I237" s="18" t="s">
        <v>217</v>
      </c>
      <c r="J237" s="18">
        <v>45352</v>
      </c>
      <c r="K237" s="18" t="s">
        <v>218</v>
      </c>
      <c r="L237" s="18" t="s">
        <v>185</v>
      </c>
      <c r="M237" s="18">
        <v>104.18</v>
      </c>
      <c r="N237" s="18">
        <v>5</v>
      </c>
      <c r="O237" s="18" t="s">
        <v>38</v>
      </c>
      <c r="P237" s="18">
        <v>5</v>
      </c>
      <c r="Q237" s="18">
        <v>58</v>
      </c>
      <c r="R237" s="18">
        <v>45356</v>
      </c>
      <c r="S237" s="18" t="s">
        <v>219</v>
      </c>
      <c r="T237" s="18">
        <v>4</v>
      </c>
      <c r="U237" s="18">
        <v>520.90000000000009</v>
      </c>
      <c r="V237" s="19">
        <v>0.08</v>
      </c>
      <c r="W237" s="18">
        <v>479.22800000000007</v>
      </c>
      <c r="X237" s="18">
        <v>537.22800000000007</v>
      </c>
      <c r="Y237" s="18" t="s">
        <v>2085</v>
      </c>
      <c r="Z237" s="18" t="s">
        <v>2060</v>
      </c>
      <c r="AA237" s="20">
        <v>4</v>
      </c>
      <c r="AB237">
        <v>163.63800000000001</v>
      </c>
    </row>
    <row r="238" spans="1:28">
      <c r="A238" s="15" t="s">
        <v>503</v>
      </c>
      <c r="B238" s="15" t="s">
        <v>504</v>
      </c>
      <c r="C238" s="15" t="s">
        <v>390</v>
      </c>
      <c r="D238" s="15">
        <v>57</v>
      </c>
      <c r="E238" s="15" t="s">
        <v>43</v>
      </c>
      <c r="F238" s="15" t="s">
        <v>223</v>
      </c>
      <c r="G238" s="15" t="s">
        <v>505</v>
      </c>
      <c r="H238" s="15" t="s">
        <v>506</v>
      </c>
      <c r="I238" s="15" t="s">
        <v>507</v>
      </c>
      <c r="J238" s="15">
        <v>45346</v>
      </c>
      <c r="K238" s="15" t="s">
        <v>508</v>
      </c>
      <c r="L238" s="15" t="s">
        <v>137</v>
      </c>
      <c r="M238" s="15">
        <v>175.93</v>
      </c>
      <c r="N238" s="15">
        <v>3</v>
      </c>
      <c r="O238" s="15" t="s">
        <v>38</v>
      </c>
      <c r="P238" s="15">
        <v>4</v>
      </c>
      <c r="Q238" s="15">
        <v>46</v>
      </c>
      <c r="R238" s="15">
        <v>45351</v>
      </c>
      <c r="S238" s="15" t="s">
        <v>509</v>
      </c>
      <c r="T238" s="15">
        <v>5</v>
      </c>
      <c r="U238" s="15">
        <v>527.79</v>
      </c>
      <c r="V238" s="16">
        <v>0.08</v>
      </c>
      <c r="W238" s="15">
        <v>485.56679999999994</v>
      </c>
      <c r="X238" s="15">
        <v>531.56679999999994</v>
      </c>
      <c r="Y238" s="15" t="s">
        <v>2142</v>
      </c>
      <c r="Z238" s="15" t="s">
        <v>2064</v>
      </c>
      <c r="AA238" s="17">
        <v>10</v>
      </c>
      <c r="AB238">
        <v>218.18400000000003</v>
      </c>
    </row>
    <row r="239" spans="1:28">
      <c r="A239" s="18" t="s">
        <v>388</v>
      </c>
      <c r="B239" s="18" t="s">
        <v>389</v>
      </c>
      <c r="C239" s="18" t="s">
        <v>390</v>
      </c>
      <c r="D239" s="18">
        <v>47</v>
      </c>
      <c r="E239" s="18" t="s">
        <v>43</v>
      </c>
      <c r="F239" s="18" t="s">
        <v>92</v>
      </c>
      <c r="G239" s="18" t="s">
        <v>391</v>
      </c>
      <c r="H239" s="18" t="s">
        <v>392</v>
      </c>
      <c r="I239" s="18" t="s">
        <v>1329</v>
      </c>
      <c r="J239" s="18">
        <v>45012</v>
      </c>
      <c r="K239" s="18" t="s">
        <v>1330</v>
      </c>
      <c r="L239" s="18" t="s">
        <v>137</v>
      </c>
      <c r="M239" s="18">
        <v>175.93</v>
      </c>
      <c r="N239" s="18">
        <v>3</v>
      </c>
      <c r="O239" s="18" t="s">
        <v>65</v>
      </c>
      <c r="P239" s="18">
        <v>3</v>
      </c>
      <c r="Q239" s="18">
        <v>58</v>
      </c>
      <c r="R239" s="18">
        <v>45017</v>
      </c>
      <c r="S239" s="18" t="s">
        <v>1331</v>
      </c>
      <c r="T239" s="18">
        <v>5</v>
      </c>
      <c r="U239" s="18">
        <v>527.79</v>
      </c>
      <c r="V239" s="19">
        <v>0</v>
      </c>
      <c r="W239" s="18">
        <v>527.79</v>
      </c>
      <c r="X239" s="18">
        <v>527.79</v>
      </c>
      <c r="Y239" s="18" t="s">
        <v>2137</v>
      </c>
      <c r="Z239" s="18" t="s">
        <v>2064</v>
      </c>
      <c r="AA239" s="20">
        <v>7</v>
      </c>
      <c r="AB239">
        <v>235.63000000000002</v>
      </c>
    </row>
    <row r="240" spans="1:28">
      <c r="A240" s="15" t="s">
        <v>28</v>
      </c>
      <c r="B240" s="15" t="s">
        <v>29</v>
      </c>
      <c r="C240" s="15" t="s">
        <v>30</v>
      </c>
      <c r="D240" s="15">
        <v>37</v>
      </c>
      <c r="E240" s="15" t="s">
        <v>31</v>
      </c>
      <c r="F240" s="15" t="s">
        <v>32</v>
      </c>
      <c r="G240" s="15" t="s">
        <v>33</v>
      </c>
      <c r="H240" s="15" t="s">
        <v>34</v>
      </c>
      <c r="I240" s="15" t="s">
        <v>1156</v>
      </c>
      <c r="J240" s="15">
        <v>45162</v>
      </c>
      <c r="K240" s="15" t="s">
        <v>1157</v>
      </c>
      <c r="L240" s="15" t="s">
        <v>237</v>
      </c>
      <c r="M240" s="15">
        <v>132.97</v>
      </c>
      <c r="N240" s="15">
        <v>4</v>
      </c>
      <c r="O240" s="15" t="s">
        <v>98</v>
      </c>
      <c r="P240" s="15">
        <v>3</v>
      </c>
      <c r="Q240" s="15">
        <v>43</v>
      </c>
      <c r="R240" s="15">
        <v>45163</v>
      </c>
      <c r="S240" s="15" t="s">
        <v>1158</v>
      </c>
      <c r="T240" s="15">
        <v>1</v>
      </c>
      <c r="U240" s="15">
        <v>531.88</v>
      </c>
      <c r="V240" s="16">
        <v>0.1</v>
      </c>
      <c r="W240" s="15">
        <v>478.69200000000001</v>
      </c>
      <c r="X240" s="15">
        <v>521.69200000000001</v>
      </c>
      <c r="Y240" s="15" t="s">
        <v>2140</v>
      </c>
      <c r="Z240" s="15" t="s">
        <v>2060</v>
      </c>
      <c r="AA240" s="17">
        <v>10</v>
      </c>
      <c r="AB240">
        <v>10.6896</v>
      </c>
    </row>
    <row r="241" spans="1:28">
      <c r="A241" s="18" t="s">
        <v>478</v>
      </c>
      <c r="B241" s="18" t="s">
        <v>110</v>
      </c>
      <c r="C241" s="18" t="s">
        <v>479</v>
      </c>
      <c r="D241" s="18">
        <v>33</v>
      </c>
      <c r="E241" s="18" t="s">
        <v>31</v>
      </c>
      <c r="F241" s="18" t="s">
        <v>170</v>
      </c>
      <c r="G241" s="18" t="s">
        <v>480</v>
      </c>
      <c r="H241" s="18" t="s">
        <v>481</v>
      </c>
      <c r="I241" s="18" t="s">
        <v>1979</v>
      </c>
      <c r="J241" s="18">
        <v>45528</v>
      </c>
      <c r="K241" s="18" t="s">
        <v>1980</v>
      </c>
      <c r="L241" s="18" t="s">
        <v>237</v>
      </c>
      <c r="M241" s="18">
        <v>132.97</v>
      </c>
      <c r="N241" s="18">
        <v>4</v>
      </c>
      <c r="O241" s="18" t="s">
        <v>65</v>
      </c>
      <c r="P241" s="18">
        <v>6</v>
      </c>
      <c r="Q241" s="18">
        <v>63</v>
      </c>
      <c r="R241" s="18">
        <v>45535</v>
      </c>
      <c r="S241" s="18" t="s">
        <v>1981</v>
      </c>
      <c r="T241" s="18">
        <v>7</v>
      </c>
      <c r="U241" s="18">
        <v>531.88</v>
      </c>
      <c r="V241" s="19">
        <v>0</v>
      </c>
      <c r="W241" s="18">
        <v>531.88</v>
      </c>
      <c r="X241" s="18">
        <v>531.88</v>
      </c>
      <c r="Y241" s="18" t="s">
        <v>2119</v>
      </c>
      <c r="Z241" s="18" t="s">
        <v>2064</v>
      </c>
      <c r="AA241" s="20">
        <v>11</v>
      </c>
      <c r="AB241">
        <v>113.05200000000001</v>
      </c>
    </row>
    <row r="242" spans="1:28">
      <c r="A242" s="15" t="s">
        <v>121</v>
      </c>
      <c r="B242" s="15" t="s">
        <v>122</v>
      </c>
      <c r="C242" s="15" t="s">
        <v>123</v>
      </c>
      <c r="D242" s="15">
        <v>20</v>
      </c>
      <c r="E242" s="15" t="s">
        <v>31</v>
      </c>
      <c r="F242" s="15" t="s">
        <v>92</v>
      </c>
      <c r="G242" s="15" t="s">
        <v>124</v>
      </c>
      <c r="H242" s="15" t="s">
        <v>125</v>
      </c>
      <c r="I242" s="15" t="s">
        <v>942</v>
      </c>
      <c r="J242" s="15">
        <v>44981</v>
      </c>
      <c r="K242" s="15" t="s">
        <v>943</v>
      </c>
      <c r="L242" s="15" t="s">
        <v>944</v>
      </c>
      <c r="M242" s="15">
        <v>107.47</v>
      </c>
      <c r="N242" s="15">
        <v>5</v>
      </c>
      <c r="O242" s="15" t="s">
        <v>87</v>
      </c>
      <c r="P242" s="15">
        <v>6</v>
      </c>
      <c r="Q242" s="15">
        <v>48</v>
      </c>
      <c r="R242" s="15">
        <v>44987</v>
      </c>
      <c r="S242" s="15" t="s">
        <v>945</v>
      </c>
      <c r="T242" s="15">
        <v>6</v>
      </c>
      <c r="U242" s="15">
        <v>537.35</v>
      </c>
      <c r="V242" s="16">
        <v>0.2</v>
      </c>
      <c r="W242" s="15">
        <v>429.88</v>
      </c>
      <c r="X242" s="15">
        <v>477.88</v>
      </c>
      <c r="Y242" s="15" t="s">
        <v>2148</v>
      </c>
      <c r="Z242" s="15" t="s">
        <v>2072</v>
      </c>
      <c r="AA242" s="17">
        <v>12</v>
      </c>
      <c r="AB242">
        <v>49.884000000000007</v>
      </c>
    </row>
    <row r="243" spans="1:28">
      <c r="A243" s="18" t="s">
        <v>336</v>
      </c>
      <c r="B243" s="18" t="s">
        <v>337</v>
      </c>
      <c r="C243" s="18" t="s">
        <v>338</v>
      </c>
      <c r="D243" s="18">
        <v>23</v>
      </c>
      <c r="E243" s="18" t="s">
        <v>31</v>
      </c>
      <c r="F243" s="18" t="s">
        <v>32</v>
      </c>
      <c r="G243" s="18" t="s">
        <v>339</v>
      </c>
      <c r="H243" s="18" t="s">
        <v>340</v>
      </c>
      <c r="I243" s="18" t="s">
        <v>1648</v>
      </c>
      <c r="J243" s="18">
        <v>45622</v>
      </c>
      <c r="K243" s="18" t="s">
        <v>1649</v>
      </c>
      <c r="L243" s="18" t="s">
        <v>944</v>
      </c>
      <c r="M243" s="18">
        <v>107.47</v>
      </c>
      <c r="N243" s="18">
        <v>5</v>
      </c>
      <c r="O243" s="18" t="s">
        <v>38</v>
      </c>
      <c r="P243" s="18">
        <v>4</v>
      </c>
      <c r="Q243" s="18">
        <v>37</v>
      </c>
      <c r="R243" s="18">
        <v>45628</v>
      </c>
      <c r="S243" s="18" t="s">
        <v>1650</v>
      </c>
      <c r="T243" s="18">
        <v>6</v>
      </c>
      <c r="U243" s="18">
        <v>537.35</v>
      </c>
      <c r="V243" s="19">
        <v>0.08</v>
      </c>
      <c r="W243" s="18">
        <v>494.36200000000002</v>
      </c>
      <c r="X243" s="18">
        <v>531.36200000000008</v>
      </c>
      <c r="Y243" s="18" t="s">
        <v>2091</v>
      </c>
      <c r="Z243" s="18" t="s">
        <v>2064</v>
      </c>
      <c r="AA243" s="20">
        <v>7</v>
      </c>
      <c r="AB243">
        <v>170.23599999999999</v>
      </c>
    </row>
    <row r="244" spans="1:28">
      <c r="A244" s="15" t="s">
        <v>734</v>
      </c>
      <c r="B244" s="15" t="s">
        <v>735</v>
      </c>
      <c r="C244" s="15" t="s">
        <v>736</v>
      </c>
      <c r="D244" s="15">
        <v>30</v>
      </c>
      <c r="E244" s="15" t="s">
        <v>31</v>
      </c>
      <c r="F244" s="15" t="s">
        <v>161</v>
      </c>
      <c r="G244" s="15" t="s">
        <v>737</v>
      </c>
      <c r="H244" s="15" t="s">
        <v>738</v>
      </c>
      <c r="I244" s="15" t="s">
        <v>1651</v>
      </c>
      <c r="J244" s="15">
        <v>45417</v>
      </c>
      <c r="K244" s="15" t="s">
        <v>1652</v>
      </c>
      <c r="L244" s="15" t="s">
        <v>944</v>
      </c>
      <c r="M244" s="15">
        <v>107.47</v>
      </c>
      <c r="N244" s="15">
        <v>5</v>
      </c>
      <c r="O244" s="15" t="s">
        <v>98</v>
      </c>
      <c r="P244" s="15">
        <v>4</v>
      </c>
      <c r="Q244" s="15">
        <v>47</v>
      </c>
      <c r="R244" s="15">
        <v>45424</v>
      </c>
      <c r="S244" s="15" t="s">
        <v>1653</v>
      </c>
      <c r="T244" s="15">
        <v>7</v>
      </c>
      <c r="U244" s="15">
        <v>537.35</v>
      </c>
      <c r="V244" s="16">
        <v>0.1</v>
      </c>
      <c r="W244" s="15">
        <v>483.61500000000001</v>
      </c>
      <c r="X244" s="15">
        <v>530.61500000000001</v>
      </c>
      <c r="Y244" s="15" t="s">
        <v>2093</v>
      </c>
      <c r="Z244" s="15" t="s">
        <v>2064</v>
      </c>
      <c r="AA244" s="17">
        <v>5</v>
      </c>
      <c r="AB244">
        <v>181.82</v>
      </c>
    </row>
    <row r="245" spans="1:28">
      <c r="A245" s="18" t="s">
        <v>510</v>
      </c>
      <c r="B245" s="18" t="s">
        <v>511</v>
      </c>
      <c r="C245" s="18" t="s">
        <v>512</v>
      </c>
      <c r="D245" s="18">
        <v>64</v>
      </c>
      <c r="E245" s="18" t="s">
        <v>31</v>
      </c>
      <c r="F245" s="18" t="s">
        <v>32</v>
      </c>
      <c r="G245" s="18" t="s">
        <v>513</v>
      </c>
      <c r="H245" s="18" t="s">
        <v>514</v>
      </c>
      <c r="I245" s="18" t="s">
        <v>1796</v>
      </c>
      <c r="J245" s="18">
        <v>45147</v>
      </c>
      <c r="K245" s="18" t="s">
        <v>1797</v>
      </c>
      <c r="L245" s="18" t="s">
        <v>944</v>
      </c>
      <c r="M245" s="18">
        <v>107.47</v>
      </c>
      <c r="N245" s="18">
        <v>5</v>
      </c>
      <c r="O245" s="18" t="s">
        <v>87</v>
      </c>
      <c r="P245" s="18">
        <v>6</v>
      </c>
      <c r="Q245" s="18">
        <v>47</v>
      </c>
      <c r="R245" s="18">
        <v>45149</v>
      </c>
      <c r="S245" s="18" t="s">
        <v>1798</v>
      </c>
      <c r="T245" s="18">
        <v>2</v>
      </c>
      <c r="U245" s="18">
        <v>537.35</v>
      </c>
      <c r="V245" s="19">
        <v>0.2</v>
      </c>
      <c r="W245" s="18">
        <v>429.88</v>
      </c>
      <c r="X245" s="18">
        <v>476.88</v>
      </c>
      <c r="Y245" s="18" t="s">
        <v>2096</v>
      </c>
      <c r="Z245" s="18" t="s">
        <v>2060</v>
      </c>
      <c r="AA245" s="20">
        <v>6</v>
      </c>
      <c r="AB245">
        <v>403.03</v>
      </c>
    </row>
    <row r="246" spans="1:28">
      <c r="A246" s="15" t="s">
        <v>195</v>
      </c>
      <c r="B246" s="15" t="s">
        <v>196</v>
      </c>
      <c r="C246" s="15" t="s">
        <v>197</v>
      </c>
      <c r="D246" s="15">
        <v>34</v>
      </c>
      <c r="E246" s="15" t="s">
        <v>31</v>
      </c>
      <c r="F246" s="15" t="s">
        <v>92</v>
      </c>
      <c r="G246" s="15" t="s">
        <v>198</v>
      </c>
      <c r="H246" s="15" t="s">
        <v>199</v>
      </c>
      <c r="I246" s="15" t="s">
        <v>1830</v>
      </c>
      <c r="J246" s="15">
        <v>45504</v>
      </c>
      <c r="K246" s="15" t="s">
        <v>1831</v>
      </c>
      <c r="L246" s="15" t="s">
        <v>944</v>
      </c>
      <c r="M246" s="15">
        <v>107.47</v>
      </c>
      <c r="N246" s="15">
        <v>5</v>
      </c>
      <c r="O246" s="15" t="s">
        <v>98</v>
      </c>
      <c r="P246" s="15">
        <v>5</v>
      </c>
      <c r="Q246" s="15">
        <v>48</v>
      </c>
      <c r="R246" s="15">
        <v>45505</v>
      </c>
      <c r="S246" s="15" t="s">
        <v>1832</v>
      </c>
      <c r="T246" s="15">
        <v>1</v>
      </c>
      <c r="U246" s="15">
        <v>537.35</v>
      </c>
      <c r="V246" s="16">
        <v>0.1</v>
      </c>
      <c r="W246" s="15">
        <v>483.61500000000001</v>
      </c>
      <c r="X246" s="15">
        <v>531.61500000000001</v>
      </c>
      <c r="Y246" s="15" t="s">
        <v>2086</v>
      </c>
      <c r="Z246" s="15" t="s">
        <v>2060</v>
      </c>
      <c r="AA246" s="17">
        <v>2</v>
      </c>
      <c r="AB246">
        <v>73.805999999999997</v>
      </c>
    </row>
    <row r="247" spans="1:28">
      <c r="A247" s="18" t="s">
        <v>549</v>
      </c>
      <c r="B247" s="18" t="s">
        <v>550</v>
      </c>
      <c r="C247" s="18" t="s">
        <v>551</v>
      </c>
      <c r="D247" s="18">
        <v>33</v>
      </c>
      <c r="E247" s="18" t="s">
        <v>54</v>
      </c>
      <c r="F247" s="18" t="s">
        <v>170</v>
      </c>
      <c r="G247" s="18" t="s">
        <v>552</v>
      </c>
      <c r="H247" s="18" t="s">
        <v>553</v>
      </c>
      <c r="I247" s="18" t="s">
        <v>1182</v>
      </c>
      <c r="J247" s="18">
        <v>45257</v>
      </c>
      <c r="K247" s="18" t="s">
        <v>1183</v>
      </c>
      <c r="L247" s="18" t="s">
        <v>175</v>
      </c>
      <c r="M247" s="18">
        <v>272.51</v>
      </c>
      <c r="N247" s="18">
        <v>2</v>
      </c>
      <c r="O247" s="18" t="s">
        <v>98</v>
      </c>
      <c r="P247" s="18">
        <v>4</v>
      </c>
      <c r="Q247" s="18">
        <v>48</v>
      </c>
      <c r="R247" s="18">
        <v>45264</v>
      </c>
      <c r="S247" s="18" t="s">
        <v>1184</v>
      </c>
      <c r="T247" s="18">
        <v>7</v>
      </c>
      <c r="U247" s="18">
        <v>545.02</v>
      </c>
      <c r="V247" s="19">
        <v>0.1</v>
      </c>
      <c r="W247" s="18">
        <v>490.51799999999997</v>
      </c>
      <c r="X247" s="18">
        <v>538.51800000000003</v>
      </c>
      <c r="Y247" s="18" t="s">
        <v>2149</v>
      </c>
      <c r="Z247" s="18" t="s">
        <v>2064</v>
      </c>
      <c r="AA247" s="20">
        <v>6</v>
      </c>
      <c r="AB247">
        <v>210.85000000000002</v>
      </c>
    </row>
    <row r="248" spans="1:28">
      <c r="A248" s="15" t="s">
        <v>1321</v>
      </c>
      <c r="B248" s="15" t="s">
        <v>1322</v>
      </c>
      <c r="C248" s="15" t="s">
        <v>1323</v>
      </c>
      <c r="D248" s="15">
        <v>43</v>
      </c>
      <c r="E248" s="15" t="s">
        <v>31</v>
      </c>
      <c r="F248" s="15" t="s">
        <v>142</v>
      </c>
      <c r="G248" s="15" t="s">
        <v>1324</v>
      </c>
      <c r="H248" s="15" t="s">
        <v>1325</v>
      </c>
      <c r="I248" s="15" t="s">
        <v>1483</v>
      </c>
      <c r="J248" s="15">
        <v>45637</v>
      </c>
      <c r="K248" s="15" t="s">
        <v>1484</v>
      </c>
      <c r="L248" s="15" t="s">
        <v>175</v>
      </c>
      <c r="M248" s="15">
        <v>272.51</v>
      </c>
      <c r="N248" s="15">
        <v>2</v>
      </c>
      <c r="O248" s="15" t="s">
        <v>87</v>
      </c>
      <c r="P248" s="15">
        <v>5</v>
      </c>
      <c r="Q248" s="15">
        <v>37</v>
      </c>
      <c r="R248" s="15">
        <v>45640</v>
      </c>
      <c r="S248" s="15" t="s">
        <v>1485</v>
      </c>
      <c r="T248" s="15">
        <v>3</v>
      </c>
      <c r="U248" s="15">
        <v>545.02</v>
      </c>
      <c r="V248" s="16">
        <v>0.2</v>
      </c>
      <c r="W248" s="15">
        <v>436.01599999999996</v>
      </c>
      <c r="X248" s="15">
        <v>473.01599999999996</v>
      </c>
      <c r="Y248" s="15" t="s">
        <v>2103</v>
      </c>
      <c r="Z248" s="15" t="s">
        <v>2060</v>
      </c>
      <c r="AA248" s="17">
        <v>11</v>
      </c>
      <c r="AB248">
        <v>122.15360000000001</v>
      </c>
    </row>
    <row r="249" spans="1:28">
      <c r="A249" s="18" t="s">
        <v>834</v>
      </c>
      <c r="B249" s="18" t="s">
        <v>835</v>
      </c>
      <c r="C249" s="18" t="s">
        <v>836</v>
      </c>
      <c r="D249" s="18">
        <v>60</v>
      </c>
      <c r="E249" s="18" t="s">
        <v>31</v>
      </c>
      <c r="F249" s="18" t="s">
        <v>142</v>
      </c>
      <c r="G249" s="18" t="s">
        <v>837</v>
      </c>
      <c r="H249" s="18" t="s">
        <v>838</v>
      </c>
      <c r="I249" s="18" t="s">
        <v>839</v>
      </c>
      <c r="J249" s="18">
        <v>45663</v>
      </c>
      <c r="K249" s="18" t="s">
        <v>840</v>
      </c>
      <c r="L249" s="18" t="s">
        <v>517</v>
      </c>
      <c r="M249" s="18">
        <v>136.30000000000001</v>
      </c>
      <c r="N249" s="18">
        <v>4</v>
      </c>
      <c r="O249" s="18" t="s">
        <v>65</v>
      </c>
      <c r="P249" s="18">
        <v>5</v>
      </c>
      <c r="Q249" s="18">
        <v>61</v>
      </c>
      <c r="R249" s="18">
        <v>45668</v>
      </c>
      <c r="S249" s="18" t="s">
        <v>841</v>
      </c>
      <c r="T249" s="18">
        <v>5</v>
      </c>
      <c r="U249" s="18">
        <v>545.20000000000005</v>
      </c>
      <c r="V249" s="19">
        <v>0</v>
      </c>
      <c r="W249" s="18">
        <v>545.20000000000005</v>
      </c>
      <c r="X249" s="18">
        <v>545.20000000000005</v>
      </c>
      <c r="Y249" s="18" t="s">
        <v>2154</v>
      </c>
      <c r="Z249" s="18" t="s">
        <v>2072</v>
      </c>
      <c r="AA249" s="20">
        <v>4</v>
      </c>
      <c r="AB249">
        <v>35.186</v>
      </c>
    </row>
    <row r="250" spans="1:28">
      <c r="A250" s="15" t="s">
        <v>336</v>
      </c>
      <c r="B250" s="15" t="s">
        <v>337</v>
      </c>
      <c r="C250" s="15" t="s">
        <v>338</v>
      </c>
      <c r="D250" s="15">
        <v>23</v>
      </c>
      <c r="E250" s="15" t="s">
        <v>31</v>
      </c>
      <c r="F250" s="15" t="s">
        <v>32</v>
      </c>
      <c r="G250" s="15" t="s">
        <v>339</v>
      </c>
      <c r="H250" s="15" t="s">
        <v>340</v>
      </c>
      <c r="I250" s="15" t="s">
        <v>1528</v>
      </c>
      <c r="J250" s="15">
        <v>45271</v>
      </c>
      <c r="K250" s="15" t="s">
        <v>1529</v>
      </c>
      <c r="L250" s="15" t="s">
        <v>517</v>
      </c>
      <c r="M250" s="15">
        <v>136.30000000000001</v>
      </c>
      <c r="N250" s="15">
        <v>4</v>
      </c>
      <c r="O250" s="15" t="s">
        <v>98</v>
      </c>
      <c r="P250" s="15">
        <v>1</v>
      </c>
      <c r="Q250" s="15">
        <v>35</v>
      </c>
      <c r="R250" s="15">
        <v>45275</v>
      </c>
      <c r="S250" s="15" t="s">
        <v>1530</v>
      </c>
      <c r="T250" s="15">
        <v>4</v>
      </c>
      <c r="U250" s="15">
        <v>545.20000000000005</v>
      </c>
      <c r="V250" s="16">
        <v>0.1</v>
      </c>
      <c r="W250" s="15">
        <v>490.68000000000006</v>
      </c>
      <c r="X250" s="15">
        <v>525.68000000000006</v>
      </c>
      <c r="Y250" s="15" t="s">
        <v>2091</v>
      </c>
      <c r="Z250" s="15" t="s">
        <v>2064</v>
      </c>
      <c r="AA250" s="17">
        <v>1</v>
      </c>
      <c r="AB250">
        <v>114.51900000000001</v>
      </c>
    </row>
    <row r="251" spans="1:28">
      <c r="A251" s="18" t="s">
        <v>178</v>
      </c>
      <c r="B251" s="18" t="s">
        <v>179</v>
      </c>
      <c r="C251" s="18" t="s">
        <v>180</v>
      </c>
      <c r="D251" s="18">
        <v>36</v>
      </c>
      <c r="E251" s="18" t="s">
        <v>54</v>
      </c>
      <c r="F251" s="18" t="s">
        <v>142</v>
      </c>
      <c r="G251" s="18" t="s">
        <v>181</v>
      </c>
      <c r="H251" s="18" t="s">
        <v>182</v>
      </c>
      <c r="I251" s="18" t="s">
        <v>1791</v>
      </c>
      <c r="J251" s="18">
        <v>45368</v>
      </c>
      <c r="K251" s="18" t="s">
        <v>1792</v>
      </c>
      <c r="L251" s="18" t="s">
        <v>517</v>
      </c>
      <c r="M251" s="18">
        <v>136.30000000000001</v>
      </c>
      <c r="N251" s="18">
        <v>4</v>
      </c>
      <c r="O251" s="18" t="s">
        <v>38</v>
      </c>
      <c r="P251" s="18">
        <v>6</v>
      </c>
      <c r="Q251" s="18">
        <v>52</v>
      </c>
      <c r="R251" s="18">
        <v>45371</v>
      </c>
      <c r="S251" s="18" t="s">
        <v>1793</v>
      </c>
      <c r="T251" s="18">
        <v>3</v>
      </c>
      <c r="U251" s="18">
        <v>545.20000000000005</v>
      </c>
      <c r="V251" s="19">
        <v>0.08</v>
      </c>
      <c r="W251" s="18">
        <v>501.58400000000006</v>
      </c>
      <c r="X251" s="18">
        <v>553.58400000000006</v>
      </c>
      <c r="Y251" s="18" t="s">
        <v>2071</v>
      </c>
      <c r="Z251" s="18" t="s">
        <v>2060</v>
      </c>
      <c r="AA251" s="20">
        <v>6</v>
      </c>
      <c r="AB251">
        <v>0</v>
      </c>
    </row>
    <row r="252" spans="1:28">
      <c r="A252" s="15" t="s">
        <v>928</v>
      </c>
      <c r="B252" s="15" t="s">
        <v>929</v>
      </c>
      <c r="C252" s="15" t="s">
        <v>930</v>
      </c>
      <c r="D252" s="15">
        <v>24</v>
      </c>
      <c r="E252" s="15" t="s">
        <v>54</v>
      </c>
      <c r="F252" s="15" t="s">
        <v>223</v>
      </c>
      <c r="G252" s="15" t="s">
        <v>931</v>
      </c>
      <c r="H252" s="15" t="s">
        <v>932</v>
      </c>
      <c r="I252" s="15" t="s">
        <v>1120</v>
      </c>
      <c r="J252" s="15">
        <v>45271</v>
      </c>
      <c r="K252" s="15" t="s">
        <v>1121</v>
      </c>
      <c r="L252" s="15" t="s">
        <v>107</v>
      </c>
      <c r="M252" s="15">
        <v>275.44</v>
      </c>
      <c r="N252" s="15">
        <v>2</v>
      </c>
      <c r="O252" s="15" t="s">
        <v>38</v>
      </c>
      <c r="P252" s="15">
        <v>2</v>
      </c>
      <c r="Q252" s="15">
        <v>36</v>
      </c>
      <c r="R252" s="15">
        <v>45276</v>
      </c>
      <c r="S252" s="15" t="s">
        <v>1122</v>
      </c>
      <c r="T252" s="15">
        <v>5</v>
      </c>
      <c r="U252" s="15">
        <v>550.88</v>
      </c>
      <c r="V252" s="16">
        <v>0.08</v>
      </c>
      <c r="W252" s="15">
        <v>506.80959999999999</v>
      </c>
      <c r="X252" s="15">
        <v>542.80960000000005</v>
      </c>
      <c r="Y252" s="15" t="s">
        <v>2122</v>
      </c>
      <c r="Z252" s="15" t="s">
        <v>2064</v>
      </c>
      <c r="AA252" s="17">
        <v>8</v>
      </c>
      <c r="AB252">
        <v>21.808000000000003</v>
      </c>
    </row>
    <row r="253" spans="1:28">
      <c r="A253" s="18" t="s">
        <v>834</v>
      </c>
      <c r="B253" s="18" t="s">
        <v>835</v>
      </c>
      <c r="C253" s="18" t="s">
        <v>836</v>
      </c>
      <c r="D253" s="18">
        <v>60</v>
      </c>
      <c r="E253" s="18" t="s">
        <v>31</v>
      </c>
      <c r="F253" s="18" t="s">
        <v>142</v>
      </c>
      <c r="G253" s="18" t="s">
        <v>837</v>
      </c>
      <c r="H253" s="18" t="s">
        <v>838</v>
      </c>
      <c r="I253" s="18" t="s">
        <v>1537</v>
      </c>
      <c r="J253" s="18">
        <v>45053</v>
      </c>
      <c r="K253" s="18" t="s">
        <v>1538</v>
      </c>
      <c r="L253" s="18" t="s">
        <v>107</v>
      </c>
      <c r="M253" s="18">
        <v>275.44</v>
      </c>
      <c r="N253" s="18">
        <v>2</v>
      </c>
      <c r="O253" s="18" t="s">
        <v>60</v>
      </c>
      <c r="P253" s="18">
        <v>4</v>
      </c>
      <c r="Q253" s="18">
        <v>54</v>
      </c>
      <c r="R253" s="18">
        <v>45059</v>
      </c>
      <c r="S253" s="18" t="s">
        <v>1539</v>
      </c>
      <c r="T253" s="18">
        <v>6</v>
      </c>
      <c r="U253" s="18">
        <v>550.88</v>
      </c>
      <c r="V253" s="19">
        <v>0.15</v>
      </c>
      <c r="W253" s="18">
        <v>468.24799999999999</v>
      </c>
      <c r="X253" s="18">
        <v>522.24800000000005</v>
      </c>
      <c r="Y253" s="18" t="s">
        <v>2154</v>
      </c>
      <c r="Z253" s="18" t="s">
        <v>2064</v>
      </c>
      <c r="AA253" s="20">
        <v>4</v>
      </c>
      <c r="AB253">
        <v>181.36349999999999</v>
      </c>
    </row>
    <row r="254" spans="1:28">
      <c r="A254" s="15" t="s">
        <v>438</v>
      </c>
      <c r="B254" s="15" t="s">
        <v>439</v>
      </c>
      <c r="C254" s="15" t="s">
        <v>440</v>
      </c>
      <c r="D254" s="15">
        <v>28</v>
      </c>
      <c r="E254" s="15" t="s">
        <v>54</v>
      </c>
      <c r="F254" s="15" t="s">
        <v>78</v>
      </c>
      <c r="G254" s="15" t="s">
        <v>441</v>
      </c>
      <c r="H254" s="15" t="s">
        <v>442</v>
      </c>
      <c r="I254" s="15" t="s">
        <v>1657</v>
      </c>
      <c r="J254" s="15">
        <v>45247</v>
      </c>
      <c r="K254" s="15" t="s">
        <v>1658</v>
      </c>
      <c r="L254" s="15" t="s">
        <v>107</v>
      </c>
      <c r="M254" s="15">
        <v>275.44</v>
      </c>
      <c r="N254" s="15">
        <v>2</v>
      </c>
      <c r="O254" s="15" t="s">
        <v>87</v>
      </c>
      <c r="P254" s="15">
        <v>3</v>
      </c>
      <c r="Q254" s="15">
        <v>43</v>
      </c>
      <c r="R254" s="15">
        <v>45251</v>
      </c>
      <c r="S254" s="15" t="s">
        <v>1659</v>
      </c>
      <c r="T254" s="15">
        <v>4</v>
      </c>
      <c r="U254" s="15">
        <v>550.88</v>
      </c>
      <c r="V254" s="16">
        <v>0.2</v>
      </c>
      <c r="W254" s="15">
        <v>440.70400000000001</v>
      </c>
      <c r="X254" s="15">
        <v>483.70400000000001</v>
      </c>
      <c r="Y254" s="15" t="s">
        <v>2120</v>
      </c>
      <c r="Z254" s="15" t="s">
        <v>2064</v>
      </c>
      <c r="AA254" s="17">
        <v>11</v>
      </c>
      <c r="AB254">
        <v>152.69200000000001</v>
      </c>
    </row>
    <row r="255" spans="1:28">
      <c r="A255" s="18" t="s">
        <v>928</v>
      </c>
      <c r="B255" s="18" t="s">
        <v>929</v>
      </c>
      <c r="C255" s="18" t="s">
        <v>930</v>
      </c>
      <c r="D255" s="18">
        <v>24</v>
      </c>
      <c r="E255" s="18" t="s">
        <v>54</v>
      </c>
      <c r="F255" s="18" t="s">
        <v>223</v>
      </c>
      <c r="G255" s="18" t="s">
        <v>931</v>
      </c>
      <c r="H255" s="18" t="s">
        <v>932</v>
      </c>
      <c r="I255" s="18" t="s">
        <v>933</v>
      </c>
      <c r="J255" s="18">
        <v>45045</v>
      </c>
      <c r="K255" s="18" t="s">
        <v>934</v>
      </c>
      <c r="L255" s="18" t="s">
        <v>741</v>
      </c>
      <c r="M255" s="18">
        <v>110.95</v>
      </c>
      <c r="N255" s="18">
        <v>5</v>
      </c>
      <c r="O255" s="18" t="s">
        <v>87</v>
      </c>
      <c r="P255" s="18">
        <v>5</v>
      </c>
      <c r="Q255" s="18">
        <v>62</v>
      </c>
      <c r="R255" s="18">
        <v>45047</v>
      </c>
      <c r="S255" s="18" t="s">
        <v>935</v>
      </c>
      <c r="T255" s="18">
        <v>2</v>
      </c>
      <c r="U255" s="18">
        <v>554.75</v>
      </c>
      <c r="V255" s="19">
        <v>0.2</v>
      </c>
      <c r="W255" s="18">
        <v>443.8</v>
      </c>
      <c r="X255" s="18">
        <v>505.8</v>
      </c>
      <c r="Y255" s="18" t="s">
        <v>2122</v>
      </c>
      <c r="Z255" s="18" t="s">
        <v>2060</v>
      </c>
      <c r="AA255" s="20">
        <v>1</v>
      </c>
      <c r="AB255">
        <v>30.538400000000003</v>
      </c>
    </row>
    <row r="256" spans="1:28">
      <c r="A256" s="15" t="s">
        <v>1249</v>
      </c>
      <c r="B256" s="15" t="s">
        <v>68</v>
      </c>
      <c r="C256" s="15" t="s">
        <v>1250</v>
      </c>
      <c r="D256" s="15">
        <v>40</v>
      </c>
      <c r="E256" s="15" t="s">
        <v>31</v>
      </c>
      <c r="F256" s="15" t="s">
        <v>78</v>
      </c>
      <c r="G256" s="15" t="s">
        <v>1251</v>
      </c>
      <c r="H256" s="15" t="s">
        <v>1252</v>
      </c>
      <c r="I256" s="15" t="s">
        <v>1633</v>
      </c>
      <c r="J256" s="15">
        <v>45193</v>
      </c>
      <c r="K256" s="15" t="s">
        <v>1634</v>
      </c>
      <c r="L256" s="15" t="s">
        <v>249</v>
      </c>
      <c r="M256" s="15">
        <v>282.63</v>
      </c>
      <c r="N256" s="15">
        <v>2</v>
      </c>
      <c r="O256" s="15" t="s">
        <v>60</v>
      </c>
      <c r="P256" s="15">
        <v>6</v>
      </c>
      <c r="Q256" s="15">
        <v>62</v>
      </c>
      <c r="R256" s="15">
        <v>45194</v>
      </c>
      <c r="S256" s="15" t="s">
        <v>1635</v>
      </c>
      <c r="T256" s="15">
        <v>1</v>
      </c>
      <c r="U256" s="15">
        <v>565.26</v>
      </c>
      <c r="V256" s="16">
        <v>0.15</v>
      </c>
      <c r="W256" s="15">
        <v>480.471</v>
      </c>
      <c r="X256" s="15">
        <v>542.471</v>
      </c>
      <c r="Y256" s="15" t="s">
        <v>2076</v>
      </c>
      <c r="Z256" s="15" t="s">
        <v>2060</v>
      </c>
      <c r="AA256" s="17">
        <v>6</v>
      </c>
      <c r="AB256">
        <v>85.117999999999995</v>
      </c>
    </row>
    <row r="257" spans="1:28">
      <c r="A257" s="18" t="s">
        <v>1224</v>
      </c>
      <c r="B257" s="18" t="s">
        <v>1225</v>
      </c>
      <c r="C257" s="18" t="s">
        <v>1226</v>
      </c>
      <c r="D257" s="18">
        <v>19</v>
      </c>
      <c r="E257" s="18" t="s">
        <v>43</v>
      </c>
      <c r="F257" s="18" t="s">
        <v>78</v>
      </c>
      <c r="G257" s="18" t="s">
        <v>1227</v>
      </c>
      <c r="H257" s="18" t="s">
        <v>1228</v>
      </c>
      <c r="I257" s="18" t="s">
        <v>1318</v>
      </c>
      <c r="J257" s="18">
        <v>44997</v>
      </c>
      <c r="K257" s="18" t="s">
        <v>1319</v>
      </c>
      <c r="L257" s="18" t="s">
        <v>147</v>
      </c>
      <c r="M257" s="18">
        <v>190.1</v>
      </c>
      <c r="N257" s="18">
        <v>3</v>
      </c>
      <c r="O257" s="18" t="s">
        <v>38</v>
      </c>
      <c r="P257" s="18">
        <v>4</v>
      </c>
      <c r="Q257" s="18">
        <v>63</v>
      </c>
      <c r="R257" s="18">
        <v>45002</v>
      </c>
      <c r="S257" s="18" t="s">
        <v>1320</v>
      </c>
      <c r="T257" s="18">
        <v>5</v>
      </c>
      <c r="U257" s="18">
        <v>570.29999999999995</v>
      </c>
      <c r="V257" s="19">
        <v>0.08</v>
      </c>
      <c r="W257" s="18">
        <v>524.67599999999993</v>
      </c>
      <c r="X257" s="18">
        <v>587.67599999999993</v>
      </c>
      <c r="Y257" s="18" t="s">
        <v>2077</v>
      </c>
      <c r="Z257" s="18" t="s">
        <v>2064</v>
      </c>
      <c r="AA257" s="20">
        <v>1</v>
      </c>
      <c r="AB257">
        <v>288.88799999999998</v>
      </c>
    </row>
    <row r="258" spans="1:28">
      <c r="A258" s="15" t="s">
        <v>674</v>
      </c>
      <c r="B258" s="15" t="s">
        <v>675</v>
      </c>
      <c r="C258" s="15" t="s">
        <v>676</v>
      </c>
      <c r="D258" s="15">
        <v>38</v>
      </c>
      <c r="E258" s="15" t="s">
        <v>43</v>
      </c>
      <c r="F258" s="15" t="s">
        <v>223</v>
      </c>
      <c r="G258" s="15" t="s">
        <v>677</v>
      </c>
      <c r="H258" s="15" t="s">
        <v>678</v>
      </c>
      <c r="I258" s="15" t="s">
        <v>1718</v>
      </c>
      <c r="J258" s="15">
        <v>45312</v>
      </c>
      <c r="K258" s="15" t="s">
        <v>1719</v>
      </c>
      <c r="L258" s="15" t="s">
        <v>147</v>
      </c>
      <c r="M258" s="15">
        <v>190.1</v>
      </c>
      <c r="N258" s="15">
        <v>3</v>
      </c>
      <c r="O258" s="15" t="s">
        <v>98</v>
      </c>
      <c r="P258" s="15">
        <v>3</v>
      </c>
      <c r="Q258" s="15">
        <v>41</v>
      </c>
      <c r="R258" s="15">
        <v>45315</v>
      </c>
      <c r="S258" s="15" t="s">
        <v>1720</v>
      </c>
      <c r="T258" s="15">
        <v>3</v>
      </c>
      <c r="U258" s="15">
        <v>570.29999999999995</v>
      </c>
      <c r="V258" s="16">
        <v>0.1</v>
      </c>
      <c r="W258" s="15">
        <v>513.27</v>
      </c>
      <c r="X258" s="15">
        <v>554.27</v>
      </c>
      <c r="Y258" s="15" t="s">
        <v>2082</v>
      </c>
      <c r="Z258" s="15" t="s">
        <v>2072</v>
      </c>
      <c r="AA258" s="17">
        <v>8</v>
      </c>
      <c r="AB258">
        <v>84.34</v>
      </c>
    </row>
    <row r="259" spans="1:28">
      <c r="A259" s="18" t="s">
        <v>438</v>
      </c>
      <c r="B259" s="18" t="s">
        <v>439</v>
      </c>
      <c r="C259" s="18" t="s">
        <v>440</v>
      </c>
      <c r="D259" s="18">
        <v>28</v>
      </c>
      <c r="E259" s="18" t="s">
        <v>54</v>
      </c>
      <c r="F259" s="18" t="s">
        <v>78</v>
      </c>
      <c r="G259" s="18" t="s">
        <v>441</v>
      </c>
      <c r="H259" s="18" t="s">
        <v>442</v>
      </c>
      <c r="I259" s="18" t="s">
        <v>919</v>
      </c>
      <c r="J259" s="18">
        <v>45482</v>
      </c>
      <c r="K259" s="18" t="s">
        <v>920</v>
      </c>
      <c r="L259" s="18" t="s">
        <v>476</v>
      </c>
      <c r="M259" s="18">
        <v>286.07</v>
      </c>
      <c r="N259" s="18">
        <v>2</v>
      </c>
      <c r="O259" s="18" t="s">
        <v>38</v>
      </c>
      <c r="P259" s="18">
        <v>3</v>
      </c>
      <c r="Q259" s="18">
        <v>54</v>
      </c>
      <c r="R259" s="18">
        <v>45485</v>
      </c>
      <c r="S259" s="18" t="s">
        <v>921</v>
      </c>
      <c r="T259" s="18">
        <v>3</v>
      </c>
      <c r="U259" s="18">
        <v>572.14</v>
      </c>
      <c r="V259" s="19">
        <v>0.08</v>
      </c>
      <c r="W259" s="18">
        <v>526.36879999999996</v>
      </c>
      <c r="X259" s="18">
        <v>580.36879999999996</v>
      </c>
      <c r="Y259" s="18" t="s">
        <v>2120</v>
      </c>
      <c r="Z259" s="18" t="s">
        <v>2072</v>
      </c>
      <c r="AA259" s="20">
        <v>4</v>
      </c>
      <c r="AB259">
        <v>0</v>
      </c>
    </row>
    <row r="260" spans="1:28">
      <c r="A260" s="15" t="s">
        <v>438</v>
      </c>
      <c r="B260" s="15" t="s">
        <v>439</v>
      </c>
      <c r="C260" s="15" t="s">
        <v>440</v>
      </c>
      <c r="D260" s="15">
        <v>28</v>
      </c>
      <c r="E260" s="15" t="s">
        <v>54</v>
      </c>
      <c r="F260" s="15" t="s">
        <v>78</v>
      </c>
      <c r="G260" s="15" t="s">
        <v>441</v>
      </c>
      <c r="H260" s="15" t="s">
        <v>442</v>
      </c>
      <c r="I260" s="15" t="s">
        <v>1064</v>
      </c>
      <c r="J260" s="15">
        <v>45523</v>
      </c>
      <c r="K260" s="15" t="s">
        <v>1065</v>
      </c>
      <c r="L260" s="15" t="s">
        <v>874</v>
      </c>
      <c r="M260" s="15">
        <v>292.14999999999998</v>
      </c>
      <c r="N260" s="15">
        <v>2</v>
      </c>
      <c r="O260" s="15" t="s">
        <v>60</v>
      </c>
      <c r="P260" s="15">
        <v>4</v>
      </c>
      <c r="Q260" s="15">
        <v>58</v>
      </c>
      <c r="R260" s="15">
        <v>45526</v>
      </c>
      <c r="S260" s="15" t="s">
        <v>1066</v>
      </c>
      <c r="T260" s="15">
        <v>3</v>
      </c>
      <c r="U260" s="15">
        <v>584.29999999999995</v>
      </c>
      <c r="V260" s="16">
        <v>0.15</v>
      </c>
      <c r="W260" s="15">
        <v>496.65499999999997</v>
      </c>
      <c r="X260" s="15">
        <v>554.65499999999997</v>
      </c>
      <c r="Y260" s="15" t="s">
        <v>2120</v>
      </c>
      <c r="Z260" s="15" t="s">
        <v>2060</v>
      </c>
      <c r="AA260" s="17">
        <v>9</v>
      </c>
      <c r="AB260">
        <v>113.05200000000001</v>
      </c>
    </row>
    <row r="261" spans="1:28">
      <c r="A261" s="18" t="s">
        <v>719</v>
      </c>
      <c r="B261" s="18" t="s">
        <v>720</v>
      </c>
      <c r="C261" s="18" t="s">
        <v>721</v>
      </c>
      <c r="D261" s="18">
        <v>32</v>
      </c>
      <c r="E261" s="18" t="s">
        <v>43</v>
      </c>
      <c r="F261" s="18" t="s">
        <v>32</v>
      </c>
      <c r="G261" s="18" t="s">
        <v>722</v>
      </c>
      <c r="H261" s="18" t="s">
        <v>723</v>
      </c>
      <c r="I261" s="18" t="s">
        <v>1709</v>
      </c>
      <c r="J261" s="18">
        <v>45343</v>
      </c>
      <c r="K261" s="18" t="s">
        <v>1710</v>
      </c>
      <c r="L261" s="18" t="s">
        <v>874</v>
      </c>
      <c r="M261" s="18">
        <v>292.14999999999998</v>
      </c>
      <c r="N261" s="18">
        <v>2</v>
      </c>
      <c r="O261" s="18" t="s">
        <v>60</v>
      </c>
      <c r="P261" s="18">
        <v>6</v>
      </c>
      <c r="Q261" s="18">
        <v>60</v>
      </c>
      <c r="R261" s="18">
        <v>45348</v>
      </c>
      <c r="S261" s="18" t="s">
        <v>1711</v>
      </c>
      <c r="T261" s="18">
        <v>5</v>
      </c>
      <c r="U261" s="18">
        <v>584.29999999999995</v>
      </c>
      <c r="V261" s="19">
        <v>0.15</v>
      </c>
      <c r="W261" s="18">
        <v>496.65499999999997</v>
      </c>
      <c r="X261" s="18">
        <v>556.65499999999997</v>
      </c>
      <c r="Y261" s="18" t="s">
        <v>2155</v>
      </c>
      <c r="Z261" s="18" t="s">
        <v>2060</v>
      </c>
      <c r="AA261" s="20">
        <v>2</v>
      </c>
      <c r="AB261">
        <v>47.559000000000005</v>
      </c>
    </row>
    <row r="262" spans="1:28">
      <c r="A262" s="15" t="s">
        <v>708</v>
      </c>
      <c r="B262" s="15" t="s">
        <v>709</v>
      </c>
      <c r="C262" s="15" t="s">
        <v>710</v>
      </c>
      <c r="D262" s="15">
        <v>26</v>
      </c>
      <c r="E262" s="15" t="s">
        <v>54</v>
      </c>
      <c r="F262" s="15" t="s">
        <v>78</v>
      </c>
      <c r="G262" s="15" t="s">
        <v>711</v>
      </c>
      <c r="H262" s="15" t="s">
        <v>712</v>
      </c>
      <c r="I262" s="15" t="s">
        <v>713</v>
      </c>
      <c r="J262" s="15">
        <v>45432</v>
      </c>
      <c r="K262" s="15" t="s">
        <v>714</v>
      </c>
      <c r="L262" s="15" t="s">
        <v>37</v>
      </c>
      <c r="M262" s="15">
        <v>308.88</v>
      </c>
      <c r="N262" s="15">
        <v>2</v>
      </c>
      <c r="O262" s="15" t="s">
        <v>87</v>
      </c>
      <c r="P262" s="15">
        <v>4</v>
      </c>
      <c r="Q262" s="15">
        <v>61</v>
      </c>
      <c r="R262" s="15">
        <v>45436</v>
      </c>
      <c r="S262" s="15" t="s">
        <v>715</v>
      </c>
      <c r="T262" s="15">
        <v>4</v>
      </c>
      <c r="U262" s="15">
        <v>617.76</v>
      </c>
      <c r="V262" s="16">
        <v>0.2</v>
      </c>
      <c r="W262" s="15">
        <v>494.20799999999997</v>
      </c>
      <c r="X262" s="15">
        <v>555.20799999999997</v>
      </c>
      <c r="Y262" s="15" t="s">
        <v>2068</v>
      </c>
      <c r="Z262" s="15" t="s">
        <v>2072</v>
      </c>
      <c r="AA262" s="17">
        <v>4</v>
      </c>
      <c r="AB262">
        <v>14.9808</v>
      </c>
    </row>
    <row r="263" spans="1:28">
      <c r="A263" s="18" t="s">
        <v>1878</v>
      </c>
      <c r="B263" s="18" t="s">
        <v>1107</v>
      </c>
      <c r="C263" s="18" t="s">
        <v>1879</v>
      </c>
      <c r="D263" s="18">
        <v>64</v>
      </c>
      <c r="E263" s="18" t="s">
        <v>43</v>
      </c>
      <c r="F263" s="18" t="s">
        <v>78</v>
      </c>
      <c r="G263" s="18" t="s">
        <v>1880</v>
      </c>
      <c r="H263" s="18" t="s">
        <v>1881</v>
      </c>
      <c r="I263" s="18" t="s">
        <v>1885</v>
      </c>
      <c r="J263" s="18">
        <v>45539</v>
      </c>
      <c r="K263" s="18" t="s">
        <v>1886</v>
      </c>
      <c r="L263" s="18" t="s">
        <v>37</v>
      </c>
      <c r="M263" s="18">
        <v>308.88</v>
      </c>
      <c r="N263" s="18">
        <v>2</v>
      </c>
      <c r="O263" s="18" t="s">
        <v>87</v>
      </c>
      <c r="P263" s="18">
        <v>2</v>
      </c>
      <c r="Q263" s="18">
        <v>55</v>
      </c>
      <c r="R263" s="18">
        <v>45541</v>
      </c>
      <c r="S263" s="18" t="s">
        <v>1887</v>
      </c>
      <c r="T263" s="18">
        <v>2</v>
      </c>
      <c r="U263" s="18">
        <v>617.76</v>
      </c>
      <c r="V263" s="19">
        <v>0.2</v>
      </c>
      <c r="W263" s="18">
        <v>494.20799999999997</v>
      </c>
      <c r="X263" s="18">
        <v>549.20799999999997</v>
      </c>
      <c r="Y263" s="18" t="s">
        <v>2146</v>
      </c>
      <c r="Z263" s="18" t="s">
        <v>2072</v>
      </c>
      <c r="AA263" s="20">
        <v>6</v>
      </c>
      <c r="AB263">
        <v>70.688999999999993</v>
      </c>
    </row>
    <row r="264" spans="1:28">
      <c r="A264" s="15" t="s">
        <v>283</v>
      </c>
      <c r="B264" s="15" t="s">
        <v>284</v>
      </c>
      <c r="C264" s="15" t="s">
        <v>285</v>
      </c>
      <c r="D264" s="15">
        <v>64</v>
      </c>
      <c r="E264" s="15" t="s">
        <v>54</v>
      </c>
      <c r="F264" s="15" t="s">
        <v>32</v>
      </c>
      <c r="G264" s="15" t="s">
        <v>286</v>
      </c>
      <c r="H264" s="15" t="s">
        <v>287</v>
      </c>
      <c r="I264" s="15" t="s">
        <v>288</v>
      </c>
      <c r="J264" s="15">
        <v>45039</v>
      </c>
      <c r="K264" s="15" t="s">
        <v>289</v>
      </c>
      <c r="L264" s="15" t="s">
        <v>290</v>
      </c>
      <c r="M264" s="15">
        <v>157.63999999999999</v>
      </c>
      <c r="N264" s="15">
        <v>4</v>
      </c>
      <c r="O264" s="15" t="s">
        <v>87</v>
      </c>
      <c r="P264" s="15">
        <v>7</v>
      </c>
      <c r="Q264" s="15">
        <v>59</v>
      </c>
      <c r="R264" s="15">
        <v>45046</v>
      </c>
      <c r="S264" s="15" t="s">
        <v>291</v>
      </c>
      <c r="T264" s="15">
        <v>7</v>
      </c>
      <c r="U264" s="15">
        <v>630.55999999999995</v>
      </c>
      <c r="V264" s="16">
        <v>0.2</v>
      </c>
      <c r="W264" s="15">
        <v>504.44799999999998</v>
      </c>
      <c r="X264" s="15">
        <v>563.44799999999998</v>
      </c>
      <c r="Y264" s="15" t="s">
        <v>2113</v>
      </c>
      <c r="Z264" s="15" t="s">
        <v>2072</v>
      </c>
      <c r="AA264" s="17">
        <v>9</v>
      </c>
      <c r="AB264">
        <v>25.222399999999997</v>
      </c>
    </row>
    <row r="265" spans="1:28">
      <c r="A265" s="18" t="s">
        <v>388</v>
      </c>
      <c r="B265" s="18" t="s">
        <v>389</v>
      </c>
      <c r="C265" s="18" t="s">
        <v>390</v>
      </c>
      <c r="D265" s="18">
        <v>47</v>
      </c>
      <c r="E265" s="18" t="s">
        <v>43</v>
      </c>
      <c r="F265" s="18" t="s">
        <v>92</v>
      </c>
      <c r="G265" s="18" t="s">
        <v>391</v>
      </c>
      <c r="H265" s="18" t="s">
        <v>392</v>
      </c>
      <c r="I265" s="18" t="s">
        <v>393</v>
      </c>
      <c r="J265" s="18">
        <v>45054</v>
      </c>
      <c r="K265" s="18" t="s">
        <v>394</v>
      </c>
      <c r="L265" s="18" t="s">
        <v>290</v>
      </c>
      <c r="M265" s="18">
        <v>157.63999999999999</v>
      </c>
      <c r="N265" s="18">
        <v>4</v>
      </c>
      <c r="O265" s="18" t="s">
        <v>38</v>
      </c>
      <c r="P265" s="18">
        <v>4</v>
      </c>
      <c r="Q265" s="18">
        <v>44</v>
      </c>
      <c r="R265" s="18">
        <v>45061</v>
      </c>
      <c r="S265" s="18" t="s">
        <v>395</v>
      </c>
      <c r="T265" s="18">
        <v>7</v>
      </c>
      <c r="U265" s="18">
        <v>630.55999999999995</v>
      </c>
      <c r="V265" s="19">
        <v>0.08</v>
      </c>
      <c r="W265" s="18">
        <v>580.11519999999996</v>
      </c>
      <c r="X265" s="18">
        <v>624.11519999999996</v>
      </c>
      <c r="Y265" s="18" t="s">
        <v>2137</v>
      </c>
      <c r="Z265" s="18" t="s">
        <v>2064</v>
      </c>
      <c r="AA265" s="20">
        <v>3</v>
      </c>
      <c r="AB265">
        <v>223.572</v>
      </c>
    </row>
    <row r="266" spans="1:28">
      <c r="A266" s="15" t="s">
        <v>109</v>
      </c>
      <c r="B266" s="15" t="s">
        <v>110</v>
      </c>
      <c r="C266" s="15" t="s">
        <v>111</v>
      </c>
      <c r="D266" s="15">
        <v>48</v>
      </c>
      <c r="E266" s="15" t="s">
        <v>54</v>
      </c>
      <c r="F266" s="15" t="s">
        <v>44</v>
      </c>
      <c r="G266" s="15" t="s">
        <v>112</v>
      </c>
      <c r="H266" s="15" t="s">
        <v>113</v>
      </c>
      <c r="I266" s="15" t="s">
        <v>1794</v>
      </c>
      <c r="J266" s="15">
        <v>45661</v>
      </c>
      <c r="K266" s="15" t="s">
        <v>1010</v>
      </c>
      <c r="L266" s="15" t="s">
        <v>290</v>
      </c>
      <c r="M266" s="15">
        <v>157.63999999999999</v>
      </c>
      <c r="N266" s="15">
        <v>4</v>
      </c>
      <c r="O266" s="15" t="s">
        <v>65</v>
      </c>
      <c r="P266" s="15">
        <v>7</v>
      </c>
      <c r="Q266" s="15">
        <v>42</v>
      </c>
      <c r="R266" s="15">
        <v>45663</v>
      </c>
      <c r="S266" s="15" t="s">
        <v>1795</v>
      </c>
      <c r="T266" s="15">
        <v>2</v>
      </c>
      <c r="U266" s="15">
        <v>630.55999999999995</v>
      </c>
      <c r="V266" s="16">
        <v>0</v>
      </c>
      <c r="W266" s="15">
        <v>630.55999999999995</v>
      </c>
      <c r="X266" s="15">
        <v>630.55999999999995</v>
      </c>
      <c r="Y266" s="15" t="s">
        <v>2079</v>
      </c>
      <c r="Z266" s="15" t="s">
        <v>2060</v>
      </c>
      <c r="AA266" s="17">
        <v>1</v>
      </c>
      <c r="AB266">
        <v>161.21199999999999</v>
      </c>
    </row>
    <row r="267" spans="1:28">
      <c r="A267" s="18" t="s">
        <v>469</v>
      </c>
      <c r="B267" s="18" t="s">
        <v>470</v>
      </c>
      <c r="C267" s="18" t="s">
        <v>471</v>
      </c>
      <c r="D267" s="18">
        <v>18</v>
      </c>
      <c r="E267" s="18" t="s">
        <v>43</v>
      </c>
      <c r="F267" s="18" t="s">
        <v>44</v>
      </c>
      <c r="G267" s="18" t="s">
        <v>472</v>
      </c>
      <c r="H267" s="18" t="s">
        <v>473</v>
      </c>
      <c r="I267" s="18" t="s">
        <v>1162</v>
      </c>
      <c r="J267" s="18">
        <v>45273</v>
      </c>
      <c r="K267" s="18" t="s">
        <v>1163</v>
      </c>
      <c r="L267" s="18" t="s">
        <v>245</v>
      </c>
      <c r="M267" s="18">
        <v>126.19</v>
      </c>
      <c r="N267" s="18">
        <v>5</v>
      </c>
      <c r="O267" s="18" t="s">
        <v>98</v>
      </c>
      <c r="P267" s="18">
        <v>4</v>
      </c>
      <c r="Q267" s="18">
        <v>47</v>
      </c>
      <c r="R267" s="18">
        <v>45280</v>
      </c>
      <c r="S267" s="18" t="s">
        <v>1164</v>
      </c>
      <c r="T267" s="18">
        <v>7</v>
      </c>
      <c r="U267" s="18">
        <v>630.95000000000005</v>
      </c>
      <c r="V267" s="19">
        <v>0.1</v>
      </c>
      <c r="W267" s="18">
        <v>567.85500000000002</v>
      </c>
      <c r="X267" s="18">
        <v>614.85500000000002</v>
      </c>
      <c r="Y267" s="18" t="s">
        <v>2150</v>
      </c>
      <c r="Z267" s="18" t="s">
        <v>2064</v>
      </c>
      <c r="AA267" s="20">
        <v>3</v>
      </c>
      <c r="AB267">
        <v>0</v>
      </c>
    </row>
    <row r="268" spans="1:28">
      <c r="A268" s="15" t="s">
        <v>423</v>
      </c>
      <c r="B268" s="15" t="s">
        <v>424</v>
      </c>
      <c r="C268" s="15" t="s">
        <v>425</v>
      </c>
      <c r="D268" s="15">
        <v>52</v>
      </c>
      <c r="E268" s="15" t="s">
        <v>54</v>
      </c>
      <c r="F268" s="15" t="s">
        <v>223</v>
      </c>
      <c r="G268" s="15" t="s">
        <v>426</v>
      </c>
      <c r="H268" s="15" t="s">
        <v>427</v>
      </c>
      <c r="I268" s="15" t="s">
        <v>428</v>
      </c>
      <c r="J268" s="15">
        <v>45145</v>
      </c>
      <c r="K268" s="15" t="s">
        <v>429</v>
      </c>
      <c r="L268" s="15" t="s">
        <v>253</v>
      </c>
      <c r="M268" s="15">
        <v>128.13999999999999</v>
      </c>
      <c r="N268" s="15">
        <v>5</v>
      </c>
      <c r="O268" s="15" t="s">
        <v>60</v>
      </c>
      <c r="P268" s="15">
        <v>2</v>
      </c>
      <c r="Q268" s="15">
        <v>57</v>
      </c>
      <c r="R268" s="15">
        <v>45147</v>
      </c>
      <c r="S268" s="15" t="s">
        <v>430</v>
      </c>
      <c r="T268" s="15">
        <v>2</v>
      </c>
      <c r="U268" s="15">
        <v>640.69999999999993</v>
      </c>
      <c r="V268" s="16">
        <v>0.15</v>
      </c>
      <c r="W268" s="15">
        <v>544.59499999999991</v>
      </c>
      <c r="X268" s="15">
        <v>601.59499999999991</v>
      </c>
      <c r="Y268" s="15" t="s">
        <v>2075</v>
      </c>
      <c r="Z268" s="15" t="s">
        <v>2072</v>
      </c>
      <c r="AA268" s="17">
        <v>9</v>
      </c>
      <c r="AB268">
        <v>54.52000000000001</v>
      </c>
    </row>
    <row r="269" spans="1:28">
      <c r="A269" s="18" t="s">
        <v>1617</v>
      </c>
      <c r="B269" s="18" t="s">
        <v>276</v>
      </c>
      <c r="C269" s="18" t="s">
        <v>1618</v>
      </c>
      <c r="D269" s="18">
        <v>62</v>
      </c>
      <c r="E269" s="18" t="s">
        <v>43</v>
      </c>
      <c r="F269" s="18" t="s">
        <v>44</v>
      </c>
      <c r="G269" s="18" t="s">
        <v>1619</v>
      </c>
      <c r="H269" s="18" t="s">
        <v>1620</v>
      </c>
      <c r="I269" s="18" t="s">
        <v>1621</v>
      </c>
      <c r="J269" s="18">
        <v>45678</v>
      </c>
      <c r="K269" s="18" t="s">
        <v>1622</v>
      </c>
      <c r="L269" s="18" t="s">
        <v>253</v>
      </c>
      <c r="M269" s="18">
        <v>128.13999999999999</v>
      </c>
      <c r="N269" s="18">
        <v>5</v>
      </c>
      <c r="O269" s="18" t="s">
        <v>87</v>
      </c>
      <c r="P269" s="18">
        <v>7</v>
      </c>
      <c r="Q269" s="18">
        <v>68</v>
      </c>
      <c r="R269" s="18">
        <v>45685</v>
      </c>
      <c r="S269" s="18" t="s">
        <v>1623</v>
      </c>
      <c r="T269" s="18">
        <v>7</v>
      </c>
      <c r="U269" s="18">
        <v>640.69999999999993</v>
      </c>
      <c r="V269" s="19">
        <v>0.2</v>
      </c>
      <c r="W269" s="18">
        <v>512.55999999999995</v>
      </c>
      <c r="X269" s="18">
        <v>580.55999999999995</v>
      </c>
      <c r="Y269" s="18" t="s">
        <v>2067</v>
      </c>
      <c r="Z269" s="18" t="s">
        <v>2072</v>
      </c>
      <c r="AA269" s="20">
        <v>4</v>
      </c>
      <c r="AB269">
        <v>44.38</v>
      </c>
    </row>
    <row r="270" spans="1:28">
      <c r="A270" s="15" t="s">
        <v>625</v>
      </c>
      <c r="B270" s="15" t="s">
        <v>131</v>
      </c>
      <c r="C270" s="15" t="s">
        <v>626</v>
      </c>
      <c r="D270" s="15">
        <v>47</v>
      </c>
      <c r="E270" s="15" t="s">
        <v>54</v>
      </c>
      <c r="F270" s="15" t="s">
        <v>78</v>
      </c>
      <c r="G270" s="15" t="s">
        <v>627</v>
      </c>
      <c r="H270" s="15" t="s">
        <v>628</v>
      </c>
      <c r="I270" s="15" t="s">
        <v>976</v>
      </c>
      <c r="J270" s="15">
        <v>45051</v>
      </c>
      <c r="K270" s="15" t="s">
        <v>977</v>
      </c>
      <c r="L270" s="15" t="s">
        <v>311</v>
      </c>
      <c r="M270" s="15">
        <v>129.75</v>
      </c>
      <c r="N270" s="15">
        <v>5</v>
      </c>
      <c r="O270" s="15" t="s">
        <v>65</v>
      </c>
      <c r="P270" s="15">
        <v>3</v>
      </c>
      <c r="Q270" s="15">
        <v>43</v>
      </c>
      <c r="R270" s="15">
        <v>45057</v>
      </c>
      <c r="S270" s="15" t="s">
        <v>978</v>
      </c>
      <c r="T270" s="15">
        <v>6</v>
      </c>
      <c r="U270" s="15">
        <v>648.75</v>
      </c>
      <c r="V270" s="16">
        <v>0</v>
      </c>
      <c r="W270" s="15">
        <v>648.75</v>
      </c>
      <c r="X270" s="15">
        <v>648.75</v>
      </c>
      <c r="Y270" s="15" t="s">
        <v>2151</v>
      </c>
      <c r="Z270" s="15" t="s">
        <v>2064</v>
      </c>
      <c r="AA270" s="17">
        <v>2</v>
      </c>
      <c r="AB270">
        <v>0</v>
      </c>
    </row>
    <row r="271" spans="1:28">
      <c r="A271" s="18" t="s">
        <v>1045</v>
      </c>
      <c r="B271" s="18" t="s">
        <v>76</v>
      </c>
      <c r="C271" s="18" t="s">
        <v>1046</v>
      </c>
      <c r="D271" s="18">
        <v>46</v>
      </c>
      <c r="E271" s="18" t="s">
        <v>31</v>
      </c>
      <c r="F271" s="18" t="s">
        <v>32</v>
      </c>
      <c r="G271" s="18" t="s">
        <v>1047</v>
      </c>
      <c r="H271" s="18" t="s">
        <v>1048</v>
      </c>
      <c r="I271" s="18" t="s">
        <v>1049</v>
      </c>
      <c r="J271" s="18">
        <v>45051</v>
      </c>
      <c r="K271" s="18" t="s">
        <v>1050</v>
      </c>
      <c r="L271" s="18" t="s">
        <v>311</v>
      </c>
      <c r="M271" s="18">
        <v>129.75</v>
      </c>
      <c r="N271" s="18">
        <v>5</v>
      </c>
      <c r="O271" s="18" t="s">
        <v>87</v>
      </c>
      <c r="P271" s="18">
        <v>6</v>
      </c>
      <c r="Q271" s="18">
        <v>38</v>
      </c>
      <c r="R271" s="18">
        <v>45057</v>
      </c>
      <c r="S271" s="18" t="s">
        <v>1051</v>
      </c>
      <c r="T271" s="18">
        <v>6</v>
      </c>
      <c r="U271" s="18">
        <v>648.75</v>
      </c>
      <c r="V271" s="19">
        <v>0.2</v>
      </c>
      <c r="W271" s="18">
        <v>519</v>
      </c>
      <c r="X271" s="18">
        <v>557</v>
      </c>
      <c r="Y271" s="18" t="s">
        <v>2156</v>
      </c>
      <c r="Z271" s="18" t="s">
        <v>2072</v>
      </c>
      <c r="AA271" s="20">
        <v>6</v>
      </c>
      <c r="AB271">
        <v>25.222399999999997</v>
      </c>
    </row>
    <row r="272" spans="1:28">
      <c r="A272" s="15" t="s">
        <v>595</v>
      </c>
      <c r="B272" s="15" t="s">
        <v>596</v>
      </c>
      <c r="C272" s="15" t="s">
        <v>597</v>
      </c>
      <c r="D272" s="15">
        <v>21</v>
      </c>
      <c r="E272" s="15" t="s">
        <v>31</v>
      </c>
      <c r="F272" s="15" t="s">
        <v>44</v>
      </c>
      <c r="G272" s="15" t="s">
        <v>598</v>
      </c>
      <c r="H272" s="15" t="s">
        <v>599</v>
      </c>
      <c r="I272" s="15" t="s">
        <v>600</v>
      </c>
      <c r="J272" s="15">
        <v>45041</v>
      </c>
      <c r="K272" s="15" t="s">
        <v>601</v>
      </c>
      <c r="L272" s="15" t="s">
        <v>83</v>
      </c>
      <c r="M272" s="15">
        <v>330.11</v>
      </c>
      <c r="N272" s="15">
        <v>2</v>
      </c>
      <c r="O272" s="15" t="s">
        <v>38</v>
      </c>
      <c r="P272" s="15">
        <v>3</v>
      </c>
      <c r="Q272" s="15">
        <v>64</v>
      </c>
      <c r="R272" s="15">
        <v>45046</v>
      </c>
      <c r="S272" s="15" t="s">
        <v>602</v>
      </c>
      <c r="T272" s="15">
        <v>5</v>
      </c>
      <c r="U272" s="15">
        <v>660.22</v>
      </c>
      <c r="V272" s="16">
        <v>0.08</v>
      </c>
      <c r="W272" s="15">
        <v>607.40240000000006</v>
      </c>
      <c r="X272" s="15">
        <v>671.40240000000006</v>
      </c>
      <c r="Y272" s="15" t="s">
        <v>2153</v>
      </c>
      <c r="Z272" s="15" t="s">
        <v>2064</v>
      </c>
      <c r="AA272" s="17">
        <v>3</v>
      </c>
      <c r="AB272">
        <v>45.623999999999995</v>
      </c>
    </row>
    <row r="273" spans="1:28">
      <c r="A273" s="18" t="s">
        <v>423</v>
      </c>
      <c r="B273" s="18" t="s">
        <v>424</v>
      </c>
      <c r="C273" s="18" t="s">
        <v>425</v>
      </c>
      <c r="D273" s="18">
        <v>52</v>
      </c>
      <c r="E273" s="18" t="s">
        <v>54</v>
      </c>
      <c r="F273" s="18" t="s">
        <v>223</v>
      </c>
      <c r="G273" s="18" t="s">
        <v>426</v>
      </c>
      <c r="H273" s="18" t="s">
        <v>427</v>
      </c>
      <c r="I273" s="18" t="s">
        <v>1639</v>
      </c>
      <c r="J273" s="18">
        <v>44975</v>
      </c>
      <c r="K273" s="18" t="s">
        <v>1640</v>
      </c>
      <c r="L273" s="18" t="s">
        <v>83</v>
      </c>
      <c r="M273" s="18">
        <v>330.11</v>
      </c>
      <c r="N273" s="18">
        <v>2</v>
      </c>
      <c r="O273" s="18" t="s">
        <v>65</v>
      </c>
      <c r="P273" s="18">
        <v>3</v>
      </c>
      <c r="Q273" s="18">
        <v>55</v>
      </c>
      <c r="R273" s="18">
        <v>44976</v>
      </c>
      <c r="S273" s="18" t="s">
        <v>1641</v>
      </c>
      <c r="T273" s="18">
        <v>1</v>
      </c>
      <c r="U273" s="18">
        <v>660.22</v>
      </c>
      <c r="V273" s="19">
        <v>0</v>
      </c>
      <c r="W273" s="18">
        <v>660.22</v>
      </c>
      <c r="X273" s="18">
        <v>660.22</v>
      </c>
      <c r="Y273" s="18" t="s">
        <v>2075</v>
      </c>
      <c r="Z273" s="18" t="s">
        <v>2060</v>
      </c>
      <c r="AA273" s="20">
        <v>5</v>
      </c>
      <c r="AB273">
        <v>8.5975999999999999</v>
      </c>
    </row>
    <row r="274" spans="1:28">
      <c r="A274" s="15" t="s">
        <v>283</v>
      </c>
      <c r="B274" s="15" t="s">
        <v>284</v>
      </c>
      <c r="C274" s="15" t="s">
        <v>285</v>
      </c>
      <c r="D274" s="15">
        <v>64</v>
      </c>
      <c r="E274" s="15" t="s">
        <v>54</v>
      </c>
      <c r="F274" s="15" t="s">
        <v>32</v>
      </c>
      <c r="G274" s="15" t="s">
        <v>286</v>
      </c>
      <c r="H274" s="15" t="s">
        <v>287</v>
      </c>
      <c r="I274" s="15" t="s">
        <v>910</v>
      </c>
      <c r="J274" s="15">
        <v>45129</v>
      </c>
      <c r="K274" s="15" t="s">
        <v>911</v>
      </c>
      <c r="L274" s="15" t="s">
        <v>156</v>
      </c>
      <c r="M274" s="15">
        <v>220.27</v>
      </c>
      <c r="N274" s="15">
        <v>3</v>
      </c>
      <c r="O274" s="15" t="s">
        <v>38</v>
      </c>
      <c r="P274" s="15">
        <v>6</v>
      </c>
      <c r="Q274" s="15">
        <v>48</v>
      </c>
      <c r="R274" s="15">
        <v>45132</v>
      </c>
      <c r="S274" s="15" t="s">
        <v>912</v>
      </c>
      <c r="T274" s="15">
        <v>3</v>
      </c>
      <c r="U274" s="15">
        <v>660.81000000000006</v>
      </c>
      <c r="V274" s="16">
        <v>0.08</v>
      </c>
      <c r="W274" s="15">
        <v>607.94520000000011</v>
      </c>
      <c r="X274" s="15">
        <v>655.94520000000011</v>
      </c>
      <c r="Y274" s="15" t="s">
        <v>2113</v>
      </c>
      <c r="Z274" s="15" t="s">
        <v>2060</v>
      </c>
      <c r="AA274" s="17">
        <v>3</v>
      </c>
      <c r="AB274">
        <v>0</v>
      </c>
    </row>
    <row r="275" spans="1:28">
      <c r="A275" s="18" t="s">
        <v>139</v>
      </c>
      <c r="B275" s="18" t="s">
        <v>140</v>
      </c>
      <c r="C275" s="18" t="s">
        <v>141</v>
      </c>
      <c r="D275" s="18">
        <v>25</v>
      </c>
      <c r="E275" s="18" t="s">
        <v>54</v>
      </c>
      <c r="F275" s="18" t="s">
        <v>142</v>
      </c>
      <c r="G275" s="18" t="s">
        <v>143</v>
      </c>
      <c r="H275" s="18" t="s">
        <v>144</v>
      </c>
      <c r="I275" s="18" t="s">
        <v>2041</v>
      </c>
      <c r="J275" s="18">
        <v>45107</v>
      </c>
      <c r="K275" s="18" t="s">
        <v>2042</v>
      </c>
      <c r="L275" s="18" t="s">
        <v>156</v>
      </c>
      <c r="M275" s="18">
        <v>220.27</v>
      </c>
      <c r="N275" s="18">
        <v>3</v>
      </c>
      <c r="O275" s="18" t="s">
        <v>65</v>
      </c>
      <c r="P275" s="18">
        <v>4</v>
      </c>
      <c r="Q275" s="18">
        <v>50</v>
      </c>
      <c r="R275" s="18">
        <v>45108</v>
      </c>
      <c r="S275" s="18" t="s">
        <v>2043</v>
      </c>
      <c r="T275" s="18">
        <v>1</v>
      </c>
      <c r="U275" s="18">
        <v>660.81000000000006</v>
      </c>
      <c r="V275" s="19">
        <v>0</v>
      </c>
      <c r="W275" s="18">
        <v>660.81000000000006</v>
      </c>
      <c r="X275" s="18">
        <v>660.81000000000006</v>
      </c>
      <c r="Y275" s="18" t="s">
        <v>2063</v>
      </c>
      <c r="Z275" s="18" t="s">
        <v>2060</v>
      </c>
      <c r="AA275" s="20">
        <v>7</v>
      </c>
      <c r="AB275">
        <v>0</v>
      </c>
    </row>
    <row r="276" spans="1:28">
      <c r="A276" s="15" t="s">
        <v>708</v>
      </c>
      <c r="B276" s="15" t="s">
        <v>709</v>
      </c>
      <c r="C276" s="15" t="s">
        <v>710</v>
      </c>
      <c r="D276" s="15">
        <v>26</v>
      </c>
      <c r="E276" s="15" t="s">
        <v>54</v>
      </c>
      <c r="F276" s="15" t="s">
        <v>78</v>
      </c>
      <c r="G276" s="15" t="s">
        <v>711</v>
      </c>
      <c r="H276" s="15" t="s">
        <v>712</v>
      </c>
      <c r="I276" s="15" t="s">
        <v>808</v>
      </c>
      <c r="J276" s="15">
        <v>45450</v>
      </c>
      <c r="K276" s="15" t="s">
        <v>809</v>
      </c>
      <c r="L276" s="15" t="s">
        <v>237</v>
      </c>
      <c r="M276" s="15">
        <v>132.97</v>
      </c>
      <c r="N276" s="15">
        <v>5</v>
      </c>
      <c r="O276" s="15" t="s">
        <v>87</v>
      </c>
      <c r="P276" s="15">
        <v>3</v>
      </c>
      <c r="Q276" s="15">
        <v>45</v>
      </c>
      <c r="R276" s="15">
        <v>45452</v>
      </c>
      <c r="S276" s="15" t="s">
        <v>810</v>
      </c>
      <c r="T276" s="15">
        <v>2</v>
      </c>
      <c r="U276" s="15">
        <v>664.85</v>
      </c>
      <c r="V276" s="16">
        <v>0.2</v>
      </c>
      <c r="W276" s="15">
        <v>531.88</v>
      </c>
      <c r="X276" s="15">
        <v>576.88</v>
      </c>
      <c r="Y276" s="15" t="s">
        <v>2068</v>
      </c>
      <c r="Z276" s="15" t="s">
        <v>2060</v>
      </c>
      <c r="AA276" s="17">
        <v>2</v>
      </c>
      <c r="AB276">
        <v>0</v>
      </c>
    </row>
    <row r="277" spans="1:28">
      <c r="A277" s="18" t="s">
        <v>40</v>
      </c>
      <c r="B277" s="18" t="s">
        <v>41</v>
      </c>
      <c r="C277" s="18" t="s">
        <v>42</v>
      </c>
      <c r="D277" s="18">
        <v>53</v>
      </c>
      <c r="E277" s="18" t="s">
        <v>43</v>
      </c>
      <c r="F277" s="18" t="s">
        <v>44</v>
      </c>
      <c r="G277" s="18" t="s">
        <v>45</v>
      </c>
      <c r="H277" s="18" t="s">
        <v>46</v>
      </c>
      <c r="I277" s="18" t="s">
        <v>47</v>
      </c>
      <c r="J277" s="18">
        <v>45378</v>
      </c>
      <c r="K277" s="18" t="s">
        <v>48</v>
      </c>
      <c r="L277" s="18" t="s">
        <v>49</v>
      </c>
      <c r="M277" s="18">
        <v>166.28</v>
      </c>
      <c r="N277" s="18">
        <v>4</v>
      </c>
      <c r="O277" s="18" t="s">
        <v>38</v>
      </c>
      <c r="P277" s="18">
        <v>7</v>
      </c>
      <c r="Q277" s="18">
        <v>66</v>
      </c>
      <c r="R277" s="18">
        <v>45381</v>
      </c>
      <c r="S277" s="18" t="s">
        <v>50</v>
      </c>
      <c r="T277" s="18">
        <v>3</v>
      </c>
      <c r="U277" s="18">
        <v>665.12</v>
      </c>
      <c r="V277" s="19">
        <v>0.08</v>
      </c>
      <c r="W277" s="18">
        <v>611.91039999999998</v>
      </c>
      <c r="X277" s="18">
        <v>677.91039999999998</v>
      </c>
      <c r="Y277" s="18" t="s">
        <v>2105</v>
      </c>
      <c r="Z277" s="18" t="s">
        <v>2060</v>
      </c>
      <c r="AA277" s="20">
        <v>11</v>
      </c>
      <c r="AB277">
        <v>8.3344000000000005</v>
      </c>
    </row>
    <row r="278" spans="1:28">
      <c r="A278" s="15" t="s">
        <v>396</v>
      </c>
      <c r="B278" s="15" t="s">
        <v>397</v>
      </c>
      <c r="C278" s="15" t="s">
        <v>398</v>
      </c>
      <c r="D278" s="15">
        <v>40</v>
      </c>
      <c r="E278" s="15" t="s">
        <v>54</v>
      </c>
      <c r="F278" s="15" t="s">
        <v>170</v>
      </c>
      <c r="G278" s="15" t="s">
        <v>399</v>
      </c>
      <c r="H278" s="15" t="s">
        <v>400</v>
      </c>
      <c r="I278" s="15" t="s">
        <v>401</v>
      </c>
      <c r="J278" s="15">
        <v>45620</v>
      </c>
      <c r="K278" s="15" t="s">
        <v>402</v>
      </c>
      <c r="L278" s="15" t="s">
        <v>49</v>
      </c>
      <c r="M278" s="15">
        <v>166.28</v>
      </c>
      <c r="N278" s="15">
        <v>4</v>
      </c>
      <c r="O278" s="15" t="s">
        <v>65</v>
      </c>
      <c r="P278" s="15">
        <v>3</v>
      </c>
      <c r="Q278" s="15">
        <v>41</v>
      </c>
      <c r="R278" s="15">
        <v>45626</v>
      </c>
      <c r="S278" s="15" t="s">
        <v>403</v>
      </c>
      <c r="T278" s="15">
        <v>6</v>
      </c>
      <c r="U278" s="15">
        <v>665.12</v>
      </c>
      <c r="V278" s="16">
        <v>0</v>
      </c>
      <c r="W278" s="15">
        <v>665.12</v>
      </c>
      <c r="X278" s="15">
        <v>665.12</v>
      </c>
      <c r="Y278" s="15" t="s">
        <v>2115</v>
      </c>
      <c r="Z278" s="15" t="s">
        <v>2064</v>
      </c>
      <c r="AA278" s="17">
        <v>5</v>
      </c>
      <c r="AB278">
        <v>68.094399999999993</v>
      </c>
    </row>
    <row r="279" spans="1:28">
      <c r="A279" s="18" t="s">
        <v>642</v>
      </c>
      <c r="B279" s="18" t="s">
        <v>150</v>
      </c>
      <c r="C279" s="18" t="s">
        <v>643</v>
      </c>
      <c r="D279" s="18">
        <v>44</v>
      </c>
      <c r="E279" s="18" t="s">
        <v>54</v>
      </c>
      <c r="F279" s="18" t="s">
        <v>92</v>
      </c>
      <c r="G279" s="18" t="s">
        <v>644</v>
      </c>
      <c r="H279" s="18" t="s">
        <v>645</v>
      </c>
      <c r="I279" s="18" t="s">
        <v>961</v>
      </c>
      <c r="J279" s="18">
        <v>45186</v>
      </c>
      <c r="K279" s="18" t="s">
        <v>962</v>
      </c>
      <c r="L279" s="18" t="s">
        <v>49</v>
      </c>
      <c r="M279" s="18">
        <v>166.28</v>
      </c>
      <c r="N279" s="18">
        <v>4</v>
      </c>
      <c r="O279" s="18" t="s">
        <v>87</v>
      </c>
      <c r="P279" s="18">
        <v>6</v>
      </c>
      <c r="Q279" s="18">
        <v>36</v>
      </c>
      <c r="R279" s="18">
        <v>45193</v>
      </c>
      <c r="S279" s="18" t="s">
        <v>963</v>
      </c>
      <c r="T279" s="18">
        <v>7</v>
      </c>
      <c r="U279" s="18">
        <v>665.12</v>
      </c>
      <c r="V279" s="19">
        <v>0.2</v>
      </c>
      <c r="W279" s="18">
        <v>532.096</v>
      </c>
      <c r="X279" s="18">
        <v>568.096</v>
      </c>
      <c r="Y279" s="18" t="s">
        <v>2065</v>
      </c>
      <c r="Z279" s="18" t="s">
        <v>2064</v>
      </c>
      <c r="AA279" s="20">
        <v>4</v>
      </c>
      <c r="AB279">
        <v>0</v>
      </c>
    </row>
    <row r="280" spans="1:28">
      <c r="A280" s="15" t="s">
        <v>578</v>
      </c>
      <c r="B280" s="15" t="s">
        <v>259</v>
      </c>
      <c r="C280" s="15" t="s">
        <v>579</v>
      </c>
      <c r="D280" s="15">
        <v>35</v>
      </c>
      <c r="E280" s="15" t="s">
        <v>31</v>
      </c>
      <c r="F280" s="15" t="s">
        <v>32</v>
      </c>
      <c r="G280" s="15" t="s">
        <v>580</v>
      </c>
      <c r="H280" s="15" t="s">
        <v>581</v>
      </c>
      <c r="I280" s="15" t="s">
        <v>1061</v>
      </c>
      <c r="J280" s="15">
        <v>45253</v>
      </c>
      <c r="K280" s="15" t="s">
        <v>1062</v>
      </c>
      <c r="L280" s="15" t="s">
        <v>49</v>
      </c>
      <c r="M280" s="15">
        <v>166.28</v>
      </c>
      <c r="N280" s="15">
        <v>4</v>
      </c>
      <c r="O280" s="15" t="s">
        <v>98</v>
      </c>
      <c r="P280" s="15">
        <v>4</v>
      </c>
      <c r="Q280" s="15">
        <v>44</v>
      </c>
      <c r="R280" s="15">
        <v>45257</v>
      </c>
      <c r="S280" s="15" t="s">
        <v>1063</v>
      </c>
      <c r="T280" s="15">
        <v>4</v>
      </c>
      <c r="U280" s="15">
        <v>665.12</v>
      </c>
      <c r="V280" s="16">
        <v>0.1</v>
      </c>
      <c r="W280" s="15">
        <v>598.60799999999995</v>
      </c>
      <c r="X280" s="15">
        <v>642.60799999999995</v>
      </c>
      <c r="Y280" s="15" t="s">
        <v>2116</v>
      </c>
      <c r="Z280" s="15" t="s">
        <v>2072</v>
      </c>
      <c r="AA280" s="17">
        <v>5</v>
      </c>
      <c r="AB280">
        <v>37.451999999999998</v>
      </c>
    </row>
    <row r="281" spans="1:28">
      <c r="A281" s="18" t="s">
        <v>595</v>
      </c>
      <c r="B281" s="18" t="s">
        <v>596</v>
      </c>
      <c r="C281" s="18" t="s">
        <v>597</v>
      </c>
      <c r="D281" s="18">
        <v>21</v>
      </c>
      <c r="E281" s="18" t="s">
        <v>31</v>
      </c>
      <c r="F281" s="18" t="s">
        <v>44</v>
      </c>
      <c r="G281" s="18" t="s">
        <v>598</v>
      </c>
      <c r="H281" s="18" t="s">
        <v>599</v>
      </c>
      <c r="I281" s="18" t="s">
        <v>705</v>
      </c>
      <c r="J281" s="18">
        <v>45530</v>
      </c>
      <c r="K281" s="18" t="s">
        <v>706</v>
      </c>
      <c r="L281" s="18" t="s">
        <v>566</v>
      </c>
      <c r="M281" s="18">
        <v>133.62</v>
      </c>
      <c r="N281" s="18">
        <v>5</v>
      </c>
      <c r="O281" s="18" t="s">
        <v>60</v>
      </c>
      <c r="P281" s="18">
        <v>6</v>
      </c>
      <c r="Q281" s="18">
        <v>64</v>
      </c>
      <c r="R281" s="18">
        <v>45532</v>
      </c>
      <c r="S281" s="18" t="s">
        <v>707</v>
      </c>
      <c r="T281" s="18">
        <v>2</v>
      </c>
      <c r="U281" s="18">
        <v>668.1</v>
      </c>
      <c r="V281" s="19">
        <v>0.15</v>
      </c>
      <c r="W281" s="18">
        <v>567.88499999999999</v>
      </c>
      <c r="X281" s="18">
        <v>631.88499999999999</v>
      </c>
      <c r="Y281" s="18" t="s">
        <v>2153</v>
      </c>
      <c r="Z281" s="18" t="s">
        <v>2060</v>
      </c>
      <c r="AA281" s="20">
        <v>9</v>
      </c>
      <c r="AB281">
        <v>51.412000000000006</v>
      </c>
    </row>
    <row r="282" spans="1:28">
      <c r="A282" s="15" t="s">
        <v>28</v>
      </c>
      <c r="B282" s="15" t="s">
        <v>29</v>
      </c>
      <c r="C282" s="15" t="s">
        <v>30</v>
      </c>
      <c r="D282" s="15">
        <v>37</v>
      </c>
      <c r="E282" s="15" t="s">
        <v>31</v>
      </c>
      <c r="F282" s="15" t="s">
        <v>32</v>
      </c>
      <c r="G282" s="15" t="s">
        <v>33</v>
      </c>
      <c r="H282" s="15" t="s">
        <v>34</v>
      </c>
      <c r="I282" s="15" t="s">
        <v>1009</v>
      </c>
      <c r="J282" s="15">
        <v>45095</v>
      </c>
      <c r="K282" s="15" t="s">
        <v>1010</v>
      </c>
      <c r="L282" s="15" t="s">
        <v>566</v>
      </c>
      <c r="M282" s="15">
        <v>133.62</v>
      </c>
      <c r="N282" s="15">
        <v>5</v>
      </c>
      <c r="O282" s="15" t="s">
        <v>65</v>
      </c>
      <c r="P282" s="15">
        <v>7</v>
      </c>
      <c r="Q282" s="15">
        <v>58</v>
      </c>
      <c r="R282" s="15">
        <v>45098</v>
      </c>
      <c r="S282" s="15" t="s">
        <v>1011</v>
      </c>
      <c r="T282" s="15">
        <v>3</v>
      </c>
      <c r="U282" s="15">
        <v>668.1</v>
      </c>
      <c r="V282" s="16">
        <v>0</v>
      </c>
      <c r="W282" s="15">
        <v>668.1</v>
      </c>
      <c r="X282" s="15">
        <v>668.1</v>
      </c>
      <c r="Y282" s="15" t="s">
        <v>2140</v>
      </c>
      <c r="Z282" s="15" t="s">
        <v>2060</v>
      </c>
      <c r="AA282" s="17">
        <v>1</v>
      </c>
      <c r="AB282">
        <v>218.00800000000001</v>
      </c>
    </row>
    <row r="283" spans="1:28">
      <c r="A283" s="18" t="s">
        <v>510</v>
      </c>
      <c r="B283" s="18" t="s">
        <v>511</v>
      </c>
      <c r="C283" s="18" t="s">
        <v>512</v>
      </c>
      <c r="D283" s="18">
        <v>64</v>
      </c>
      <c r="E283" s="18" t="s">
        <v>31</v>
      </c>
      <c r="F283" s="18" t="s">
        <v>32</v>
      </c>
      <c r="G283" s="18" t="s">
        <v>513</v>
      </c>
      <c r="H283" s="18" t="s">
        <v>514</v>
      </c>
      <c r="I283" s="18" t="s">
        <v>515</v>
      </c>
      <c r="J283" s="18">
        <v>45503</v>
      </c>
      <c r="K283" s="18" t="s">
        <v>516</v>
      </c>
      <c r="L283" s="18" t="s">
        <v>517</v>
      </c>
      <c r="M283" s="18">
        <v>136.30000000000001</v>
      </c>
      <c r="N283" s="18">
        <v>5</v>
      </c>
      <c r="O283" s="18" t="s">
        <v>60</v>
      </c>
      <c r="P283" s="18">
        <v>6</v>
      </c>
      <c r="Q283" s="18">
        <v>39</v>
      </c>
      <c r="R283" s="18">
        <v>45510</v>
      </c>
      <c r="S283" s="18" t="s">
        <v>518</v>
      </c>
      <c r="T283" s="18">
        <v>7</v>
      </c>
      <c r="U283" s="18">
        <v>681.5</v>
      </c>
      <c r="V283" s="19">
        <v>0.15</v>
      </c>
      <c r="W283" s="18">
        <v>579.27499999999998</v>
      </c>
      <c r="X283" s="18">
        <v>618.27499999999998</v>
      </c>
      <c r="Y283" s="18" t="s">
        <v>2096</v>
      </c>
      <c r="Z283" s="18" t="s">
        <v>2064</v>
      </c>
      <c r="AA283" s="20">
        <v>11</v>
      </c>
      <c r="AB283">
        <v>64.484799999999993</v>
      </c>
    </row>
    <row r="284" spans="1:28">
      <c r="A284" s="15" t="s">
        <v>130</v>
      </c>
      <c r="B284" s="15" t="s">
        <v>131</v>
      </c>
      <c r="C284" s="15" t="s">
        <v>132</v>
      </c>
      <c r="D284" s="15">
        <v>30</v>
      </c>
      <c r="E284" s="15" t="s">
        <v>43</v>
      </c>
      <c r="F284" s="15" t="s">
        <v>44</v>
      </c>
      <c r="G284" s="15" t="s">
        <v>133</v>
      </c>
      <c r="H284" s="15" t="s">
        <v>134</v>
      </c>
      <c r="I284" s="15" t="s">
        <v>135</v>
      </c>
      <c r="J284" s="15">
        <v>44997</v>
      </c>
      <c r="K284" s="15" t="s">
        <v>136</v>
      </c>
      <c r="L284" s="15" t="s">
        <v>137</v>
      </c>
      <c r="M284" s="15">
        <v>175.93</v>
      </c>
      <c r="N284" s="15">
        <v>4</v>
      </c>
      <c r="O284" s="15" t="s">
        <v>38</v>
      </c>
      <c r="P284" s="15">
        <v>3</v>
      </c>
      <c r="Q284" s="15">
        <v>65</v>
      </c>
      <c r="R284" s="15">
        <v>44999</v>
      </c>
      <c r="S284" s="15" t="s">
        <v>138</v>
      </c>
      <c r="T284" s="15">
        <v>2</v>
      </c>
      <c r="U284" s="15">
        <v>703.72</v>
      </c>
      <c r="V284" s="16">
        <v>0.08</v>
      </c>
      <c r="W284" s="15">
        <v>647.42240000000004</v>
      </c>
      <c r="X284" s="15">
        <v>712.42240000000004</v>
      </c>
      <c r="Y284" s="15" t="s">
        <v>2147</v>
      </c>
      <c r="Z284" s="15" t="s">
        <v>2060</v>
      </c>
      <c r="AA284" s="17">
        <v>10</v>
      </c>
      <c r="AB284">
        <v>138.321</v>
      </c>
    </row>
    <row r="285" spans="1:28">
      <c r="A285" s="18" t="s">
        <v>139</v>
      </c>
      <c r="B285" s="18" t="s">
        <v>140</v>
      </c>
      <c r="C285" s="18" t="s">
        <v>141</v>
      </c>
      <c r="D285" s="18">
        <v>25</v>
      </c>
      <c r="E285" s="18" t="s">
        <v>54</v>
      </c>
      <c r="F285" s="18" t="s">
        <v>142</v>
      </c>
      <c r="G285" s="18" t="s">
        <v>143</v>
      </c>
      <c r="H285" s="18" t="s">
        <v>144</v>
      </c>
      <c r="I285" s="18" t="s">
        <v>1373</v>
      </c>
      <c r="J285" s="18">
        <v>45090</v>
      </c>
      <c r="K285" s="18" t="s">
        <v>1374</v>
      </c>
      <c r="L285" s="18" t="s">
        <v>137</v>
      </c>
      <c r="M285" s="18">
        <v>175.93</v>
      </c>
      <c r="N285" s="18">
        <v>4</v>
      </c>
      <c r="O285" s="18" t="s">
        <v>87</v>
      </c>
      <c r="P285" s="18">
        <v>6</v>
      </c>
      <c r="Q285" s="18">
        <v>45</v>
      </c>
      <c r="R285" s="18">
        <v>45097</v>
      </c>
      <c r="S285" s="18" t="s">
        <v>1375</v>
      </c>
      <c r="T285" s="18">
        <v>7</v>
      </c>
      <c r="U285" s="18">
        <v>703.72</v>
      </c>
      <c r="V285" s="19">
        <v>0.2</v>
      </c>
      <c r="W285" s="18">
        <v>562.976</v>
      </c>
      <c r="X285" s="18">
        <v>607.976</v>
      </c>
      <c r="Y285" s="18" t="s">
        <v>2063</v>
      </c>
      <c r="Z285" s="18" t="s">
        <v>2064</v>
      </c>
      <c r="AA285" s="20">
        <v>8</v>
      </c>
      <c r="AB285">
        <v>264.61799999999999</v>
      </c>
    </row>
    <row r="286" spans="1:28">
      <c r="A286" s="15" t="s">
        <v>708</v>
      </c>
      <c r="B286" s="15" t="s">
        <v>709</v>
      </c>
      <c r="C286" s="15" t="s">
        <v>710</v>
      </c>
      <c r="D286" s="15">
        <v>26</v>
      </c>
      <c r="E286" s="15" t="s">
        <v>54</v>
      </c>
      <c r="F286" s="15" t="s">
        <v>78</v>
      </c>
      <c r="G286" s="15" t="s">
        <v>711</v>
      </c>
      <c r="H286" s="15" t="s">
        <v>712</v>
      </c>
      <c r="I286" s="15" t="s">
        <v>1666</v>
      </c>
      <c r="J286" s="15">
        <v>45238</v>
      </c>
      <c r="K286" s="15" t="s">
        <v>1667</v>
      </c>
      <c r="L286" s="15" t="s">
        <v>137</v>
      </c>
      <c r="M286" s="15">
        <v>175.93</v>
      </c>
      <c r="N286" s="15">
        <v>4</v>
      </c>
      <c r="O286" s="15" t="s">
        <v>87</v>
      </c>
      <c r="P286" s="15">
        <v>6</v>
      </c>
      <c r="Q286" s="15">
        <v>54</v>
      </c>
      <c r="R286" s="15">
        <v>45240</v>
      </c>
      <c r="S286" s="15" t="s">
        <v>1668</v>
      </c>
      <c r="T286" s="15">
        <v>2</v>
      </c>
      <c r="U286" s="15">
        <v>703.72</v>
      </c>
      <c r="V286" s="16">
        <v>0.2</v>
      </c>
      <c r="W286" s="15">
        <v>562.976</v>
      </c>
      <c r="X286" s="15">
        <v>616.976</v>
      </c>
      <c r="Y286" s="15" t="s">
        <v>2068</v>
      </c>
      <c r="Z286" s="15" t="s">
        <v>2060</v>
      </c>
      <c r="AA286" s="17">
        <v>6</v>
      </c>
      <c r="AB286">
        <v>140.744</v>
      </c>
    </row>
    <row r="287" spans="1:28">
      <c r="A287" s="18" t="s">
        <v>719</v>
      </c>
      <c r="B287" s="18" t="s">
        <v>720</v>
      </c>
      <c r="C287" s="18" t="s">
        <v>721</v>
      </c>
      <c r="D287" s="18">
        <v>32</v>
      </c>
      <c r="E287" s="18" t="s">
        <v>43</v>
      </c>
      <c r="F287" s="18" t="s">
        <v>32</v>
      </c>
      <c r="G287" s="18" t="s">
        <v>722</v>
      </c>
      <c r="H287" s="18" t="s">
        <v>723</v>
      </c>
      <c r="I287" s="18" t="s">
        <v>1006</v>
      </c>
      <c r="J287" s="18">
        <v>45343</v>
      </c>
      <c r="K287" s="18" t="s">
        <v>1007</v>
      </c>
      <c r="L287" s="18" t="s">
        <v>660</v>
      </c>
      <c r="M287" s="18">
        <v>235.63</v>
      </c>
      <c r="N287" s="18">
        <v>3</v>
      </c>
      <c r="O287" s="18" t="s">
        <v>98</v>
      </c>
      <c r="P287" s="18">
        <v>5</v>
      </c>
      <c r="Q287" s="18">
        <v>44</v>
      </c>
      <c r="R287" s="18">
        <v>45347</v>
      </c>
      <c r="S287" s="18" t="s">
        <v>1008</v>
      </c>
      <c r="T287" s="18">
        <v>4</v>
      </c>
      <c r="U287" s="18">
        <v>706.89</v>
      </c>
      <c r="V287" s="19">
        <v>0.1</v>
      </c>
      <c r="W287" s="18">
        <v>636.20100000000002</v>
      </c>
      <c r="X287" s="18">
        <v>680.20100000000002</v>
      </c>
      <c r="Y287" s="18" t="s">
        <v>2155</v>
      </c>
      <c r="Z287" s="18" t="s">
        <v>2060</v>
      </c>
      <c r="AA287" s="20">
        <v>5</v>
      </c>
      <c r="AB287">
        <v>88.5672</v>
      </c>
    </row>
    <row r="288" spans="1:28">
      <c r="A288" s="15" t="s">
        <v>1617</v>
      </c>
      <c r="B288" s="15" t="s">
        <v>276</v>
      </c>
      <c r="C288" s="15" t="s">
        <v>1618</v>
      </c>
      <c r="D288" s="15">
        <v>62</v>
      </c>
      <c r="E288" s="15" t="s">
        <v>43</v>
      </c>
      <c r="F288" s="15" t="s">
        <v>44</v>
      </c>
      <c r="G288" s="15" t="s">
        <v>1619</v>
      </c>
      <c r="H288" s="15" t="s">
        <v>1620</v>
      </c>
      <c r="I288" s="15" t="s">
        <v>1949</v>
      </c>
      <c r="J288" s="15">
        <v>45393</v>
      </c>
      <c r="K288" s="15" t="s">
        <v>1950</v>
      </c>
      <c r="L288" s="15" t="s">
        <v>660</v>
      </c>
      <c r="M288" s="15">
        <v>235.63</v>
      </c>
      <c r="N288" s="15">
        <v>3</v>
      </c>
      <c r="O288" s="15" t="s">
        <v>65</v>
      </c>
      <c r="P288" s="15">
        <v>6</v>
      </c>
      <c r="Q288" s="15">
        <v>41</v>
      </c>
      <c r="R288" s="15">
        <v>45398</v>
      </c>
      <c r="S288" s="15" t="s">
        <v>1951</v>
      </c>
      <c r="T288" s="15">
        <v>5</v>
      </c>
      <c r="U288" s="15">
        <v>706.89</v>
      </c>
      <c r="V288" s="16">
        <v>0</v>
      </c>
      <c r="W288" s="15">
        <v>706.89</v>
      </c>
      <c r="X288" s="15">
        <v>706.89</v>
      </c>
      <c r="Y288" s="15" t="s">
        <v>2067</v>
      </c>
      <c r="Z288" s="15" t="s">
        <v>2060</v>
      </c>
      <c r="AA288" s="17">
        <v>1</v>
      </c>
      <c r="AB288">
        <v>192.59200000000001</v>
      </c>
    </row>
    <row r="289" spans="1:28">
      <c r="A289" s="18" t="s">
        <v>258</v>
      </c>
      <c r="B289" s="18" t="s">
        <v>259</v>
      </c>
      <c r="C289" s="18" t="s">
        <v>260</v>
      </c>
      <c r="D289" s="18">
        <v>60</v>
      </c>
      <c r="E289" s="18" t="s">
        <v>54</v>
      </c>
      <c r="F289" s="18" t="s">
        <v>32</v>
      </c>
      <c r="G289" s="18" t="s">
        <v>261</v>
      </c>
      <c r="H289" s="18" t="s">
        <v>262</v>
      </c>
      <c r="I289" s="18" t="s">
        <v>263</v>
      </c>
      <c r="J289" s="18">
        <v>44987</v>
      </c>
      <c r="K289" s="18" t="s">
        <v>264</v>
      </c>
      <c r="L289" s="18" t="s">
        <v>97</v>
      </c>
      <c r="M289" s="18">
        <v>363.64</v>
      </c>
      <c r="N289" s="18">
        <v>2</v>
      </c>
      <c r="O289" s="18" t="s">
        <v>60</v>
      </c>
      <c r="P289" s="18">
        <v>1</v>
      </c>
      <c r="Q289" s="18">
        <v>43</v>
      </c>
      <c r="R289" s="18">
        <v>44988</v>
      </c>
      <c r="S289" s="18" t="s">
        <v>265</v>
      </c>
      <c r="T289" s="18">
        <v>1</v>
      </c>
      <c r="U289" s="18">
        <v>727.28</v>
      </c>
      <c r="V289" s="19">
        <v>0.15</v>
      </c>
      <c r="W289" s="18">
        <v>618.18799999999999</v>
      </c>
      <c r="X289" s="18">
        <v>661.18799999999999</v>
      </c>
      <c r="Y289" s="18" t="s">
        <v>2132</v>
      </c>
      <c r="Z289" s="18" t="s">
        <v>2072</v>
      </c>
      <c r="AA289" s="20">
        <v>6</v>
      </c>
      <c r="AB289">
        <v>102.1416</v>
      </c>
    </row>
    <row r="290" spans="1:28">
      <c r="A290" s="15" t="s">
        <v>510</v>
      </c>
      <c r="B290" s="15" t="s">
        <v>511</v>
      </c>
      <c r="C290" s="15" t="s">
        <v>512</v>
      </c>
      <c r="D290" s="15">
        <v>64</v>
      </c>
      <c r="E290" s="15" t="s">
        <v>31</v>
      </c>
      <c r="F290" s="15" t="s">
        <v>32</v>
      </c>
      <c r="G290" s="15" t="s">
        <v>513</v>
      </c>
      <c r="H290" s="15" t="s">
        <v>514</v>
      </c>
      <c r="I290" s="15" t="s">
        <v>922</v>
      </c>
      <c r="J290" s="15">
        <v>45089</v>
      </c>
      <c r="K290" s="15" t="s">
        <v>923</v>
      </c>
      <c r="L290" s="15" t="s">
        <v>97</v>
      </c>
      <c r="M290" s="15">
        <v>363.64</v>
      </c>
      <c r="N290" s="15">
        <v>2</v>
      </c>
      <c r="O290" s="15" t="s">
        <v>65</v>
      </c>
      <c r="P290" s="15">
        <v>4</v>
      </c>
      <c r="Q290" s="15">
        <v>40</v>
      </c>
      <c r="R290" s="15">
        <v>45091</v>
      </c>
      <c r="S290" s="15" t="s">
        <v>924</v>
      </c>
      <c r="T290" s="15">
        <v>2</v>
      </c>
      <c r="U290" s="15">
        <v>727.28</v>
      </c>
      <c r="V290" s="16">
        <v>0</v>
      </c>
      <c r="W290" s="15">
        <v>727.28</v>
      </c>
      <c r="X290" s="15">
        <v>727.28</v>
      </c>
      <c r="Y290" s="15" t="s">
        <v>2096</v>
      </c>
      <c r="Z290" s="15" t="s">
        <v>2060</v>
      </c>
      <c r="AA290" s="17">
        <v>1</v>
      </c>
      <c r="AB290">
        <v>5.3584000000000005</v>
      </c>
    </row>
    <row r="291" spans="1:28">
      <c r="A291" s="18" t="s">
        <v>212</v>
      </c>
      <c r="B291" s="18" t="s">
        <v>213</v>
      </c>
      <c r="C291" s="18" t="s">
        <v>214</v>
      </c>
      <c r="D291" s="18">
        <v>39</v>
      </c>
      <c r="E291" s="18" t="s">
        <v>43</v>
      </c>
      <c r="F291" s="18" t="s">
        <v>161</v>
      </c>
      <c r="G291" s="18" t="s">
        <v>215</v>
      </c>
      <c r="H291" s="18" t="s">
        <v>216</v>
      </c>
      <c r="I291" s="18" t="s">
        <v>1129</v>
      </c>
      <c r="J291" s="18">
        <v>45541</v>
      </c>
      <c r="K291" s="18" t="s">
        <v>1130</v>
      </c>
      <c r="L291" s="18" t="s">
        <v>97</v>
      </c>
      <c r="M291" s="18">
        <v>363.64</v>
      </c>
      <c r="N291" s="18">
        <v>2</v>
      </c>
      <c r="O291" s="18" t="s">
        <v>87</v>
      </c>
      <c r="P291" s="18">
        <v>6</v>
      </c>
      <c r="Q291" s="18">
        <v>37</v>
      </c>
      <c r="R291" s="18">
        <v>45544</v>
      </c>
      <c r="S291" s="18" t="s">
        <v>1131</v>
      </c>
      <c r="T291" s="18">
        <v>3</v>
      </c>
      <c r="U291" s="18">
        <v>727.28</v>
      </c>
      <c r="V291" s="19">
        <v>0.2</v>
      </c>
      <c r="W291" s="18">
        <v>581.82399999999996</v>
      </c>
      <c r="X291" s="18">
        <v>618.82399999999996</v>
      </c>
      <c r="Y291" s="18" t="s">
        <v>2085</v>
      </c>
      <c r="Z291" s="18" t="s">
        <v>2060</v>
      </c>
      <c r="AA291" s="20">
        <v>4</v>
      </c>
      <c r="AB291">
        <v>162</v>
      </c>
    </row>
    <row r="292" spans="1:28">
      <c r="A292" s="15" t="s">
        <v>304</v>
      </c>
      <c r="B292" s="15" t="s">
        <v>305</v>
      </c>
      <c r="C292" s="15" t="s">
        <v>306</v>
      </c>
      <c r="D292" s="15">
        <v>26</v>
      </c>
      <c r="E292" s="15" t="s">
        <v>54</v>
      </c>
      <c r="F292" s="15" t="s">
        <v>170</v>
      </c>
      <c r="G292" s="15" t="s">
        <v>307</v>
      </c>
      <c r="H292" s="15" t="s">
        <v>308</v>
      </c>
      <c r="I292" s="15" t="s">
        <v>431</v>
      </c>
      <c r="J292" s="15">
        <v>45312</v>
      </c>
      <c r="K292" s="15" t="s">
        <v>432</v>
      </c>
      <c r="L292" s="15" t="s">
        <v>433</v>
      </c>
      <c r="M292" s="15">
        <v>369.03</v>
      </c>
      <c r="N292" s="15">
        <v>2</v>
      </c>
      <c r="O292" s="15" t="s">
        <v>98</v>
      </c>
      <c r="P292" s="15">
        <v>4</v>
      </c>
      <c r="Q292" s="15">
        <v>46</v>
      </c>
      <c r="R292" s="15">
        <v>45318</v>
      </c>
      <c r="S292" s="15" t="s">
        <v>434</v>
      </c>
      <c r="T292" s="15">
        <v>6</v>
      </c>
      <c r="U292" s="15">
        <v>738.06</v>
      </c>
      <c r="V292" s="16">
        <v>0.1</v>
      </c>
      <c r="W292" s="15">
        <v>664.25399999999991</v>
      </c>
      <c r="X292" s="15">
        <v>710.25399999999991</v>
      </c>
      <c r="Y292" s="15" t="s">
        <v>2109</v>
      </c>
      <c r="Z292" s="15" t="s">
        <v>2064</v>
      </c>
      <c r="AA292" s="17">
        <v>6</v>
      </c>
      <c r="AB292">
        <v>288.88800000000003</v>
      </c>
    </row>
    <row r="293" spans="1:28">
      <c r="A293" s="18" t="s">
        <v>753</v>
      </c>
      <c r="B293" s="18" t="s">
        <v>754</v>
      </c>
      <c r="C293" s="18" t="s">
        <v>755</v>
      </c>
      <c r="D293" s="18">
        <v>43</v>
      </c>
      <c r="E293" s="18" t="s">
        <v>54</v>
      </c>
      <c r="F293" s="18" t="s">
        <v>161</v>
      </c>
      <c r="G293" s="18" t="s">
        <v>756</v>
      </c>
      <c r="H293" s="18" t="s">
        <v>757</v>
      </c>
      <c r="I293" s="18" t="s">
        <v>1624</v>
      </c>
      <c r="J293" s="18">
        <v>44978</v>
      </c>
      <c r="K293" s="18" t="s">
        <v>1625</v>
      </c>
      <c r="L293" s="18" t="s">
        <v>433</v>
      </c>
      <c r="M293" s="18">
        <v>369.03</v>
      </c>
      <c r="N293" s="18">
        <v>2</v>
      </c>
      <c r="O293" s="18" t="s">
        <v>98</v>
      </c>
      <c r="P293" s="18">
        <v>6</v>
      </c>
      <c r="Q293" s="18">
        <v>55</v>
      </c>
      <c r="R293" s="18">
        <v>44981</v>
      </c>
      <c r="S293" s="18" t="s">
        <v>1626</v>
      </c>
      <c r="T293" s="18">
        <v>3</v>
      </c>
      <c r="U293" s="18">
        <v>738.06</v>
      </c>
      <c r="V293" s="19">
        <v>0.1</v>
      </c>
      <c r="W293" s="18">
        <v>664.25399999999991</v>
      </c>
      <c r="X293" s="18">
        <v>719.25399999999991</v>
      </c>
      <c r="Y293" s="18" t="s">
        <v>2117</v>
      </c>
      <c r="Z293" s="18" t="s">
        <v>2060</v>
      </c>
      <c r="AA293" s="20">
        <v>5</v>
      </c>
      <c r="AB293">
        <v>26.724000000000004</v>
      </c>
    </row>
    <row r="294" spans="1:28">
      <c r="A294" s="15" t="s">
        <v>1345</v>
      </c>
      <c r="B294" s="15" t="s">
        <v>511</v>
      </c>
      <c r="C294" s="15" t="s">
        <v>1346</v>
      </c>
      <c r="D294" s="15">
        <v>40</v>
      </c>
      <c r="E294" s="15" t="s">
        <v>54</v>
      </c>
      <c r="F294" s="15" t="s">
        <v>223</v>
      </c>
      <c r="G294" s="15" t="s">
        <v>1347</v>
      </c>
      <c r="H294" s="15" t="s">
        <v>1348</v>
      </c>
      <c r="I294" s="15" t="s">
        <v>1672</v>
      </c>
      <c r="J294" s="15">
        <v>45040</v>
      </c>
      <c r="K294" s="15" t="s">
        <v>1673</v>
      </c>
      <c r="L294" s="15" t="s">
        <v>347</v>
      </c>
      <c r="M294" s="15">
        <v>372.62</v>
      </c>
      <c r="N294" s="15">
        <v>2</v>
      </c>
      <c r="O294" s="15" t="s">
        <v>87</v>
      </c>
      <c r="P294" s="15">
        <v>2</v>
      </c>
      <c r="Q294" s="15">
        <v>47</v>
      </c>
      <c r="R294" s="15">
        <v>45041</v>
      </c>
      <c r="S294" s="15" t="s">
        <v>1674</v>
      </c>
      <c r="T294" s="15">
        <v>1</v>
      </c>
      <c r="U294" s="15">
        <v>745.24</v>
      </c>
      <c r="V294" s="16">
        <v>0.2</v>
      </c>
      <c r="W294" s="15">
        <v>596.19200000000001</v>
      </c>
      <c r="X294" s="15">
        <v>643.19200000000001</v>
      </c>
      <c r="Y294" s="15" t="s">
        <v>2138</v>
      </c>
      <c r="Z294" s="15" t="s">
        <v>2060</v>
      </c>
      <c r="AA294" s="17">
        <v>5</v>
      </c>
      <c r="AB294">
        <v>24.968000000000004</v>
      </c>
    </row>
    <row r="295" spans="1:28">
      <c r="A295" s="18" t="s">
        <v>727</v>
      </c>
      <c r="B295" s="18" t="s">
        <v>728</v>
      </c>
      <c r="C295" s="18" t="s">
        <v>169</v>
      </c>
      <c r="D295" s="18">
        <v>70</v>
      </c>
      <c r="E295" s="18" t="s">
        <v>43</v>
      </c>
      <c r="F295" s="18" t="s">
        <v>92</v>
      </c>
      <c r="G295" s="18" t="s">
        <v>729</v>
      </c>
      <c r="H295" s="18" t="s">
        <v>730</v>
      </c>
      <c r="I295" s="18" t="s">
        <v>1875</v>
      </c>
      <c r="J295" s="18">
        <v>45379</v>
      </c>
      <c r="K295" s="18" t="s">
        <v>1876</v>
      </c>
      <c r="L295" s="18" t="s">
        <v>347</v>
      </c>
      <c r="M295" s="18">
        <v>372.62</v>
      </c>
      <c r="N295" s="18">
        <v>2</v>
      </c>
      <c r="O295" s="18" t="s">
        <v>98</v>
      </c>
      <c r="P295" s="18">
        <v>4</v>
      </c>
      <c r="Q295" s="18">
        <v>57</v>
      </c>
      <c r="R295" s="18">
        <v>45382</v>
      </c>
      <c r="S295" s="18" t="s">
        <v>1877</v>
      </c>
      <c r="T295" s="18">
        <v>3</v>
      </c>
      <c r="U295" s="18">
        <v>745.24</v>
      </c>
      <c r="V295" s="19">
        <v>0.1</v>
      </c>
      <c r="W295" s="18">
        <v>670.71600000000001</v>
      </c>
      <c r="X295" s="18">
        <v>727.71600000000001</v>
      </c>
      <c r="Y295" s="18" t="s">
        <v>2128</v>
      </c>
      <c r="Z295" s="18" t="s">
        <v>2060</v>
      </c>
      <c r="AA295" s="20">
        <v>8</v>
      </c>
      <c r="AB295">
        <v>79.454399999999993</v>
      </c>
    </row>
    <row r="296" spans="1:28">
      <c r="A296" s="15" t="s">
        <v>158</v>
      </c>
      <c r="B296" s="15" t="s">
        <v>159</v>
      </c>
      <c r="C296" s="15" t="s">
        <v>160</v>
      </c>
      <c r="D296" s="15">
        <v>24</v>
      </c>
      <c r="E296" s="15" t="s">
        <v>31</v>
      </c>
      <c r="F296" s="15" t="s">
        <v>161</v>
      </c>
      <c r="G296" s="15" t="s">
        <v>162</v>
      </c>
      <c r="H296" s="15" t="s">
        <v>163</v>
      </c>
      <c r="I296" s="15" t="s">
        <v>787</v>
      </c>
      <c r="J296" s="15">
        <v>45003</v>
      </c>
      <c r="K296" s="15" t="s">
        <v>788</v>
      </c>
      <c r="L296" s="15" t="s">
        <v>751</v>
      </c>
      <c r="M296" s="15">
        <v>381.73</v>
      </c>
      <c r="N296" s="15">
        <v>2</v>
      </c>
      <c r="O296" s="15" t="s">
        <v>65</v>
      </c>
      <c r="P296" s="15">
        <v>6</v>
      </c>
      <c r="Q296" s="15">
        <v>41</v>
      </c>
      <c r="R296" s="15">
        <v>45008</v>
      </c>
      <c r="S296" s="15" t="s">
        <v>789</v>
      </c>
      <c r="T296" s="15">
        <v>5</v>
      </c>
      <c r="U296" s="15">
        <v>763.46</v>
      </c>
      <c r="V296" s="16">
        <v>0</v>
      </c>
      <c r="W296" s="15">
        <v>763.46</v>
      </c>
      <c r="X296" s="15">
        <v>763.46</v>
      </c>
      <c r="Y296" s="15" t="s">
        <v>2125</v>
      </c>
      <c r="Z296" s="15" t="s">
        <v>2060</v>
      </c>
      <c r="AA296" s="17">
        <v>11</v>
      </c>
      <c r="AB296">
        <v>0</v>
      </c>
    </row>
    <row r="297" spans="1:28">
      <c r="A297" s="18" t="s">
        <v>649</v>
      </c>
      <c r="B297" s="18" t="s">
        <v>650</v>
      </c>
      <c r="C297" s="18" t="s">
        <v>651</v>
      </c>
      <c r="D297" s="18">
        <v>45</v>
      </c>
      <c r="E297" s="18" t="s">
        <v>54</v>
      </c>
      <c r="F297" s="18" t="s">
        <v>92</v>
      </c>
      <c r="G297" s="18" t="s">
        <v>652</v>
      </c>
      <c r="H297" s="18" t="s">
        <v>653</v>
      </c>
      <c r="I297" s="18" t="s">
        <v>1030</v>
      </c>
      <c r="J297" s="18">
        <v>45060</v>
      </c>
      <c r="K297" s="18" t="s">
        <v>1031</v>
      </c>
      <c r="L297" s="18" t="s">
        <v>751</v>
      </c>
      <c r="M297" s="18">
        <v>381.73</v>
      </c>
      <c r="N297" s="18">
        <v>2</v>
      </c>
      <c r="O297" s="18" t="s">
        <v>65</v>
      </c>
      <c r="P297" s="18">
        <v>5</v>
      </c>
      <c r="Q297" s="18">
        <v>38</v>
      </c>
      <c r="R297" s="18">
        <v>45066</v>
      </c>
      <c r="S297" s="18" t="s">
        <v>1032</v>
      </c>
      <c r="T297" s="18">
        <v>6</v>
      </c>
      <c r="U297" s="18">
        <v>763.46</v>
      </c>
      <c r="V297" s="19">
        <v>0</v>
      </c>
      <c r="W297" s="18">
        <v>763.46</v>
      </c>
      <c r="X297" s="18">
        <v>763.46</v>
      </c>
      <c r="Y297" s="18" t="s">
        <v>2114</v>
      </c>
      <c r="Z297" s="18" t="s">
        <v>2064</v>
      </c>
      <c r="AA297" s="20">
        <v>8</v>
      </c>
      <c r="AB297">
        <v>0</v>
      </c>
    </row>
    <row r="298" spans="1:28">
      <c r="A298" s="15" t="s">
        <v>266</v>
      </c>
      <c r="B298" s="15" t="s">
        <v>267</v>
      </c>
      <c r="C298" s="15" t="s">
        <v>268</v>
      </c>
      <c r="D298" s="15">
        <v>54</v>
      </c>
      <c r="E298" s="15" t="s">
        <v>43</v>
      </c>
      <c r="F298" s="15" t="s">
        <v>32</v>
      </c>
      <c r="G298" s="15" t="s">
        <v>269</v>
      </c>
      <c r="H298" s="15" t="s">
        <v>270</v>
      </c>
      <c r="I298" s="15" t="s">
        <v>1138</v>
      </c>
      <c r="J298" s="15">
        <v>45105</v>
      </c>
      <c r="K298" s="15" t="s">
        <v>1139</v>
      </c>
      <c r="L298" s="15" t="s">
        <v>751</v>
      </c>
      <c r="M298" s="15">
        <v>381.73</v>
      </c>
      <c r="N298" s="15">
        <v>2</v>
      </c>
      <c r="O298" s="15" t="s">
        <v>60</v>
      </c>
      <c r="P298" s="15">
        <v>3</v>
      </c>
      <c r="Q298" s="15">
        <v>70</v>
      </c>
      <c r="R298" s="15">
        <v>45112</v>
      </c>
      <c r="S298" s="15" t="s">
        <v>1140</v>
      </c>
      <c r="T298" s="15">
        <v>7</v>
      </c>
      <c r="U298" s="15">
        <v>763.46</v>
      </c>
      <c r="V298" s="16">
        <v>0.15</v>
      </c>
      <c r="W298" s="15">
        <v>648.94100000000003</v>
      </c>
      <c r="X298" s="15">
        <v>718.94100000000003</v>
      </c>
      <c r="Y298" s="15" t="s">
        <v>2087</v>
      </c>
      <c r="Z298" s="15" t="s">
        <v>2064</v>
      </c>
      <c r="AA298" s="17">
        <v>10</v>
      </c>
      <c r="AB298">
        <v>101.208</v>
      </c>
    </row>
    <row r="299" spans="1:28">
      <c r="A299" s="18" t="s">
        <v>415</v>
      </c>
      <c r="B299" s="18" t="s">
        <v>231</v>
      </c>
      <c r="C299" s="18" t="s">
        <v>416</v>
      </c>
      <c r="D299" s="18">
        <v>28</v>
      </c>
      <c r="E299" s="18" t="s">
        <v>54</v>
      </c>
      <c r="F299" s="18" t="s">
        <v>142</v>
      </c>
      <c r="G299" s="18" t="s">
        <v>417</v>
      </c>
      <c r="H299" s="18" t="s">
        <v>418</v>
      </c>
      <c r="I299" s="18" t="s">
        <v>1238</v>
      </c>
      <c r="J299" s="18">
        <v>45322</v>
      </c>
      <c r="K299" s="18" t="s">
        <v>1239</v>
      </c>
      <c r="L299" s="18" t="s">
        <v>751</v>
      </c>
      <c r="M299" s="18">
        <v>381.73</v>
      </c>
      <c r="N299" s="18">
        <v>2</v>
      </c>
      <c r="O299" s="18" t="s">
        <v>60</v>
      </c>
      <c r="P299" s="18">
        <v>2</v>
      </c>
      <c r="Q299" s="18">
        <v>68</v>
      </c>
      <c r="R299" s="18">
        <v>45329</v>
      </c>
      <c r="S299" s="18" t="s">
        <v>1240</v>
      </c>
      <c r="T299" s="18">
        <v>7</v>
      </c>
      <c r="U299" s="18">
        <v>763.46</v>
      </c>
      <c r="V299" s="19">
        <v>0.15</v>
      </c>
      <c r="W299" s="18">
        <v>648.94100000000003</v>
      </c>
      <c r="X299" s="18">
        <v>716.94100000000003</v>
      </c>
      <c r="Y299" s="18" t="s">
        <v>2088</v>
      </c>
      <c r="Z299" s="18" t="s">
        <v>2064</v>
      </c>
      <c r="AA299" s="20">
        <v>8</v>
      </c>
      <c r="AB299">
        <v>37.262</v>
      </c>
    </row>
    <row r="300" spans="1:28">
      <c r="A300" s="15" t="s">
        <v>121</v>
      </c>
      <c r="B300" s="15" t="s">
        <v>122</v>
      </c>
      <c r="C300" s="15" t="s">
        <v>123</v>
      </c>
      <c r="D300" s="15">
        <v>20</v>
      </c>
      <c r="E300" s="15" t="s">
        <v>31</v>
      </c>
      <c r="F300" s="15" t="s">
        <v>92</v>
      </c>
      <c r="G300" s="15" t="s">
        <v>124</v>
      </c>
      <c r="H300" s="15" t="s">
        <v>125</v>
      </c>
      <c r="I300" s="15" t="s">
        <v>126</v>
      </c>
      <c r="J300" s="15">
        <v>45498</v>
      </c>
      <c r="K300" s="15" t="s">
        <v>127</v>
      </c>
      <c r="L300" s="15" t="s">
        <v>128</v>
      </c>
      <c r="M300" s="15">
        <v>257.06</v>
      </c>
      <c r="N300" s="15">
        <v>3</v>
      </c>
      <c r="O300" s="15" t="s">
        <v>65</v>
      </c>
      <c r="P300" s="15">
        <v>7</v>
      </c>
      <c r="Q300" s="15">
        <v>62</v>
      </c>
      <c r="R300" s="15">
        <v>45499</v>
      </c>
      <c r="S300" s="15" t="s">
        <v>129</v>
      </c>
      <c r="T300" s="15">
        <v>1</v>
      </c>
      <c r="U300" s="15">
        <v>771.18000000000006</v>
      </c>
      <c r="V300" s="16">
        <v>0</v>
      </c>
      <c r="W300" s="15">
        <v>771.18000000000006</v>
      </c>
      <c r="X300" s="15">
        <v>771.18000000000006</v>
      </c>
      <c r="Y300" s="15" t="s">
        <v>2148</v>
      </c>
      <c r="Z300" s="15" t="s">
        <v>2060</v>
      </c>
      <c r="AA300" s="17">
        <v>9</v>
      </c>
      <c r="AB300">
        <v>8.3344000000000005</v>
      </c>
    </row>
    <row r="301" spans="1:28">
      <c r="A301" s="18" t="s">
        <v>187</v>
      </c>
      <c r="B301" s="18" t="s">
        <v>188</v>
      </c>
      <c r="C301" s="18" t="s">
        <v>189</v>
      </c>
      <c r="D301" s="18">
        <v>42</v>
      </c>
      <c r="E301" s="18" t="s">
        <v>43</v>
      </c>
      <c r="F301" s="18" t="s">
        <v>170</v>
      </c>
      <c r="G301" s="18" t="s">
        <v>190</v>
      </c>
      <c r="H301" s="18" t="s">
        <v>191</v>
      </c>
      <c r="I301" s="18" t="s">
        <v>863</v>
      </c>
      <c r="J301" s="18">
        <v>45283</v>
      </c>
      <c r="K301" s="18" t="s">
        <v>864</v>
      </c>
      <c r="L301" s="18" t="s">
        <v>128</v>
      </c>
      <c r="M301" s="18">
        <v>257.06</v>
      </c>
      <c r="N301" s="18">
        <v>3</v>
      </c>
      <c r="O301" s="18" t="s">
        <v>38</v>
      </c>
      <c r="P301" s="18">
        <v>6</v>
      </c>
      <c r="Q301" s="18">
        <v>65</v>
      </c>
      <c r="R301" s="18">
        <v>45289</v>
      </c>
      <c r="S301" s="18" t="s">
        <v>865</v>
      </c>
      <c r="T301" s="18">
        <v>6</v>
      </c>
      <c r="U301" s="18">
        <v>771.18000000000006</v>
      </c>
      <c r="V301" s="19">
        <v>0.08</v>
      </c>
      <c r="W301" s="18">
        <v>709.48560000000009</v>
      </c>
      <c r="X301" s="18">
        <v>774.48560000000009</v>
      </c>
      <c r="Y301" s="18" t="s">
        <v>2062</v>
      </c>
      <c r="Z301" s="18" t="s">
        <v>2072</v>
      </c>
      <c r="AA301" s="20">
        <v>6</v>
      </c>
      <c r="AB301">
        <v>28.148800000000001</v>
      </c>
    </row>
    <row r="302" spans="1:28">
      <c r="A302" s="15" t="s">
        <v>275</v>
      </c>
      <c r="B302" s="15" t="s">
        <v>276</v>
      </c>
      <c r="C302" s="15" t="s">
        <v>277</v>
      </c>
      <c r="D302" s="15">
        <v>44</v>
      </c>
      <c r="E302" s="15" t="s">
        <v>31</v>
      </c>
      <c r="F302" s="15" t="s">
        <v>223</v>
      </c>
      <c r="G302" s="15" t="s">
        <v>278</v>
      </c>
      <c r="H302" s="15" t="s">
        <v>279</v>
      </c>
      <c r="I302" s="15" t="s">
        <v>1179</v>
      </c>
      <c r="J302" s="15">
        <v>45348</v>
      </c>
      <c r="K302" s="15" t="s">
        <v>1180</v>
      </c>
      <c r="L302" s="15" t="s">
        <v>128</v>
      </c>
      <c r="M302" s="15">
        <v>257.06</v>
      </c>
      <c r="N302" s="15">
        <v>3</v>
      </c>
      <c r="O302" s="15" t="s">
        <v>65</v>
      </c>
      <c r="P302" s="15">
        <v>5</v>
      </c>
      <c r="Q302" s="15">
        <v>63</v>
      </c>
      <c r="R302" s="15">
        <v>45354</v>
      </c>
      <c r="S302" s="15" t="s">
        <v>1181</v>
      </c>
      <c r="T302" s="15">
        <v>6</v>
      </c>
      <c r="U302" s="15">
        <v>771.18000000000006</v>
      </c>
      <c r="V302" s="16">
        <v>0</v>
      </c>
      <c r="W302" s="15">
        <v>771.18000000000006</v>
      </c>
      <c r="X302" s="15">
        <v>771.18000000000006</v>
      </c>
      <c r="Y302" s="15" t="s">
        <v>2110</v>
      </c>
      <c r="Z302" s="15" t="s">
        <v>2064</v>
      </c>
      <c r="AA302" s="17">
        <v>9</v>
      </c>
      <c r="AB302">
        <v>4.9935999999999998</v>
      </c>
    </row>
    <row r="303" spans="1:28">
      <c r="A303" s="18" t="s">
        <v>239</v>
      </c>
      <c r="B303" s="18" t="s">
        <v>68</v>
      </c>
      <c r="C303" s="18" t="s">
        <v>240</v>
      </c>
      <c r="D303" s="18">
        <v>52</v>
      </c>
      <c r="E303" s="18" t="s">
        <v>54</v>
      </c>
      <c r="F303" s="18" t="s">
        <v>44</v>
      </c>
      <c r="G303" s="18" t="s">
        <v>241</v>
      </c>
      <c r="H303" s="18" t="s">
        <v>242</v>
      </c>
      <c r="I303" s="18" t="s">
        <v>313</v>
      </c>
      <c r="J303" s="18">
        <v>45244</v>
      </c>
      <c r="K303" s="18" t="s">
        <v>314</v>
      </c>
      <c r="L303" s="18" t="s">
        <v>290</v>
      </c>
      <c r="M303" s="18">
        <v>157.63999999999999</v>
      </c>
      <c r="N303" s="18">
        <v>5</v>
      </c>
      <c r="O303" s="18" t="s">
        <v>38</v>
      </c>
      <c r="P303" s="18">
        <v>4</v>
      </c>
      <c r="Q303" s="18">
        <v>53</v>
      </c>
      <c r="R303" s="18">
        <v>45246</v>
      </c>
      <c r="S303" s="18" t="s">
        <v>315</v>
      </c>
      <c r="T303" s="18">
        <v>2</v>
      </c>
      <c r="U303" s="18">
        <v>788.19999999999993</v>
      </c>
      <c r="V303" s="19">
        <v>0.08</v>
      </c>
      <c r="W303" s="18">
        <v>725.14399999999989</v>
      </c>
      <c r="X303" s="18">
        <v>778.14399999999989</v>
      </c>
      <c r="Y303" s="18" t="s">
        <v>2123</v>
      </c>
      <c r="Z303" s="18" t="s">
        <v>2060</v>
      </c>
      <c r="AA303" s="20">
        <v>12</v>
      </c>
      <c r="AB303">
        <v>3.3119999999999998</v>
      </c>
    </row>
    <row r="304" spans="1:28">
      <c r="A304" s="15" t="s">
        <v>753</v>
      </c>
      <c r="B304" s="15" t="s">
        <v>754</v>
      </c>
      <c r="C304" s="15" t="s">
        <v>755</v>
      </c>
      <c r="D304" s="15">
        <v>43</v>
      </c>
      <c r="E304" s="15" t="s">
        <v>54</v>
      </c>
      <c r="F304" s="15" t="s">
        <v>161</v>
      </c>
      <c r="G304" s="15" t="s">
        <v>756</v>
      </c>
      <c r="H304" s="15" t="s">
        <v>757</v>
      </c>
      <c r="I304" s="15" t="s">
        <v>857</v>
      </c>
      <c r="J304" s="15">
        <v>45331</v>
      </c>
      <c r="K304" s="15" t="s">
        <v>858</v>
      </c>
      <c r="L304" s="15" t="s">
        <v>290</v>
      </c>
      <c r="M304" s="15">
        <v>157.63999999999999</v>
      </c>
      <c r="N304" s="15">
        <v>5</v>
      </c>
      <c r="O304" s="15" t="s">
        <v>65</v>
      </c>
      <c r="P304" s="15">
        <v>7</v>
      </c>
      <c r="Q304" s="15">
        <v>36</v>
      </c>
      <c r="R304" s="15">
        <v>45332</v>
      </c>
      <c r="S304" s="15" t="s">
        <v>859</v>
      </c>
      <c r="T304" s="15">
        <v>1</v>
      </c>
      <c r="U304" s="15">
        <v>788.19999999999993</v>
      </c>
      <c r="V304" s="16">
        <v>0</v>
      </c>
      <c r="W304" s="15">
        <v>788.19999999999993</v>
      </c>
      <c r="X304" s="15">
        <v>788.19999999999993</v>
      </c>
      <c r="Y304" s="15" t="s">
        <v>2117</v>
      </c>
      <c r="Z304" s="15" t="s">
        <v>2060</v>
      </c>
      <c r="AA304" s="17">
        <v>10</v>
      </c>
      <c r="AB304">
        <v>38.020000000000003</v>
      </c>
    </row>
    <row r="305" spans="1:28">
      <c r="A305" s="18" t="s">
        <v>328</v>
      </c>
      <c r="B305" s="18" t="s">
        <v>329</v>
      </c>
      <c r="C305" s="18" t="s">
        <v>330</v>
      </c>
      <c r="D305" s="18">
        <v>29</v>
      </c>
      <c r="E305" s="18" t="s">
        <v>54</v>
      </c>
      <c r="F305" s="18" t="s">
        <v>92</v>
      </c>
      <c r="G305" s="18" t="s">
        <v>331</v>
      </c>
      <c r="H305" s="18" t="s">
        <v>332</v>
      </c>
      <c r="I305" s="18" t="s">
        <v>1724</v>
      </c>
      <c r="J305" s="18">
        <v>45295</v>
      </c>
      <c r="K305" s="18" t="s">
        <v>1725</v>
      </c>
      <c r="L305" s="18" t="s">
        <v>290</v>
      </c>
      <c r="M305" s="18">
        <v>157.63999999999999</v>
      </c>
      <c r="N305" s="18">
        <v>5</v>
      </c>
      <c r="O305" s="18" t="s">
        <v>38</v>
      </c>
      <c r="P305" s="18">
        <v>2</v>
      </c>
      <c r="Q305" s="18">
        <v>46</v>
      </c>
      <c r="R305" s="18">
        <v>45301</v>
      </c>
      <c r="S305" s="18" t="s">
        <v>1726</v>
      </c>
      <c r="T305" s="18">
        <v>6</v>
      </c>
      <c r="U305" s="18">
        <v>788.19999999999993</v>
      </c>
      <c r="V305" s="19">
        <v>0.08</v>
      </c>
      <c r="W305" s="18">
        <v>725.14399999999989</v>
      </c>
      <c r="X305" s="18">
        <v>771.14399999999989</v>
      </c>
      <c r="Y305" s="18" t="s">
        <v>2136</v>
      </c>
      <c r="Z305" s="18" t="s">
        <v>2064</v>
      </c>
      <c r="AA305" s="20">
        <v>2</v>
      </c>
      <c r="AB305">
        <v>95.118000000000009</v>
      </c>
    </row>
    <row r="306" spans="1:28">
      <c r="A306" s="15" t="s">
        <v>275</v>
      </c>
      <c r="B306" s="15" t="s">
        <v>276</v>
      </c>
      <c r="C306" s="15" t="s">
        <v>277</v>
      </c>
      <c r="D306" s="15">
        <v>44</v>
      </c>
      <c r="E306" s="15" t="s">
        <v>31</v>
      </c>
      <c r="F306" s="15" t="s">
        <v>223</v>
      </c>
      <c r="G306" s="15" t="s">
        <v>278</v>
      </c>
      <c r="H306" s="15" t="s">
        <v>279</v>
      </c>
      <c r="I306" s="15" t="s">
        <v>292</v>
      </c>
      <c r="J306" s="15">
        <v>45548</v>
      </c>
      <c r="K306" s="15" t="s">
        <v>293</v>
      </c>
      <c r="L306" s="15" t="s">
        <v>294</v>
      </c>
      <c r="M306" s="15">
        <v>158.53</v>
      </c>
      <c r="N306" s="15">
        <v>5</v>
      </c>
      <c r="O306" s="15" t="s">
        <v>87</v>
      </c>
      <c r="P306" s="15">
        <v>3</v>
      </c>
      <c r="Q306" s="15">
        <v>42</v>
      </c>
      <c r="R306" s="15">
        <v>45553</v>
      </c>
      <c r="S306" s="15" t="s">
        <v>295</v>
      </c>
      <c r="T306" s="15">
        <v>5</v>
      </c>
      <c r="U306" s="15">
        <v>792.65</v>
      </c>
      <c r="V306" s="16">
        <v>0.2</v>
      </c>
      <c r="W306" s="15">
        <v>634.12</v>
      </c>
      <c r="X306" s="15">
        <v>676.12</v>
      </c>
      <c r="Y306" s="15" t="s">
        <v>2110</v>
      </c>
      <c r="Z306" s="15" t="s">
        <v>2064</v>
      </c>
      <c r="AA306" s="17">
        <v>12</v>
      </c>
      <c r="AB306">
        <v>4.45</v>
      </c>
    </row>
    <row r="307" spans="1:28">
      <c r="A307" s="18" t="s">
        <v>230</v>
      </c>
      <c r="B307" s="18" t="s">
        <v>231</v>
      </c>
      <c r="C307" s="18" t="s">
        <v>232</v>
      </c>
      <c r="D307" s="18">
        <v>64</v>
      </c>
      <c r="E307" s="18" t="s">
        <v>43</v>
      </c>
      <c r="F307" s="18" t="s">
        <v>44</v>
      </c>
      <c r="G307" s="18" t="s">
        <v>233</v>
      </c>
      <c r="H307" s="18" t="s">
        <v>234</v>
      </c>
      <c r="I307" s="18" t="s">
        <v>662</v>
      </c>
      <c r="J307" s="18">
        <v>45118</v>
      </c>
      <c r="K307" s="18" t="s">
        <v>663</v>
      </c>
      <c r="L307" s="18" t="s">
        <v>294</v>
      </c>
      <c r="M307" s="18">
        <v>158.53</v>
      </c>
      <c r="N307" s="18">
        <v>5</v>
      </c>
      <c r="O307" s="18" t="s">
        <v>87</v>
      </c>
      <c r="P307" s="18">
        <v>1</v>
      </c>
      <c r="Q307" s="18">
        <v>57</v>
      </c>
      <c r="R307" s="18">
        <v>45125</v>
      </c>
      <c r="S307" s="18" t="s">
        <v>664</v>
      </c>
      <c r="T307" s="18">
        <v>7</v>
      </c>
      <c r="U307" s="18">
        <v>792.65</v>
      </c>
      <c r="V307" s="19">
        <v>0.2</v>
      </c>
      <c r="W307" s="18">
        <v>634.12</v>
      </c>
      <c r="X307" s="18">
        <v>691.12</v>
      </c>
      <c r="Y307" s="18" t="s">
        <v>2111</v>
      </c>
      <c r="Z307" s="18" t="s">
        <v>2064</v>
      </c>
      <c r="AA307" s="20">
        <v>11</v>
      </c>
      <c r="AB307">
        <v>0</v>
      </c>
    </row>
    <row r="308" spans="1:28">
      <c r="A308" s="15" t="s">
        <v>89</v>
      </c>
      <c r="B308" s="15" t="s">
        <v>90</v>
      </c>
      <c r="C308" s="15" t="s">
        <v>91</v>
      </c>
      <c r="D308" s="15">
        <v>26</v>
      </c>
      <c r="E308" s="15" t="s">
        <v>43</v>
      </c>
      <c r="F308" s="15" t="s">
        <v>92</v>
      </c>
      <c r="G308" s="15" t="s">
        <v>93</v>
      </c>
      <c r="H308" s="15" t="s">
        <v>94</v>
      </c>
      <c r="I308" s="15" t="s">
        <v>860</v>
      </c>
      <c r="J308" s="15">
        <v>45108</v>
      </c>
      <c r="K308" s="15" t="s">
        <v>861</v>
      </c>
      <c r="L308" s="15" t="s">
        <v>294</v>
      </c>
      <c r="M308" s="15">
        <v>158.53</v>
      </c>
      <c r="N308" s="15">
        <v>5</v>
      </c>
      <c r="O308" s="15" t="s">
        <v>65</v>
      </c>
      <c r="P308" s="15">
        <v>4</v>
      </c>
      <c r="Q308" s="15">
        <v>66</v>
      </c>
      <c r="R308" s="15">
        <v>45111</v>
      </c>
      <c r="S308" s="15" t="s">
        <v>862</v>
      </c>
      <c r="T308" s="15">
        <v>3</v>
      </c>
      <c r="U308" s="15">
        <v>792.65</v>
      </c>
      <c r="V308" s="16">
        <v>0</v>
      </c>
      <c r="W308" s="15">
        <v>792.65</v>
      </c>
      <c r="X308" s="15">
        <v>792.65</v>
      </c>
      <c r="Y308" s="15" t="s">
        <v>2134</v>
      </c>
      <c r="Z308" s="15" t="s">
        <v>2060</v>
      </c>
      <c r="AA308" s="17">
        <v>2</v>
      </c>
      <c r="AB308">
        <v>0</v>
      </c>
    </row>
    <row r="309" spans="1:28">
      <c r="A309" s="18" t="s">
        <v>67</v>
      </c>
      <c r="B309" s="18" t="s">
        <v>68</v>
      </c>
      <c r="C309" s="18" t="s">
        <v>69</v>
      </c>
      <c r="D309" s="18">
        <v>49</v>
      </c>
      <c r="E309" s="18" t="s">
        <v>54</v>
      </c>
      <c r="F309" s="18" t="s">
        <v>32</v>
      </c>
      <c r="G309" s="18" t="s">
        <v>70</v>
      </c>
      <c r="H309" s="18" t="s">
        <v>71</v>
      </c>
      <c r="I309" s="18" t="s">
        <v>1126</v>
      </c>
      <c r="J309" s="18">
        <v>45578</v>
      </c>
      <c r="K309" s="18" t="s">
        <v>1127</v>
      </c>
      <c r="L309" s="18" t="s">
        <v>294</v>
      </c>
      <c r="M309" s="18">
        <v>158.53</v>
      </c>
      <c r="N309" s="18">
        <v>5</v>
      </c>
      <c r="O309" s="18" t="s">
        <v>38</v>
      </c>
      <c r="P309" s="18">
        <v>2</v>
      </c>
      <c r="Q309" s="18">
        <v>64</v>
      </c>
      <c r="R309" s="18">
        <v>45582</v>
      </c>
      <c r="S309" s="18" t="s">
        <v>1128</v>
      </c>
      <c r="T309" s="18">
        <v>4</v>
      </c>
      <c r="U309" s="18">
        <v>792.65</v>
      </c>
      <c r="V309" s="19">
        <v>0.08</v>
      </c>
      <c r="W309" s="18">
        <v>729.23799999999994</v>
      </c>
      <c r="X309" s="18">
        <v>793.23799999999994</v>
      </c>
      <c r="Y309" s="18" t="s">
        <v>2098</v>
      </c>
      <c r="Z309" s="18" t="s">
        <v>2064</v>
      </c>
      <c r="AA309" s="20">
        <v>1</v>
      </c>
      <c r="AB309">
        <v>316.27499999999998</v>
      </c>
    </row>
    <row r="310" spans="1:28">
      <c r="A310" s="15" t="s">
        <v>1476</v>
      </c>
      <c r="B310" s="15" t="s">
        <v>596</v>
      </c>
      <c r="C310" s="15" t="s">
        <v>1477</v>
      </c>
      <c r="D310" s="15">
        <v>57</v>
      </c>
      <c r="E310" s="15" t="s">
        <v>54</v>
      </c>
      <c r="F310" s="15" t="s">
        <v>142</v>
      </c>
      <c r="G310" s="15" t="s">
        <v>1478</v>
      </c>
      <c r="H310" s="15" t="s">
        <v>1479</v>
      </c>
      <c r="I310" s="15" t="s">
        <v>1480</v>
      </c>
      <c r="J310" s="15">
        <v>45147</v>
      </c>
      <c r="K310" s="15" t="s">
        <v>1481</v>
      </c>
      <c r="L310" s="15" t="s">
        <v>294</v>
      </c>
      <c r="M310" s="15">
        <v>158.53</v>
      </c>
      <c r="N310" s="15">
        <v>5</v>
      </c>
      <c r="O310" s="15" t="s">
        <v>87</v>
      </c>
      <c r="P310" s="15">
        <v>1</v>
      </c>
      <c r="Q310" s="15">
        <v>46</v>
      </c>
      <c r="R310" s="15">
        <v>45151</v>
      </c>
      <c r="S310" s="15" t="s">
        <v>1482</v>
      </c>
      <c r="T310" s="15">
        <v>4</v>
      </c>
      <c r="U310" s="15">
        <v>792.65</v>
      </c>
      <c r="V310" s="16">
        <v>0.2</v>
      </c>
      <c r="W310" s="15">
        <v>634.12</v>
      </c>
      <c r="X310" s="15">
        <v>680.12</v>
      </c>
      <c r="Y310" s="15" t="s">
        <v>2157</v>
      </c>
      <c r="Z310" s="15" t="s">
        <v>2064</v>
      </c>
      <c r="AA310" s="17">
        <v>5</v>
      </c>
      <c r="AB310">
        <v>89.162000000000006</v>
      </c>
    </row>
    <row r="311" spans="1:28">
      <c r="A311" s="18" t="s">
        <v>1106</v>
      </c>
      <c r="B311" s="18" t="s">
        <v>1107</v>
      </c>
      <c r="C311" s="18" t="s">
        <v>1108</v>
      </c>
      <c r="D311" s="18">
        <v>18</v>
      </c>
      <c r="E311" s="18" t="s">
        <v>31</v>
      </c>
      <c r="F311" s="18" t="s">
        <v>78</v>
      </c>
      <c r="G311" s="18" t="s">
        <v>1109</v>
      </c>
      <c r="H311" s="18" t="s">
        <v>1110</v>
      </c>
      <c r="I311" s="18" t="s">
        <v>1165</v>
      </c>
      <c r="J311" s="18">
        <v>45117</v>
      </c>
      <c r="K311" s="18" t="s">
        <v>1166</v>
      </c>
      <c r="L311" s="18" t="s">
        <v>593</v>
      </c>
      <c r="M311" s="18">
        <v>403.03</v>
      </c>
      <c r="N311" s="18">
        <v>2</v>
      </c>
      <c r="O311" s="18" t="s">
        <v>60</v>
      </c>
      <c r="P311" s="18">
        <v>7</v>
      </c>
      <c r="Q311" s="18">
        <v>45</v>
      </c>
      <c r="R311" s="18">
        <v>45118</v>
      </c>
      <c r="S311" s="18" t="s">
        <v>1167</v>
      </c>
      <c r="T311" s="18">
        <v>1</v>
      </c>
      <c r="U311" s="18">
        <v>806.06</v>
      </c>
      <c r="V311" s="19">
        <v>0.15</v>
      </c>
      <c r="W311" s="18">
        <v>685.15099999999995</v>
      </c>
      <c r="X311" s="18">
        <v>730.15099999999995</v>
      </c>
      <c r="Y311" s="18" t="s">
        <v>2089</v>
      </c>
      <c r="Z311" s="18" t="s">
        <v>2060</v>
      </c>
      <c r="AA311" s="20">
        <v>2</v>
      </c>
      <c r="AB311">
        <v>0</v>
      </c>
    </row>
    <row r="312" spans="1:28">
      <c r="A312" s="15" t="s">
        <v>1213</v>
      </c>
      <c r="B312" s="15" t="s">
        <v>1214</v>
      </c>
      <c r="C312" s="15" t="s">
        <v>1215</v>
      </c>
      <c r="D312" s="15">
        <v>50</v>
      </c>
      <c r="E312" s="15" t="s">
        <v>54</v>
      </c>
      <c r="F312" s="15" t="s">
        <v>170</v>
      </c>
      <c r="G312" s="15" t="s">
        <v>1216</v>
      </c>
      <c r="H312" s="15" t="s">
        <v>1217</v>
      </c>
      <c r="I312" s="15" t="s">
        <v>1295</v>
      </c>
      <c r="J312" s="15">
        <v>45672</v>
      </c>
      <c r="K312" s="15" t="s">
        <v>1296</v>
      </c>
      <c r="L312" s="15" t="s">
        <v>593</v>
      </c>
      <c r="M312" s="15">
        <v>403.03</v>
      </c>
      <c r="N312" s="15">
        <v>2</v>
      </c>
      <c r="O312" s="15" t="s">
        <v>87</v>
      </c>
      <c r="P312" s="15">
        <v>3</v>
      </c>
      <c r="Q312" s="15">
        <v>61</v>
      </c>
      <c r="R312" s="15">
        <v>45677</v>
      </c>
      <c r="S312" s="15" t="s">
        <v>1297</v>
      </c>
      <c r="T312" s="15">
        <v>5</v>
      </c>
      <c r="U312" s="15">
        <v>806.06</v>
      </c>
      <c r="V312" s="16">
        <v>0.2</v>
      </c>
      <c r="W312" s="15">
        <v>644.84799999999996</v>
      </c>
      <c r="X312" s="15">
        <v>705.84799999999996</v>
      </c>
      <c r="Y312" s="15" t="s">
        <v>2100</v>
      </c>
      <c r="Z312" s="15" t="s">
        <v>2064</v>
      </c>
      <c r="AA312" s="17">
        <v>8</v>
      </c>
      <c r="AB312">
        <v>34.047199999999997</v>
      </c>
    </row>
    <row r="313" spans="1:28">
      <c r="A313" s="18" t="s">
        <v>239</v>
      </c>
      <c r="B313" s="18" t="s">
        <v>68</v>
      </c>
      <c r="C313" s="18" t="s">
        <v>240</v>
      </c>
      <c r="D313" s="18">
        <v>52</v>
      </c>
      <c r="E313" s="18" t="s">
        <v>54</v>
      </c>
      <c r="F313" s="18" t="s">
        <v>44</v>
      </c>
      <c r="G313" s="18" t="s">
        <v>241</v>
      </c>
      <c r="H313" s="18" t="s">
        <v>242</v>
      </c>
      <c r="I313" s="18" t="s">
        <v>1364</v>
      </c>
      <c r="J313" s="18">
        <v>45242</v>
      </c>
      <c r="K313" s="18" t="s">
        <v>1365</v>
      </c>
      <c r="L313" s="18" t="s">
        <v>593</v>
      </c>
      <c r="M313" s="18">
        <v>403.03</v>
      </c>
      <c r="N313" s="18">
        <v>2</v>
      </c>
      <c r="O313" s="18" t="s">
        <v>38</v>
      </c>
      <c r="P313" s="18">
        <v>4</v>
      </c>
      <c r="Q313" s="18">
        <v>70</v>
      </c>
      <c r="R313" s="18">
        <v>45246</v>
      </c>
      <c r="S313" s="18" t="s">
        <v>1366</v>
      </c>
      <c r="T313" s="18">
        <v>4</v>
      </c>
      <c r="U313" s="18">
        <v>806.06</v>
      </c>
      <c r="V313" s="19">
        <v>0.08</v>
      </c>
      <c r="W313" s="18">
        <v>741.5752</v>
      </c>
      <c r="X313" s="18">
        <v>811.5752</v>
      </c>
      <c r="Y313" s="18" t="s">
        <v>2123</v>
      </c>
      <c r="Z313" s="18" t="s">
        <v>2072</v>
      </c>
      <c r="AA313" s="20">
        <v>2</v>
      </c>
      <c r="AB313">
        <v>12.814</v>
      </c>
    </row>
    <row r="314" spans="1:28">
      <c r="A314" s="15" t="s">
        <v>642</v>
      </c>
      <c r="B314" s="15" t="s">
        <v>150</v>
      </c>
      <c r="C314" s="15" t="s">
        <v>643</v>
      </c>
      <c r="D314" s="15">
        <v>44</v>
      </c>
      <c r="E314" s="15" t="s">
        <v>54</v>
      </c>
      <c r="F314" s="15" t="s">
        <v>92</v>
      </c>
      <c r="G314" s="15" t="s">
        <v>644</v>
      </c>
      <c r="H314" s="15" t="s">
        <v>645</v>
      </c>
      <c r="I314" s="15" t="s">
        <v>1958</v>
      </c>
      <c r="J314" s="15">
        <v>45410</v>
      </c>
      <c r="K314" s="15" t="s">
        <v>1959</v>
      </c>
      <c r="L314" s="15" t="s">
        <v>593</v>
      </c>
      <c r="M314" s="15">
        <v>403.03</v>
      </c>
      <c r="N314" s="15">
        <v>2</v>
      </c>
      <c r="O314" s="15" t="s">
        <v>60</v>
      </c>
      <c r="P314" s="15">
        <v>7</v>
      </c>
      <c r="Q314" s="15">
        <v>39</v>
      </c>
      <c r="R314" s="15">
        <v>45417</v>
      </c>
      <c r="S314" s="15" t="s">
        <v>1960</v>
      </c>
      <c r="T314" s="15">
        <v>7</v>
      </c>
      <c r="U314" s="15">
        <v>806.06</v>
      </c>
      <c r="V314" s="16">
        <v>0.15</v>
      </c>
      <c r="W314" s="15">
        <v>685.15099999999995</v>
      </c>
      <c r="X314" s="15">
        <v>724.15099999999995</v>
      </c>
      <c r="Y314" s="15" t="s">
        <v>2065</v>
      </c>
      <c r="Z314" s="15" t="s">
        <v>2072</v>
      </c>
      <c r="AA314" s="17">
        <v>1</v>
      </c>
      <c r="AB314">
        <v>47.126000000000005</v>
      </c>
    </row>
    <row r="315" spans="1:28">
      <c r="A315" s="18" t="s">
        <v>503</v>
      </c>
      <c r="B315" s="18" t="s">
        <v>504</v>
      </c>
      <c r="C315" s="18" t="s">
        <v>390</v>
      </c>
      <c r="D315" s="18">
        <v>57</v>
      </c>
      <c r="E315" s="18" t="s">
        <v>43</v>
      </c>
      <c r="F315" s="18" t="s">
        <v>223</v>
      </c>
      <c r="G315" s="18" t="s">
        <v>505</v>
      </c>
      <c r="H315" s="18" t="s">
        <v>506</v>
      </c>
      <c r="I315" s="18" t="s">
        <v>616</v>
      </c>
      <c r="J315" s="18">
        <v>45252</v>
      </c>
      <c r="K315" s="18" t="s">
        <v>617</v>
      </c>
      <c r="L315" s="18" t="s">
        <v>64</v>
      </c>
      <c r="M315" s="18">
        <v>405</v>
      </c>
      <c r="N315" s="18">
        <v>2</v>
      </c>
      <c r="O315" s="18" t="s">
        <v>65</v>
      </c>
      <c r="P315" s="18">
        <v>4</v>
      </c>
      <c r="Q315" s="18">
        <v>70</v>
      </c>
      <c r="R315" s="18">
        <v>45257</v>
      </c>
      <c r="S315" s="18" t="s">
        <v>618</v>
      </c>
      <c r="T315" s="18">
        <v>5</v>
      </c>
      <c r="U315" s="18">
        <v>810</v>
      </c>
      <c r="V315" s="19">
        <v>0</v>
      </c>
      <c r="W315" s="18">
        <v>810</v>
      </c>
      <c r="X315" s="18">
        <v>810</v>
      </c>
      <c r="Y315" s="18" t="s">
        <v>2142</v>
      </c>
      <c r="Z315" s="18" t="s">
        <v>2064</v>
      </c>
      <c r="AA315" s="20">
        <v>4</v>
      </c>
      <c r="AB315">
        <v>63.055999999999997</v>
      </c>
    </row>
    <row r="316" spans="1:28">
      <c r="A316" s="15" t="s">
        <v>361</v>
      </c>
      <c r="B316" s="15" t="s">
        <v>362</v>
      </c>
      <c r="C316" s="15" t="s">
        <v>363</v>
      </c>
      <c r="D316" s="15">
        <v>32</v>
      </c>
      <c r="E316" s="15" t="s">
        <v>43</v>
      </c>
      <c r="F316" s="15" t="s">
        <v>170</v>
      </c>
      <c r="G316" s="15" t="s">
        <v>364</v>
      </c>
      <c r="H316" s="15" t="s">
        <v>365</v>
      </c>
      <c r="I316" s="15" t="s">
        <v>879</v>
      </c>
      <c r="J316" s="15">
        <v>45677</v>
      </c>
      <c r="K316" s="15" t="s">
        <v>880</v>
      </c>
      <c r="L316" s="15" t="s">
        <v>64</v>
      </c>
      <c r="M316" s="15">
        <v>405</v>
      </c>
      <c r="N316" s="15">
        <v>2</v>
      </c>
      <c r="O316" s="15" t="s">
        <v>60</v>
      </c>
      <c r="P316" s="15">
        <v>7</v>
      </c>
      <c r="Q316" s="15">
        <v>55</v>
      </c>
      <c r="R316" s="15">
        <v>45680</v>
      </c>
      <c r="S316" s="15" t="s">
        <v>881</v>
      </c>
      <c r="T316" s="15">
        <v>3</v>
      </c>
      <c r="U316" s="15">
        <v>810</v>
      </c>
      <c r="V316" s="16">
        <v>0.15</v>
      </c>
      <c r="W316" s="15">
        <v>688.5</v>
      </c>
      <c r="X316" s="15">
        <v>743.5</v>
      </c>
      <c r="Y316" s="15" t="s">
        <v>2095</v>
      </c>
      <c r="Z316" s="15" t="s">
        <v>2060</v>
      </c>
      <c r="AA316" s="17">
        <v>7</v>
      </c>
      <c r="AB316">
        <v>59.836499999999994</v>
      </c>
    </row>
    <row r="317" spans="1:28">
      <c r="A317" s="18" t="s">
        <v>469</v>
      </c>
      <c r="B317" s="18" t="s">
        <v>470</v>
      </c>
      <c r="C317" s="18" t="s">
        <v>471</v>
      </c>
      <c r="D317" s="18">
        <v>18</v>
      </c>
      <c r="E317" s="18" t="s">
        <v>43</v>
      </c>
      <c r="F317" s="18" t="s">
        <v>44</v>
      </c>
      <c r="G317" s="18" t="s">
        <v>472</v>
      </c>
      <c r="H317" s="18" t="s">
        <v>473</v>
      </c>
      <c r="I317" s="18" t="s">
        <v>891</v>
      </c>
      <c r="J317" s="18">
        <v>45378</v>
      </c>
      <c r="K317" s="18" t="s">
        <v>892</v>
      </c>
      <c r="L317" s="18" t="s">
        <v>59</v>
      </c>
      <c r="M317" s="18">
        <v>202.54</v>
      </c>
      <c r="N317" s="18">
        <v>4</v>
      </c>
      <c r="O317" s="18" t="s">
        <v>98</v>
      </c>
      <c r="P317" s="18">
        <v>1</v>
      </c>
      <c r="Q317" s="18">
        <v>36</v>
      </c>
      <c r="R317" s="18">
        <v>45380</v>
      </c>
      <c r="S317" s="18" t="s">
        <v>893</v>
      </c>
      <c r="T317" s="18">
        <v>2</v>
      </c>
      <c r="U317" s="18">
        <v>810.16</v>
      </c>
      <c r="V317" s="19">
        <v>0.1</v>
      </c>
      <c r="W317" s="18">
        <v>729.14400000000001</v>
      </c>
      <c r="X317" s="18">
        <v>765.14400000000001</v>
      </c>
      <c r="Y317" s="18" t="s">
        <v>2150</v>
      </c>
      <c r="Z317" s="18" t="s">
        <v>2064</v>
      </c>
      <c r="AA317" s="20">
        <v>8</v>
      </c>
      <c r="AB317">
        <v>72.221999999999994</v>
      </c>
    </row>
    <row r="318" spans="1:28">
      <c r="A318" s="15" t="s">
        <v>167</v>
      </c>
      <c r="B318" s="15" t="s">
        <v>168</v>
      </c>
      <c r="C318" s="15" t="s">
        <v>169</v>
      </c>
      <c r="D318" s="15">
        <v>46</v>
      </c>
      <c r="E318" s="15" t="s">
        <v>31</v>
      </c>
      <c r="F318" s="15" t="s">
        <v>170</v>
      </c>
      <c r="G318" s="15" t="s">
        <v>171</v>
      </c>
      <c r="H318" s="15" t="s">
        <v>172</v>
      </c>
      <c r="I318" s="15" t="s">
        <v>1636</v>
      </c>
      <c r="J318" s="15">
        <v>45473</v>
      </c>
      <c r="K318" s="15" t="s">
        <v>1637</v>
      </c>
      <c r="L318" s="15" t="s">
        <v>175</v>
      </c>
      <c r="M318" s="15">
        <v>272.51</v>
      </c>
      <c r="N318" s="15">
        <v>3</v>
      </c>
      <c r="O318" s="15" t="s">
        <v>38</v>
      </c>
      <c r="P318" s="15">
        <v>5</v>
      </c>
      <c r="Q318" s="15">
        <v>66</v>
      </c>
      <c r="R318" s="15">
        <v>45479</v>
      </c>
      <c r="S318" s="15" t="s">
        <v>1638</v>
      </c>
      <c r="T318" s="15">
        <v>6</v>
      </c>
      <c r="U318" s="15">
        <v>817.53</v>
      </c>
      <c r="V318" s="16">
        <v>0.08</v>
      </c>
      <c r="W318" s="15">
        <v>752.12760000000003</v>
      </c>
      <c r="X318" s="15">
        <v>818.12760000000003</v>
      </c>
      <c r="Y318" s="15" t="s">
        <v>2069</v>
      </c>
      <c r="Z318" s="15" t="s">
        <v>2064</v>
      </c>
      <c r="AA318" s="17">
        <v>10</v>
      </c>
      <c r="AB318">
        <v>96.296000000000006</v>
      </c>
    </row>
    <row r="319" spans="1:28">
      <c r="A319" s="18" t="s">
        <v>438</v>
      </c>
      <c r="B319" s="18" t="s">
        <v>439</v>
      </c>
      <c r="C319" s="18" t="s">
        <v>440</v>
      </c>
      <c r="D319" s="18">
        <v>28</v>
      </c>
      <c r="E319" s="18" t="s">
        <v>54</v>
      </c>
      <c r="F319" s="18" t="s">
        <v>78</v>
      </c>
      <c r="G319" s="18" t="s">
        <v>441</v>
      </c>
      <c r="H319" s="18" t="s">
        <v>442</v>
      </c>
      <c r="I319" s="18" t="s">
        <v>1663</v>
      </c>
      <c r="J319" s="18">
        <v>45307</v>
      </c>
      <c r="K319" s="18" t="s">
        <v>1664</v>
      </c>
      <c r="L319" s="18" t="s">
        <v>175</v>
      </c>
      <c r="M319" s="18">
        <v>272.51</v>
      </c>
      <c r="N319" s="18">
        <v>3</v>
      </c>
      <c r="O319" s="18" t="s">
        <v>38</v>
      </c>
      <c r="P319" s="18">
        <v>6</v>
      </c>
      <c r="Q319" s="18">
        <v>44</v>
      </c>
      <c r="R319" s="18">
        <v>45310</v>
      </c>
      <c r="S319" s="18" t="s">
        <v>1665</v>
      </c>
      <c r="T319" s="18">
        <v>3</v>
      </c>
      <c r="U319" s="18">
        <v>817.53</v>
      </c>
      <c r="V319" s="19">
        <v>0.08</v>
      </c>
      <c r="W319" s="18">
        <v>752.12760000000003</v>
      </c>
      <c r="X319" s="18">
        <v>796.12760000000003</v>
      </c>
      <c r="Y319" s="18" t="s">
        <v>2120</v>
      </c>
      <c r="Z319" s="18" t="s">
        <v>2060</v>
      </c>
      <c r="AA319" s="20">
        <v>8</v>
      </c>
      <c r="AB319">
        <v>158.53</v>
      </c>
    </row>
    <row r="320" spans="1:28">
      <c r="A320" s="15" t="s">
        <v>595</v>
      </c>
      <c r="B320" s="15" t="s">
        <v>596</v>
      </c>
      <c r="C320" s="15" t="s">
        <v>597</v>
      </c>
      <c r="D320" s="15">
        <v>21</v>
      </c>
      <c r="E320" s="15" t="s">
        <v>31</v>
      </c>
      <c r="F320" s="15" t="s">
        <v>44</v>
      </c>
      <c r="G320" s="15" t="s">
        <v>598</v>
      </c>
      <c r="H320" s="15" t="s">
        <v>599</v>
      </c>
      <c r="I320" s="15" t="s">
        <v>671</v>
      </c>
      <c r="J320" s="15">
        <v>45321</v>
      </c>
      <c r="K320" s="15" t="s">
        <v>672</v>
      </c>
      <c r="L320" s="15" t="s">
        <v>107</v>
      </c>
      <c r="M320" s="15">
        <v>275.44</v>
      </c>
      <c r="N320" s="15">
        <v>3</v>
      </c>
      <c r="O320" s="15" t="s">
        <v>60</v>
      </c>
      <c r="P320" s="15">
        <v>7</v>
      </c>
      <c r="Q320" s="15">
        <v>47</v>
      </c>
      <c r="R320" s="15">
        <v>45322</v>
      </c>
      <c r="S320" s="15" t="s">
        <v>673</v>
      </c>
      <c r="T320" s="15">
        <v>1</v>
      </c>
      <c r="U320" s="15">
        <v>826.31999999999994</v>
      </c>
      <c r="V320" s="16">
        <v>0.15</v>
      </c>
      <c r="W320" s="15">
        <v>702.37199999999996</v>
      </c>
      <c r="X320" s="15">
        <v>749.37199999999996</v>
      </c>
      <c r="Y320" s="15" t="s">
        <v>2153</v>
      </c>
      <c r="Z320" s="15" t="s">
        <v>2060</v>
      </c>
      <c r="AA320" s="17">
        <v>12</v>
      </c>
      <c r="AB320">
        <v>109.004</v>
      </c>
    </row>
    <row r="321" spans="1:28">
      <c r="A321" s="18" t="s">
        <v>493</v>
      </c>
      <c r="B321" s="18" t="s">
        <v>189</v>
      </c>
      <c r="C321" s="18" t="s">
        <v>330</v>
      </c>
      <c r="D321" s="18">
        <v>39</v>
      </c>
      <c r="E321" s="18" t="s">
        <v>54</v>
      </c>
      <c r="F321" s="18" t="s">
        <v>44</v>
      </c>
      <c r="G321" s="18" t="s">
        <v>494</v>
      </c>
      <c r="H321" s="18" t="s">
        <v>495</v>
      </c>
      <c r="I321" s="18" t="s">
        <v>1012</v>
      </c>
      <c r="J321" s="18">
        <v>45651</v>
      </c>
      <c r="K321" s="18" t="s">
        <v>1013</v>
      </c>
      <c r="L321" s="18" t="s">
        <v>498</v>
      </c>
      <c r="M321" s="18">
        <v>421.7</v>
      </c>
      <c r="N321" s="18">
        <v>2</v>
      </c>
      <c r="O321" s="18" t="s">
        <v>38</v>
      </c>
      <c r="P321" s="18">
        <v>5</v>
      </c>
      <c r="Q321" s="18">
        <v>45</v>
      </c>
      <c r="R321" s="18">
        <v>45653</v>
      </c>
      <c r="S321" s="18" t="s">
        <v>1014</v>
      </c>
      <c r="T321" s="18">
        <v>2</v>
      </c>
      <c r="U321" s="18">
        <v>843.4</v>
      </c>
      <c r="V321" s="19">
        <v>0.08</v>
      </c>
      <c r="W321" s="18">
        <v>775.928</v>
      </c>
      <c r="X321" s="18">
        <v>820.928</v>
      </c>
      <c r="Y321" s="18" t="s">
        <v>2127</v>
      </c>
      <c r="Z321" s="18" t="s">
        <v>2060</v>
      </c>
      <c r="AA321" s="20">
        <v>12</v>
      </c>
      <c r="AB321">
        <v>31.254000000000001</v>
      </c>
    </row>
    <row r="322" spans="1:28">
      <c r="A322" s="15" t="s">
        <v>158</v>
      </c>
      <c r="B322" s="15" t="s">
        <v>159</v>
      </c>
      <c r="C322" s="15" t="s">
        <v>160</v>
      </c>
      <c r="D322" s="15">
        <v>24</v>
      </c>
      <c r="E322" s="15" t="s">
        <v>31</v>
      </c>
      <c r="F322" s="15" t="s">
        <v>161</v>
      </c>
      <c r="G322" s="15" t="s">
        <v>162</v>
      </c>
      <c r="H322" s="15" t="s">
        <v>163</v>
      </c>
      <c r="I322" s="15" t="s">
        <v>1271</v>
      </c>
      <c r="J322" s="15">
        <v>45512</v>
      </c>
      <c r="K322" s="15" t="s">
        <v>1272</v>
      </c>
      <c r="L322" s="15" t="s">
        <v>498</v>
      </c>
      <c r="M322" s="15">
        <v>421.7</v>
      </c>
      <c r="N322" s="15">
        <v>2</v>
      </c>
      <c r="O322" s="15" t="s">
        <v>98</v>
      </c>
      <c r="P322" s="15">
        <v>2</v>
      </c>
      <c r="Q322" s="15">
        <v>54</v>
      </c>
      <c r="R322" s="15">
        <v>45514</v>
      </c>
      <c r="S322" s="15" t="s">
        <v>1273</v>
      </c>
      <c r="T322" s="15">
        <v>2</v>
      </c>
      <c r="U322" s="15">
        <v>843.4</v>
      </c>
      <c r="V322" s="16">
        <v>0.1</v>
      </c>
      <c r="W322" s="15">
        <v>759.06</v>
      </c>
      <c r="X322" s="15">
        <v>813.06</v>
      </c>
      <c r="Y322" s="15" t="s">
        <v>2125</v>
      </c>
      <c r="Z322" s="15" t="s">
        <v>2072</v>
      </c>
      <c r="AA322" s="17">
        <v>7</v>
      </c>
      <c r="AB322">
        <v>4</v>
      </c>
    </row>
    <row r="323" spans="1:28">
      <c r="A323" s="18" t="s">
        <v>239</v>
      </c>
      <c r="B323" s="18" t="s">
        <v>68</v>
      </c>
      <c r="C323" s="18" t="s">
        <v>240</v>
      </c>
      <c r="D323" s="18">
        <v>52</v>
      </c>
      <c r="E323" s="18" t="s">
        <v>54</v>
      </c>
      <c r="F323" s="18" t="s">
        <v>44</v>
      </c>
      <c r="G323" s="18" t="s">
        <v>241</v>
      </c>
      <c r="H323" s="18" t="s">
        <v>242</v>
      </c>
      <c r="I323" s="18" t="s">
        <v>247</v>
      </c>
      <c r="J323" s="18">
        <v>45138</v>
      </c>
      <c r="K323" s="18" t="s">
        <v>248</v>
      </c>
      <c r="L323" s="18" t="s">
        <v>249</v>
      </c>
      <c r="M323" s="18">
        <v>282.63</v>
      </c>
      <c r="N323" s="18">
        <v>3</v>
      </c>
      <c r="O323" s="18" t="s">
        <v>65</v>
      </c>
      <c r="P323" s="18">
        <v>2</v>
      </c>
      <c r="Q323" s="18">
        <v>40</v>
      </c>
      <c r="R323" s="18">
        <v>45142</v>
      </c>
      <c r="S323" s="18" t="s">
        <v>250</v>
      </c>
      <c r="T323" s="18">
        <v>4</v>
      </c>
      <c r="U323" s="18">
        <v>847.89</v>
      </c>
      <c r="V323" s="19">
        <v>0</v>
      </c>
      <c r="W323" s="18">
        <v>847.89</v>
      </c>
      <c r="X323" s="18">
        <v>847.89</v>
      </c>
      <c r="Y323" s="18" t="s">
        <v>2123</v>
      </c>
      <c r="Z323" s="18" t="s">
        <v>2064</v>
      </c>
      <c r="AA323" s="20">
        <v>7</v>
      </c>
      <c r="AB323">
        <v>33.985599999999998</v>
      </c>
    </row>
    <row r="324" spans="1:28">
      <c r="A324" s="15" t="s">
        <v>549</v>
      </c>
      <c r="B324" s="15" t="s">
        <v>550</v>
      </c>
      <c r="C324" s="15" t="s">
        <v>551</v>
      </c>
      <c r="D324" s="15">
        <v>33</v>
      </c>
      <c r="E324" s="15" t="s">
        <v>54</v>
      </c>
      <c r="F324" s="15" t="s">
        <v>170</v>
      </c>
      <c r="G324" s="15" t="s">
        <v>552</v>
      </c>
      <c r="H324" s="15" t="s">
        <v>553</v>
      </c>
      <c r="I324" s="15" t="s">
        <v>1698</v>
      </c>
      <c r="J324" s="15">
        <v>45302</v>
      </c>
      <c r="K324" s="15" t="s">
        <v>1699</v>
      </c>
      <c r="L324" s="15" t="s">
        <v>249</v>
      </c>
      <c r="M324" s="15">
        <v>282.63</v>
      </c>
      <c r="N324" s="15">
        <v>3</v>
      </c>
      <c r="O324" s="15" t="s">
        <v>65</v>
      </c>
      <c r="P324" s="15">
        <v>4</v>
      </c>
      <c r="Q324" s="15">
        <v>66</v>
      </c>
      <c r="R324" s="15">
        <v>45307</v>
      </c>
      <c r="S324" s="15" t="s">
        <v>747</v>
      </c>
      <c r="T324" s="15">
        <v>5</v>
      </c>
      <c r="U324" s="15">
        <v>847.89</v>
      </c>
      <c r="V324" s="16">
        <v>0</v>
      </c>
      <c r="W324" s="15">
        <v>847.89</v>
      </c>
      <c r="X324" s="15">
        <v>847.89</v>
      </c>
      <c r="Y324" s="15" t="s">
        <v>2149</v>
      </c>
      <c r="Z324" s="15" t="s">
        <v>2064</v>
      </c>
      <c r="AA324" s="17">
        <v>6</v>
      </c>
      <c r="AB324">
        <v>220.27000000000004</v>
      </c>
    </row>
    <row r="325" spans="1:28">
      <c r="A325" s="18" t="s">
        <v>423</v>
      </c>
      <c r="B325" s="18" t="s">
        <v>424</v>
      </c>
      <c r="C325" s="18" t="s">
        <v>425</v>
      </c>
      <c r="D325" s="18">
        <v>52</v>
      </c>
      <c r="E325" s="18" t="s">
        <v>54</v>
      </c>
      <c r="F325" s="18" t="s">
        <v>223</v>
      </c>
      <c r="G325" s="18" t="s">
        <v>426</v>
      </c>
      <c r="H325" s="18" t="s">
        <v>427</v>
      </c>
      <c r="I325" s="18" t="s">
        <v>1751</v>
      </c>
      <c r="J325" s="18">
        <v>45471</v>
      </c>
      <c r="K325" s="18" t="s">
        <v>1752</v>
      </c>
      <c r="L325" s="18" t="s">
        <v>249</v>
      </c>
      <c r="M325" s="18">
        <v>282.63</v>
      </c>
      <c r="N325" s="18">
        <v>3</v>
      </c>
      <c r="O325" s="18" t="s">
        <v>38</v>
      </c>
      <c r="P325" s="18">
        <v>3</v>
      </c>
      <c r="Q325" s="18">
        <v>36</v>
      </c>
      <c r="R325" s="18">
        <v>45478</v>
      </c>
      <c r="S325" s="18" t="s">
        <v>1753</v>
      </c>
      <c r="T325" s="18">
        <v>7</v>
      </c>
      <c r="U325" s="18">
        <v>847.89</v>
      </c>
      <c r="V325" s="19">
        <v>0.08</v>
      </c>
      <c r="W325" s="18">
        <v>780.05880000000002</v>
      </c>
      <c r="X325" s="18">
        <v>816.05880000000002</v>
      </c>
      <c r="Y325" s="18" t="s">
        <v>2075</v>
      </c>
      <c r="Z325" s="18" t="s">
        <v>2064</v>
      </c>
      <c r="AA325" s="20">
        <v>8</v>
      </c>
      <c r="AB325">
        <v>0</v>
      </c>
    </row>
    <row r="326" spans="1:28">
      <c r="A326" s="15" t="s">
        <v>388</v>
      </c>
      <c r="B326" s="15" t="s">
        <v>389</v>
      </c>
      <c r="C326" s="15" t="s">
        <v>390</v>
      </c>
      <c r="D326" s="15">
        <v>47</v>
      </c>
      <c r="E326" s="15" t="s">
        <v>43</v>
      </c>
      <c r="F326" s="15" t="s">
        <v>92</v>
      </c>
      <c r="G326" s="15" t="s">
        <v>391</v>
      </c>
      <c r="H326" s="15" t="s">
        <v>392</v>
      </c>
      <c r="I326" s="15" t="s">
        <v>1406</v>
      </c>
      <c r="J326" s="15">
        <v>45513</v>
      </c>
      <c r="K326" s="15" t="s">
        <v>1407</v>
      </c>
      <c r="L326" s="15" t="s">
        <v>689</v>
      </c>
      <c r="M326" s="15">
        <v>424.82</v>
      </c>
      <c r="N326" s="15">
        <v>2</v>
      </c>
      <c r="O326" s="15" t="s">
        <v>65</v>
      </c>
      <c r="P326" s="15">
        <v>2</v>
      </c>
      <c r="Q326" s="15">
        <v>57</v>
      </c>
      <c r="R326" s="15">
        <v>45520</v>
      </c>
      <c r="S326" s="15" t="s">
        <v>1408</v>
      </c>
      <c r="T326" s="15">
        <v>7</v>
      </c>
      <c r="U326" s="15">
        <v>849.64</v>
      </c>
      <c r="V326" s="16">
        <v>0</v>
      </c>
      <c r="W326" s="15">
        <v>849.64</v>
      </c>
      <c r="X326" s="15">
        <v>849.64</v>
      </c>
      <c r="Y326" s="15" t="s">
        <v>2137</v>
      </c>
      <c r="Z326" s="15" t="s">
        <v>2064</v>
      </c>
      <c r="AA326" s="17">
        <v>5</v>
      </c>
      <c r="AB326">
        <v>14.535000000000004</v>
      </c>
    </row>
    <row r="327" spans="1:28">
      <c r="A327" s="18" t="s">
        <v>423</v>
      </c>
      <c r="B327" s="18" t="s">
        <v>424</v>
      </c>
      <c r="C327" s="18" t="s">
        <v>425</v>
      </c>
      <c r="D327" s="18">
        <v>52</v>
      </c>
      <c r="E327" s="18" t="s">
        <v>54</v>
      </c>
      <c r="F327" s="18" t="s">
        <v>223</v>
      </c>
      <c r="G327" s="18" t="s">
        <v>426</v>
      </c>
      <c r="H327" s="18" t="s">
        <v>427</v>
      </c>
      <c r="I327" s="18" t="s">
        <v>2053</v>
      </c>
      <c r="J327" s="18">
        <v>45472</v>
      </c>
      <c r="K327" s="18" t="s">
        <v>2054</v>
      </c>
      <c r="L327" s="18" t="s">
        <v>689</v>
      </c>
      <c r="M327" s="18">
        <v>424.82</v>
      </c>
      <c r="N327" s="18">
        <v>2</v>
      </c>
      <c r="O327" s="18" t="s">
        <v>65</v>
      </c>
      <c r="P327" s="18">
        <v>6</v>
      </c>
      <c r="Q327" s="18">
        <v>63</v>
      </c>
      <c r="R327" s="18">
        <v>45477</v>
      </c>
      <c r="S327" s="18" t="s">
        <v>2055</v>
      </c>
      <c r="T327" s="18">
        <v>5</v>
      </c>
      <c r="U327" s="18">
        <v>849.64</v>
      </c>
      <c r="V327" s="19">
        <v>0</v>
      </c>
      <c r="W327" s="18">
        <v>849.64</v>
      </c>
      <c r="X327" s="18">
        <v>849.64</v>
      </c>
      <c r="Y327" s="18" t="s">
        <v>2075</v>
      </c>
      <c r="Z327" s="18" t="s">
        <v>2060</v>
      </c>
      <c r="AA327" s="20">
        <v>9</v>
      </c>
      <c r="AB327">
        <v>16.668800000000001</v>
      </c>
    </row>
    <row r="328" spans="1:28">
      <c r="A328" s="15" t="s">
        <v>1345</v>
      </c>
      <c r="B328" s="15" t="s">
        <v>511</v>
      </c>
      <c r="C328" s="15" t="s">
        <v>1346</v>
      </c>
      <c r="D328" s="15">
        <v>40</v>
      </c>
      <c r="E328" s="15" t="s">
        <v>54</v>
      </c>
      <c r="F328" s="15" t="s">
        <v>223</v>
      </c>
      <c r="G328" s="15" t="s">
        <v>1347</v>
      </c>
      <c r="H328" s="15" t="s">
        <v>1348</v>
      </c>
      <c r="I328" s="15" t="s">
        <v>1349</v>
      </c>
      <c r="J328" s="15">
        <v>45422</v>
      </c>
      <c r="K328" s="15" t="s">
        <v>1350</v>
      </c>
      <c r="L328" s="15" t="s">
        <v>556</v>
      </c>
      <c r="M328" s="15">
        <v>425.59</v>
      </c>
      <c r="N328" s="15">
        <v>2</v>
      </c>
      <c r="O328" s="15" t="s">
        <v>38</v>
      </c>
      <c r="P328" s="15">
        <v>3</v>
      </c>
      <c r="Q328" s="15">
        <v>47</v>
      </c>
      <c r="R328" s="15">
        <v>45423</v>
      </c>
      <c r="S328" s="15" t="s">
        <v>1351</v>
      </c>
      <c r="T328" s="15">
        <v>1</v>
      </c>
      <c r="U328" s="15">
        <v>851.18</v>
      </c>
      <c r="V328" s="16">
        <v>0.08</v>
      </c>
      <c r="W328" s="15">
        <v>783.0856</v>
      </c>
      <c r="X328" s="15">
        <v>830.0856</v>
      </c>
      <c r="Y328" s="15" t="s">
        <v>2138</v>
      </c>
      <c r="Z328" s="15" t="s">
        <v>2060</v>
      </c>
      <c r="AA328" s="17">
        <v>9</v>
      </c>
      <c r="AB328">
        <v>0</v>
      </c>
    </row>
    <row r="329" spans="1:28">
      <c r="A329" s="18" t="s">
        <v>682</v>
      </c>
      <c r="B329" s="18" t="s">
        <v>683</v>
      </c>
      <c r="C329" s="18" t="s">
        <v>684</v>
      </c>
      <c r="D329" s="18">
        <v>68</v>
      </c>
      <c r="E329" s="18" t="s">
        <v>31</v>
      </c>
      <c r="F329" s="18" t="s">
        <v>223</v>
      </c>
      <c r="G329" s="18" t="s">
        <v>685</v>
      </c>
      <c r="H329" s="18" t="s">
        <v>686</v>
      </c>
      <c r="I329" s="18" t="s">
        <v>1448</v>
      </c>
      <c r="J329" s="18">
        <v>44973</v>
      </c>
      <c r="K329" s="18" t="s">
        <v>1449</v>
      </c>
      <c r="L329" s="18" t="s">
        <v>556</v>
      </c>
      <c r="M329" s="18">
        <v>425.59</v>
      </c>
      <c r="N329" s="18">
        <v>2</v>
      </c>
      <c r="O329" s="18" t="s">
        <v>65</v>
      </c>
      <c r="P329" s="18">
        <v>2</v>
      </c>
      <c r="Q329" s="18">
        <v>67</v>
      </c>
      <c r="R329" s="18">
        <v>44977</v>
      </c>
      <c r="S329" s="18" t="s">
        <v>1450</v>
      </c>
      <c r="T329" s="18">
        <v>4</v>
      </c>
      <c r="U329" s="18">
        <v>851.18</v>
      </c>
      <c r="V329" s="19">
        <v>0</v>
      </c>
      <c r="W329" s="18">
        <v>851.18</v>
      </c>
      <c r="X329" s="18">
        <v>851.18</v>
      </c>
      <c r="Y329" s="18" t="s">
        <v>2130</v>
      </c>
      <c r="Z329" s="18" t="s">
        <v>2064</v>
      </c>
      <c r="AA329" s="20">
        <v>10</v>
      </c>
      <c r="AB329">
        <v>26.594000000000001</v>
      </c>
    </row>
    <row r="330" spans="1:28">
      <c r="A330" s="15" t="s">
        <v>549</v>
      </c>
      <c r="B330" s="15" t="s">
        <v>550</v>
      </c>
      <c r="C330" s="15" t="s">
        <v>551</v>
      </c>
      <c r="D330" s="15">
        <v>33</v>
      </c>
      <c r="E330" s="15" t="s">
        <v>54</v>
      </c>
      <c r="F330" s="15" t="s">
        <v>170</v>
      </c>
      <c r="G330" s="15" t="s">
        <v>552</v>
      </c>
      <c r="H330" s="15" t="s">
        <v>553</v>
      </c>
      <c r="I330" s="15" t="s">
        <v>1802</v>
      </c>
      <c r="J330" s="15">
        <v>45351</v>
      </c>
      <c r="K330" s="15" t="s">
        <v>1803</v>
      </c>
      <c r="L330" s="15" t="s">
        <v>556</v>
      </c>
      <c r="M330" s="15">
        <v>425.59</v>
      </c>
      <c r="N330" s="15">
        <v>2</v>
      </c>
      <c r="O330" s="15" t="s">
        <v>98</v>
      </c>
      <c r="P330" s="15">
        <v>4</v>
      </c>
      <c r="Q330" s="15">
        <v>64</v>
      </c>
      <c r="R330" s="15">
        <v>45358</v>
      </c>
      <c r="S330" s="15" t="s">
        <v>1804</v>
      </c>
      <c r="T330" s="15">
        <v>7</v>
      </c>
      <c r="U330" s="15">
        <v>851.18</v>
      </c>
      <c r="V330" s="16">
        <v>0.1</v>
      </c>
      <c r="W330" s="15">
        <v>766.0619999999999</v>
      </c>
      <c r="X330" s="15">
        <v>830.0619999999999</v>
      </c>
      <c r="Y330" s="15" t="s">
        <v>2149</v>
      </c>
      <c r="Z330" s="15" t="s">
        <v>2064</v>
      </c>
      <c r="AA330" s="17">
        <v>4</v>
      </c>
      <c r="AB330">
        <v>134.94399999999999</v>
      </c>
    </row>
    <row r="331" spans="1:28">
      <c r="A331" s="18" t="s">
        <v>369</v>
      </c>
      <c r="B331" s="18" t="s">
        <v>370</v>
      </c>
      <c r="C331" s="18" t="s">
        <v>371</v>
      </c>
      <c r="D331" s="18">
        <v>31</v>
      </c>
      <c r="E331" s="18" t="s">
        <v>54</v>
      </c>
      <c r="F331" s="18" t="s">
        <v>142</v>
      </c>
      <c r="G331" s="18" t="s">
        <v>372</v>
      </c>
      <c r="H331" s="18" t="s">
        <v>373</v>
      </c>
      <c r="I331" s="18" t="s">
        <v>1836</v>
      </c>
      <c r="J331" s="18">
        <v>45398</v>
      </c>
      <c r="K331" s="18" t="s">
        <v>1837</v>
      </c>
      <c r="L331" s="18" t="s">
        <v>556</v>
      </c>
      <c r="M331" s="18">
        <v>425.59</v>
      </c>
      <c r="N331" s="18">
        <v>2</v>
      </c>
      <c r="O331" s="18" t="s">
        <v>60</v>
      </c>
      <c r="P331" s="18">
        <v>1</v>
      </c>
      <c r="Q331" s="18">
        <v>44</v>
      </c>
      <c r="R331" s="18">
        <v>45403</v>
      </c>
      <c r="S331" s="18" t="s">
        <v>1838</v>
      </c>
      <c r="T331" s="18">
        <v>5</v>
      </c>
      <c r="U331" s="18">
        <v>851.18</v>
      </c>
      <c r="V331" s="19">
        <v>0.15</v>
      </c>
      <c r="W331" s="18">
        <v>723.50299999999993</v>
      </c>
      <c r="X331" s="18">
        <v>767.50299999999993</v>
      </c>
      <c r="Y331" s="18" t="s">
        <v>2108</v>
      </c>
      <c r="Z331" s="18" t="s">
        <v>2064</v>
      </c>
      <c r="AA331" s="20">
        <v>4</v>
      </c>
      <c r="AB331">
        <v>0</v>
      </c>
    </row>
    <row r="332" spans="1:28">
      <c r="A332" s="15" t="s">
        <v>469</v>
      </c>
      <c r="B332" s="15" t="s">
        <v>470</v>
      </c>
      <c r="C332" s="15" t="s">
        <v>471</v>
      </c>
      <c r="D332" s="15">
        <v>18</v>
      </c>
      <c r="E332" s="15" t="s">
        <v>43</v>
      </c>
      <c r="F332" s="15" t="s">
        <v>44</v>
      </c>
      <c r="G332" s="15" t="s">
        <v>472</v>
      </c>
      <c r="H332" s="15" t="s">
        <v>473</v>
      </c>
      <c r="I332" s="15" t="s">
        <v>474</v>
      </c>
      <c r="J332" s="15">
        <v>44972</v>
      </c>
      <c r="K332" s="15" t="s">
        <v>475</v>
      </c>
      <c r="L332" s="15" t="s">
        <v>476</v>
      </c>
      <c r="M332" s="15">
        <v>286.07</v>
      </c>
      <c r="N332" s="15">
        <v>3</v>
      </c>
      <c r="O332" s="15" t="s">
        <v>87</v>
      </c>
      <c r="P332" s="15">
        <v>2</v>
      </c>
      <c r="Q332" s="15">
        <v>54</v>
      </c>
      <c r="R332" s="15">
        <v>44977</v>
      </c>
      <c r="S332" s="15" t="s">
        <v>477</v>
      </c>
      <c r="T332" s="15">
        <v>5</v>
      </c>
      <c r="U332" s="15">
        <v>858.21</v>
      </c>
      <c r="V332" s="16">
        <v>0.2</v>
      </c>
      <c r="W332" s="15">
        <v>686.56799999999998</v>
      </c>
      <c r="X332" s="15">
        <v>740.56799999999998</v>
      </c>
      <c r="Y332" s="15" t="s">
        <v>2150</v>
      </c>
      <c r="Z332" s="15" t="s">
        <v>2064</v>
      </c>
      <c r="AA332" s="17">
        <v>11</v>
      </c>
      <c r="AB332">
        <v>0</v>
      </c>
    </row>
    <row r="333" spans="1:28">
      <c r="A333" s="18" t="s">
        <v>649</v>
      </c>
      <c r="B333" s="18" t="s">
        <v>650</v>
      </c>
      <c r="C333" s="18" t="s">
        <v>651</v>
      </c>
      <c r="D333" s="18">
        <v>45</v>
      </c>
      <c r="E333" s="18" t="s">
        <v>54</v>
      </c>
      <c r="F333" s="18" t="s">
        <v>92</v>
      </c>
      <c r="G333" s="18" t="s">
        <v>652</v>
      </c>
      <c r="H333" s="18" t="s">
        <v>653</v>
      </c>
      <c r="I333" s="18" t="s">
        <v>654</v>
      </c>
      <c r="J333" s="18">
        <v>45504</v>
      </c>
      <c r="K333" s="18" t="s">
        <v>655</v>
      </c>
      <c r="L333" s="18" t="s">
        <v>656</v>
      </c>
      <c r="M333" s="18">
        <v>433.62</v>
      </c>
      <c r="N333" s="18">
        <v>2</v>
      </c>
      <c r="O333" s="18" t="s">
        <v>87</v>
      </c>
      <c r="P333" s="18">
        <v>1</v>
      </c>
      <c r="Q333" s="18">
        <v>41</v>
      </c>
      <c r="R333" s="18">
        <v>45510</v>
      </c>
      <c r="S333" s="18" t="s">
        <v>657</v>
      </c>
      <c r="T333" s="18">
        <v>6</v>
      </c>
      <c r="U333" s="18">
        <v>867.24</v>
      </c>
      <c r="V333" s="19">
        <v>0.2</v>
      </c>
      <c r="W333" s="18">
        <v>693.79200000000003</v>
      </c>
      <c r="X333" s="18">
        <v>734.79200000000003</v>
      </c>
      <c r="Y333" s="18" t="s">
        <v>2114</v>
      </c>
      <c r="Z333" s="18" t="s">
        <v>2064</v>
      </c>
      <c r="AA333" s="20">
        <v>7</v>
      </c>
      <c r="AB333">
        <v>23.563000000000002</v>
      </c>
    </row>
    <row r="334" spans="1:28">
      <c r="A334" s="15" t="s">
        <v>1213</v>
      </c>
      <c r="B334" s="15" t="s">
        <v>1214</v>
      </c>
      <c r="C334" s="15" t="s">
        <v>1215</v>
      </c>
      <c r="D334" s="15">
        <v>50</v>
      </c>
      <c r="E334" s="15" t="s">
        <v>54</v>
      </c>
      <c r="F334" s="15" t="s">
        <v>170</v>
      </c>
      <c r="G334" s="15" t="s">
        <v>1216</v>
      </c>
      <c r="H334" s="15" t="s">
        <v>1217</v>
      </c>
      <c r="I334" s="15" t="s">
        <v>1575</v>
      </c>
      <c r="J334" s="15">
        <v>45183</v>
      </c>
      <c r="K334" s="15" t="s">
        <v>1576</v>
      </c>
      <c r="L334" s="15" t="s">
        <v>656</v>
      </c>
      <c r="M334" s="15">
        <v>433.62</v>
      </c>
      <c r="N334" s="15">
        <v>2</v>
      </c>
      <c r="O334" s="15" t="s">
        <v>65</v>
      </c>
      <c r="P334" s="15">
        <v>1</v>
      </c>
      <c r="Q334" s="15">
        <v>46</v>
      </c>
      <c r="R334" s="15">
        <v>45186</v>
      </c>
      <c r="S334" s="15" t="s">
        <v>1577</v>
      </c>
      <c r="T334" s="15">
        <v>3</v>
      </c>
      <c r="U334" s="15">
        <v>867.24</v>
      </c>
      <c r="V334" s="16">
        <v>0</v>
      </c>
      <c r="W334" s="15">
        <v>867.24</v>
      </c>
      <c r="X334" s="15">
        <v>867.24</v>
      </c>
      <c r="Y334" s="15" t="s">
        <v>2100</v>
      </c>
      <c r="Z334" s="15" t="s">
        <v>2064</v>
      </c>
      <c r="AA334" s="17">
        <v>12</v>
      </c>
      <c r="AB334">
        <v>20.094000000000001</v>
      </c>
    </row>
    <row r="335" spans="1:28">
      <c r="A335" s="18" t="s">
        <v>595</v>
      </c>
      <c r="B335" s="18" t="s">
        <v>596</v>
      </c>
      <c r="C335" s="18" t="s">
        <v>597</v>
      </c>
      <c r="D335" s="18">
        <v>21</v>
      </c>
      <c r="E335" s="18" t="s">
        <v>31</v>
      </c>
      <c r="F335" s="18" t="s">
        <v>44</v>
      </c>
      <c r="G335" s="18" t="s">
        <v>598</v>
      </c>
      <c r="H335" s="18" t="s">
        <v>599</v>
      </c>
      <c r="I335" s="18" t="s">
        <v>1897</v>
      </c>
      <c r="J335" s="18">
        <v>45638</v>
      </c>
      <c r="K335" s="18" t="s">
        <v>1898</v>
      </c>
      <c r="L335" s="18" t="s">
        <v>656</v>
      </c>
      <c r="M335" s="18">
        <v>433.62</v>
      </c>
      <c r="N335" s="18">
        <v>2</v>
      </c>
      <c r="O335" s="18" t="s">
        <v>98</v>
      </c>
      <c r="P335" s="18">
        <v>7</v>
      </c>
      <c r="Q335" s="18">
        <v>39</v>
      </c>
      <c r="R335" s="18">
        <v>45644</v>
      </c>
      <c r="S335" s="18" t="s">
        <v>1899</v>
      </c>
      <c r="T335" s="18">
        <v>6</v>
      </c>
      <c r="U335" s="18">
        <v>867.24</v>
      </c>
      <c r="V335" s="19">
        <v>0.1</v>
      </c>
      <c r="W335" s="18">
        <v>780.51599999999996</v>
      </c>
      <c r="X335" s="18">
        <v>819.51599999999996</v>
      </c>
      <c r="Y335" s="18" t="s">
        <v>2153</v>
      </c>
      <c r="Z335" s="18" t="s">
        <v>2060</v>
      </c>
      <c r="AA335" s="20">
        <v>12</v>
      </c>
      <c r="AB335">
        <v>54.52000000000001</v>
      </c>
    </row>
    <row r="336" spans="1:28">
      <c r="A336" s="15" t="s">
        <v>220</v>
      </c>
      <c r="B336" s="15" t="s">
        <v>221</v>
      </c>
      <c r="C336" s="15" t="s">
        <v>222</v>
      </c>
      <c r="D336" s="15">
        <v>33</v>
      </c>
      <c r="E336" s="15" t="s">
        <v>54</v>
      </c>
      <c r="F336" s="15" t="s">
        <v>223</v>
      </c>
      <c r="G336" s="15" t="s">
        <v>224</v>
      </c>
      <c r="H336" s="15" t="s">
        <v>225</v>
      </c>
      <c r="I336" s="15" t="s">
        <v>2044</v>
      </c>
      <c r="J336" s="15">
        <v>45032</v>
      </c>
      <c r="K336" s="15" t="s">
        <v>2045</v>
      </c>
      <c r="L336" s="15" t="s">
        <v>656</v>
      </c>
      <c r="M336" s="15">
        <v>433.62</v>
      </c>
      <c r="N336" s="15">
        <v>2</v>
      </c>
      <c r="O336" s="15" t="s">
        <v>38</v>
      </c>
      <c r="P336" s="15">
        <v>7</v>
      </c>
      <c r="Q336" s="15">
        <v>56</v>
      </c>
      <c r="R336" s="15">
        <v>45039</v>
      </c>
      <c r="S336" s="15" t="s">
        <v>2046</v>
      </c>
      <c r="T336" s="15">
        <v>7</v>
      </c>
      <c r="U336" s="15">
        <v>867.24</v>
      </c>
      <c r="V336" s="16">
        <v>0.08</v>
      </c>
      <c r="W336" s="15">
        <v>797.86080000000004</v>
      </c>
      <c r="X336" s="15">
        <v>853.86080000000004</v>
      </c>
      <c r="Y336" s="15" t="s">
        <v>2141</v>
      </c>
      <c r="Z336" s="15" t="s">
        <v>2072</v>
      </c>
      <c r="AA336" s="17">
        <v>7</v>
      </c>
      <c r="AB336">
        <v>113.05200000000001</v>
      </c>
    </row>
    <row r="337" spans="1:28">
      <c r="A337" s="18" t="s">
        <v>204</v>
      </c>
      <c r="B337" s="18" t="s">
        <v>205</v>
      </c>
      <c r="C337" s="18" t="s">
        <v>206</v>
      </c>
      <c r="D337" s="18">
        <v>23</v>
      </c>
      <c r="E337" s="18" t="s">
        <v>31</v>
      </c>
      <c r="F337" s="18" t="s">
        <v>92</v>
      </c>
      <c r="G337" s="18" t="s">
        <v>207</v>
      </c>
      <c r="H337" s="18" t="s">
        <v>208</v>
      </c>
      <c r="I337" s="18" t="s">
        <v>1630</v>
      </c>
      <c r="J337" s="18">
        <v>45225</v>
      </c>
      <c r="K337" s="18" t="s">
        <v>1631</v>
      </c>
      <c r="L337" s="18" t="s">
        <v>874</v>
      </c>
      <c r="M337" s="18">
        <v>292.14999999999998</v>
      </c>
      <c r="N337" s="18">
        <v>3</v>
      </c>
      <c r="O337" s="18" t="s">
        <v>65</v>
      </c>
      <c r="P337" s="18">
        <v>3</v>
      </c>
      <c r="Q337" s="18">
        <v>51</v>
      </c>
      <c r="R337" s="18">
        <v>45227</v>
      </c>
      <c r="S337" s="18" t="s">
        <v>1632</v>
      </c>
      <c r="T337" s="18">
        <v>2</v>
      </c>
      <c r="U337" s="18">
        <v>876.44999999999993</v>
      </c>
      <c r="V337" s="19">
        <v>0</v>
      </c>
      <c r="W337" s="18">
        <v>876.44999999999993</v>
      </c>
      <c r="X337" s="18">
        <v>876.44999999999993</v>
      </c>
      <c r="Y337" s="18" t="s">
        <v>2158</v>
      </c>
      <c r="Z337" s="18" t="s">
        <v>2060</v>
      </c>
      <c r="AA337" s="20">
        <v>12</v>
      </c>
      <c r="AB337">
        <v>136.255</v>
      </c>
    </row>
    <row r="338" spans="1:28">
      <c r="A338" s="15" t="s">
        <v>538</v>
      </c>
      <c r="B338" s="15" t="s">
        <v>539</v>
      </c>
      <c r="C338" s="15" t="s">
        <v>540</v>
      </c>
      <c r="D338" s="15">
        <v>32</v>
      </c>
      <c r="E338" s="15" t="s">
        <v>54</v>
      </c>
      <c r="F338" s="15" t="s">
        <v>92</v>
      </c>
      <c r="G338" s="15" t="s">
        <v>541</v>
      </c>
      <c r="H338" s="15" t="s">
        <v>542</v>
      </c>
      <c r="I338" s="15" t="s">
        <v>761</v>
      </c>
      <c r="J338" s="15">
        <v>45131</v>
      </c>
      <c r="K338" s="15" t="s">
        <v>762</v>
      </c>
      <c r="L338" s="15" t="s">
        <v>137</v>
      </c>
      <c r="M338" s="15">
        <v>175.93</v>
      </c>
      <c r="N338" s="15">
        <v>5</v>
      </c>
      <c r="O338" s="15" t="s">
        <v>65</v>
      </c>
      <c r="P338" s="15">
        <v>5</v>
      </c>
      <c r="Q338" s="15">
        <v>63</v>
      </c>
      <c r="R338" s="15">
        <v>45138</v>
      </c>
      <c r="S338" s="15" t="s">
        <v>763</v>
      </c>
      <c r="T338" s="15">
        <v>7</v>
      </c>
      <c r="U338" s="15">
        <v>879.65000000000009</v>
      </c>
      <c r="V338" s="16">
        <v>0</v>
      </c>
      <c r="W338" s="15">
        <v>879.65000000000009</v>
      </c>
      <c r="X338" s="15">
        <v>879.65000000000009</v>
      </c>
      <c r="Y338" s="15" t="s">
        <v>2121</v>
      </c>
      <c r="Z338" s="15" t="s">
        <v>2064</v>
      </c>
      <c r="AA338" s="17">
        <v>5</v>
      </c>
      <c r="AB338">
        <v>82.631999999999991</v>
      </c>
    </row>
    <row r="339" spans="1:28">
      <c r="A339" s="18" t="s">
        <v>415</v>
      </c>
      <c r="B339" s="18" t="s">
        <v>231</v>
      </c>
      <c r="C339" s="18" t="s">
        <v>416</v>
      </c>
      <c r="D339" s="18">
        <v>28</v>
      </c>
      <c r="E339" s="18" t="s">
        <v>54</v>
      </c>
      <c r="F339" s="18" t="s">
        <v>142</v>
      </c>
      <c r="G339" s="18" t="s">
        <v>417</v>
      </c>
      <c r="H339" s="18" t="s">
        <v>418</v>
      </c>
      <c r="I339" s="18" t="s">
        <v>702</v>
      </c>
      <c r="J339" s="18">
        <v>45113</v>
      </c>
      <c r="K339" s="18" t="s">
        <v>703</v>
      </c>
      <c r="L339" s="18" t="s">
        <v>156</v>
      </c>
      <c r="M339" s="18">
        <v>220.27</v>
      </c>
      <c r="N339" s="18">
        <v>4</v>
      </c>
      <c r="O339" s="18" t="s">
        <v>87</v>
      </c>
      <c r="P339" s="18">
        <v>4</v>
      </c>
      <c r="Q339" s="18">
        <v>65</v>
      </c>
      <c r="R339" s="18">
        <v>45117</v>
      </c>
      <c r="S339" s="18" t="s">
        <v>704</v>
      </c>
      <c r="T339" s="18">
        <v>4</v>
      </c>
      <c r="U339" s="18">
        <v>881.08</v>
      </c>
      <c r="V339" s="19">
        <v>0.2</v>
      </c>
      <c r="W339" s="18">
        <v>704.86400000000003</v>
      </c>
      <c r="X339" s="18">
        <v>769.86400000000003</v>
      </c>
      <c r="Y339" s="18" t="s">
        <v>2088</v>
      </c>
      <c r="Z339" s="18" t="s">
        <v>2072</v>
      </c>
      <c r="AA339" s="20">
        <v>8</v>
      </c>
      <c r="AB339">
        <v>70.564799999999991</v>
      </c>
    </row>
    <row r="340" spans="1:28">
      <c r="A340" s="15" t="s">
        <v>258</v>
      </c>
      <c r="B340" s="15" t="s">
        <v>259</v>
      </c>
      <c r="C340" s="15" t="s">
        <v>260</v>
      </c>
      <c r="D340" s="15">
        <v>60</v>
      </c>
      <c r="E340" s="15" t="s">
        <v>54</v>
      </c>
      <c r="F340" s="15" t="s">
        <v>32</v>
      </c>
      <c r="G340" s="15" t="s">
        <v>261</v>
      </c>
      <c r="H340" s="15" t="s">
        <v>262</v>
      </c>
      <c r="I340" s="15" t="s">
        <v>519</v>
      </c>
      <c r="J340" s="15">
        <v>45451</v>
      </c>
      <c r="K340" s="15" t="s">
        <v>520</v>
      </c>
      <c r="L340" s="15" t="s">
        <v>521</v>
      </c>
      <c r="M340" s="15">
        <v>441.03</v>
      </c>
      <c r="N340" s="15">
        <v>2</v>
      </c>
      <c r="O340" s="15" t="s">
        <v>98</v>
      </c>
      <c r="P340" s="15">
        <v>3</v>
      </c>
      <c r="Q340" s="15">
        <v>49</v>
      </c>
      <c r="R340" s="15">
        <v>45458</v>
      </c>
      <c r="S340" s="15" t="s">
        <v>522</v>
      </c>
      <c r="T340" s="15">
        <v>7</v>
      </c>
      <c r="U340" s="15">
        <v>882.06</v>
      </c>
      <c r="V340" s="16">
        <v>0.1</v>
      </c>
      <c r="W340" s="15">
        <v>793.85399999999993</v>
      </c>
      <c r="X340" s="15">
        <v>842.85399999999993</v>
      </c>
      <c r="Y340" s="15" t="s">
        <v>2132</v>
      </c>
      <c r="Z340" s="15" t="s">
        <v>2064</v>
      </c>
      <c r="AA340" s="17">
        <v>12</v>
      </c>
      <c r="AB340">
        <v>38.924999999999997</v>
      </c>
    </row>
    <row r="341" spans="1:28">
      <c r="A341" s="18" t="s">
        <v>369</v>
      </c>
      <c r="B341" s="18" t="s">
        <v>370</v>
      </c>
      <c r="C341" s="18" t="s">
        <v>371</v>
      </c>
      <c r="D341" s="18">
        <v>31</v>
      </c>
      <c r="E341" s="18" t="s">
        <v>54</v>
      </c>
      <c r="F341" s="18" t="s">
        <v>142</v>
      </c>
      <c r="G341" s="18" t="s">
        <v>372</v>
      </c>
      <c r="H341" s="18" t="s">
        <v>373</v>
      </c>
      <c r="I341" s="18" t="s">
        <v>1540</v>
      </c>
      <c r="J341" s="18">
        <v>45148</v>
      </c>
      <c r="K341" s="18" t="s">
        <v>1541</v>
      </c>
      <c r="L341" s="18" t="s">
        <v>521</v>
      </c>
      <c r="M341" s="18">
        <v>441.03</v>
      </c>
      <c r="N341" s="18">
        <v>2</v>
      </c>
      <c r="O341" s="18" t="s">
        <v>38</v>
      </c>
      <c r="P341" s="18">
        <v>3</v>
      </c>
      <c r="Q341" s="18">
        <v>62</v>
      </c>
      <c r="R341" s="18">
        <v>45151</v>
      </c>
      <c r="S341" s="18" t="s">
        <v>1542</v>
      </c>
      <c r="T341" s="18">
        <v>3</v>
      </c>
      <c r="U341" s="18">
        <v>882.06</v>
      </c>
      <c r="V341" s="19">
        <v>0.08</v>
      </c>
      <c r="W341" s="18">
        <v>811.49519999999995</v>
      </c>
      <c r="X341" s="18">
        <v>873.49519999999995</v>
      </c>
      <c r="Y341" s="18" t="s">
        <v>2108</v>
      </c>
      <c r="Z341" s="18" t="s">
        <v>2072</v>
      </c>
      <c r="AA341" s="20">
        <v>1</v>
      </c>
      <c r="AB341">
        <v>286.512</v>
      </c>
    </row>
    <row r="342" spans="1:28">
      <c r="A342" s="15" t="s">
        <v>1460</v>
      </c>
      <c r="B342" s="15" t="s">
        <v>276</v>
      </c>
      <c r="C342" s="15" t="s">
        <v>1461</v>
      </c>
      <c r="D342" s="15">
        <v>30</v>
      </c>
      <c r="E342" s="15" t="s">
        <v>31</v>
      </c>
      <c r="F342" s="15" t="s">
        <v>223</v>
      </c>
      <c r="G342" s="15" t="s">
        <v>1462</v>
      </c>
      <c r="H342" s="15" t="s">
        <v>1463</v>
      </c>
      <c r="I342" s="15" t="s">
        <v>1555</v>
      </c>
      <c r="J342" s="15">
        <v>45423</v>
      </c>
      <c r="K342" s="15" t="s">
        <v>1556</v>
      </c>
      <c r="L342" s="15" t="s">
        <v>521</v>
      </c>
      <c r="M342" s="15">
        <v>441.03</v>
      </c>
      <c r="N342" s="15">
        <v>2</v>
      </c>
      <c r="O342" s="15" t="s">
        <v>65</v>
      </c>
      <c r="P342" s="15">
        <v>4</v>
      </c>
      <c r="Q342" s="15">
        <v>55</v>
      </c>
      <c r="R342" s="15">
        <v>45429</v>
      </c>
      <c r="S342" s="15" t="s">
        <v>1557</v>
      </c>
      <c r="T342" s="15">
        <v>6</v>
      </c>
      <c r="U342" s="15">
        <v>882.06</v>
      </c>
      <c r="V342" s="16">
        <v>0</v>
      </c>
      <c r="W342" s="15">
        <v>882.06</v>
      </c>
      <c r="X342" s="15">
        <v>882.06</v>
      </c>
      <c r="Y342" s="15" t="s">
        <v>2084</v>
      </c>
      <c r="Z342" s="15" t="s">
        <v>2064</v>
      </c>
      <c r="AA342" s="17">
        <v>6</v>
      </c>
      <c r="AB342">
        <v>32.241</v>
      </c>
    </row>
    <row r="343" spans="1:28">
      <c r="A343" s="18" t="s">
        <v>446</v>
      </c>
      <c r="B343" s="18" t="s">
        <v>101</v>
      </c>
      <c r="C343" s="18" t="s">
        <v>447</v>
      </c>
      <c r="D343" s="18">
        <v>36</v>
      </c>
      <c r="E343" s="18" t="s">
        <v>43</v>
      </c>
      <c r="F343" s="18" t="s">
        <v>32</v>
      </c>
      <c r="G343" s="18" t="s">
        <v>448</v>
      </c>
      <c r="H343" s="18" t="s">
        <v>449</v>
      </c>
      <c r="I343" s="18" t="s">
        <v>1572</v>
      </c>
      <c r="J343" s="18">
        <v>45028</v>
      </c>
      <c r="K343" s="18" t="s">
        <v>1573</v>
      </c>
      <c r="L343" s="18" t="s">
        <v>521</v>
      </c>
      <c r="M343" s="18">
        <v>441.03</v>
      </c>
      <c r="N343" s="18">
        <v>2</v>
      </c>
      <c r="O343" s="18" t="s">
        <v>98</v>
      </c>
      <c r="P343" s="18">
        <v>4</v>
      </c>
      <c r="Q343" s="18">
        <v>60</v>
      </c>
      <c r="R343" s="18">
        <v>45033</v>
      </c>
      <c r="S343" s="18" t="s">
        <v>1574</v>
      </c>
      <c r="T343" s="18">
        <v>5</v>
      </c>
      <c r="U343" s="18">
        <v>882.06</v>
      </c>
      <c r="V343" s="19">
        <v>0.1</v>
      </c>
      <c r="W343" s="18">
        <v>793.85399999999993</v>
      </c>
      <c r="X343" s="18">
        <v>853.85399999999993</v>
      </c>
      <c r="Y343" s="18" t="s">
        <v>2104</v>
      </c>
      <c r="Z343" s="18" t="s">
        <v>2064</v>
      </c>
      <c r="AA343" s="20">
        <v>9</v>
      </c>
      <c r="AB343">
        <v>25.364800000000002</v>
      </c>
    </row>
    <row r="344" spans="1:28">
      <c r="A344" s="15" t="s">
        <v>438</v>
      </c>
      <c r="B344" s="15" t="s">
        <v>439</v>
      </c>
      <c r="C344" s="15" t="s">
        <v>440</v>
      </c>
      <c r="D344" s="15">
        <v>28</v>
      </c>
      <c r="E344" s="15" t="s">
        <v>54</v>
      </c>
      <c r="F344" s="15" t="s">
        <v>78</v>
      </c>
      <c r="G344" s="15" t="s">
        <v>441</v>
      </c>
      <c r="H344" s="15" t="s">
        <v>442</v>
      </c>
      <c r="I344" s="15" t="s">
        <v>1042</v>
      </c>
      <c r="J344" s="15">
        <v>45241</v>
      </c>
      <c r="K344" s="15" t="s">
        <v>1043</v>
      </c>
      <c r="L344" s="15" t="s">
        <v>640</v>
      </c>
      <c r="M344" s="15">
        <v>445.81</v>
      </c>
      <c r="N344" s="15">
        <v>2</v>
      </c>
      <c r="O344" s="15" t="s">
        <v>65</v>
      </c>
      <c r="P344" s="15">
        <v>7</v>
      </c>
      <c r="Q344" s="15">
        <v>67</v>
      </c>
      <c r="R344" s="15">
        <v>45242</v>
      </c>
      <c r="S344" s="15" t="s">
        <v>1044</v>
      </c>
      <c r="T344" s="15">
        <v>1</v>
      </c>
      <c r="U344" s="15">
        <v>891.62</v>
      </c>
      <c r="V344" s="16">
        <v>0</v>
      </c>
      <c r="W344" s="15">
        <v>891.62</v>
      </c>
      <c r="X344" s="15">
        <v>891.62</v>
      </c>
      <c r="Y344" s="15" t="s">
        <v>2120</v>
      </c>
      <c r="Z344" s="15" t="s">
        <v>2060</v>
      </c>
      <c r="AA344" s="17">
        <v>5</v>
      </c>
      <c r="AB344">
        <v>0</v>
      </c>
    </row>
    <row r="345" spans="1:28">
      <c r="A345" s="18" t="s">
        <v>1909</v>
      </c>
      <c r="B345" s="18" t="s">
        <v>1910</v>
      </c>
      <c r="C345" s="18" t="s">
        <v>1911</v>
      </c>
      <c r="D345" s="18">
        <v>43</v>
      </c>
      <c r="E345" s="18" t="s">
        <v>31</v>
      </c>
      <c r="F345" s="18" t="s">
        <v>44</v>
      </c>
      <c r="G345" s="18" t="s">
        <v>1912</v>
      </c>
      <c r="H345" s="18" t="s">
        <v>1913</v>
      </c>
      <c r="I345" s="18" t="s">
        <v>1914</v>
      </c>
      <c r="J345" s="18">
        <v>45571</v>
      </c>
      <c r="K345" s="18" t="s">
        <v>1915</v>
      </c>
      <c r="L345" s="18" t="s">
        <v>640</v>
      </c>
      <c r="M345" s="18">
        <v>445.81</v>
      </c>
      <c r="N345" s="18">
        <v>2</v>
      </c>
      <c r="O345" s="18" t="s">
        <v>60</v>
      </c>
      <c r="P345" s="18">
        <v>4</v>
      </c>
      <c r="Q345" s="18">
        <v>59</v>
      </c>
      <c r="R345" s="18">
        <v>45576</v>
      </c>
      <c r="S345" s="18" t="s">
        <v>1916</v>
      </c>
      <c r="T345" s="18">
        <v>5</v>
      </c>
      <c r="U345" s="18">
        <v>891.62</v>
      </c>
      <c r="V345" s="19">
        <v>0.15</v>
      </c>
      <c r="W345" s="18">
        <v>757.87699999999995</v>
      </c>
      <c r="X345" s="18">
        <v>816.87699999999995</v>
      </c>
      <c r="Y345" s="18" t="s">
        <v>2144</v>
      </c>
      <c r="Z345" s="18" t="s">
        <v>2064</v>
      </c>
      <c r="AA345" s="20">
        <v>2</v>
      </c>
      <c r="AB345">
        <v>0</v>
      </c>
    </row>
    <row r="346" spans="1:28">
      <c r="A346" s="15" t="s">
        <v>204</v>
      </c>
      <c r="B346" s="15" t="s">
        <v>205</v>
      </c>
      <c r="C346" s="15" t="s">
        <v>206</v>
      </c>
      <c r="D346" s="15">
        <v>23</v>
      </c>
      <c r="E346" s="15" t="s">
        <v>31</v>
      </c>
      <c r="F346" s="15" t="s">
        <v>92</v>
      </c>
      <c r="G346" s="15" t="s">
        <v>207</v>
      </c>
      <c r="H346" s="15" t="s">
        <v>208</v>
      </c>
      <c r="I346" s="15" t="s">
        <v>209</v>
      </c>
      <c r="J346" s="15">
        <v>45520</v>
      </c>
      <c r="K346" s="15" t="s">
        <v>210</v>
      </c>
      <c r="L346" s="15" t="s">
        <v>37</v>
      </c>
      <c r="M346" s="15">
        <v>308.88</v>
      </c>
      <c r="N346" s="15">
        <v>3</v>
      </c>
      <c r="O346" s="15" t="s">
        <v>98</v>
      </c>
      <c r="P346" s="15">
        <v>7</v>
      </c>
      <c r="Q346" s="15">
        <v>43</v>
      </c>
      <c r="R346" s="15">
        <v>45521</v>
      </c>
      <c r="S346" s="15" t="s">
        <v>211</v>
      </c>
      <c r="T346" s="15">
        <v>1</v>
      </c>
      <c r="U346" s="15">
        <v>926.64</v>
      </c>
      <c r="V346" s="16">
        <v>0.1</v>
      </c>
      <c r="W346" s="15">
        <v>833.976</v>
      </c>
      <c r="X346" s="15">
        <v>876.976</v>
      </c>
      <c r="Y346" s="15" t="s">
        <v>2158</v>
      </c>
      <c r="Z346" s="15" t="s">
        <v>2060</v>
      </c>
      <c r="AA346" s="17">
        <v>1</v>
      </c>
      <c r="AB346">
        <v>0</v>
      </c>
    </row>
    <row r="347" spans="1:28">
      <c r="A347" s="18" t="s">
        <v>478</v>
      </c>
      <c r="B347" s="18" t="s">
        <v>110</v>
      </c>
      <c r="C347" s="18" t="s">
        <v>479</v>
      </c>
      <c r="D347" s="18">
        <v>33</v>
      </c>
      <c r="E347" s="18" t="s">
        <v>31</v>
      </c>
      <c r="F347" s="18" t="s">
        <v>170</v>
      </c>
      <c r="G347" s="18" t="s">
        <v>480</v>
      </c>
      <c r="H347" s="18" t="s">
        <v>481</v>
      </c>
      <c r="I347" s="18" t="s">
        <v>588</v>
      </c>
      <c r="J347" s="18">
        <v>45675</v>
      </c>
      <c r="K347" s="18" t="s">
        <v>589</v>
      </c>
      <c r="L347" s="18" t="s">
        <v>37</v>
      </c>
      <c r="M347" s="18">
        <v>308.88</v>
      </c>
      <c r="N347" s="18">
        <v>3</v>
      </c>
      <c r="O347" s="18" t="s">
        <v>60</v>
      </c>
      <c r="P347" s="18">
        <v>4</v>
      </c>
      <c r="Q347" s="18">
        <v>48</v>
      </c>
      <c r="R347" s="18">
        <v>45678</v>
      </c>
      <c r="S347" s="18" t="s">
        <v>590</v>
      </c>
      <c r="T347" s="18">
        <v>3</v>
      </c>
      <c r="U347" s="18">
        <v>926.64</v>
      </c>
      <c r="V347" s="19">
        <v>0.15</v>
      </c>
      <c r="W347" s="18">
        <v>787.64400000000001</v>
      </c>
      <c r="X347" s="18">
        <v>835.64400000000001</v>
      </c>
      <c r="Y347" s="18" t="s">
        <v>2119</v>
      </c>
      <c r="Z347" s="18" t="s">
        <v>2060</v>
      </c>
      <c r="AA347" s="20">
        <v>1</v>
      </c>
      <c r="AB347">
        <v>6.6980000000000004</v>
      </c>
    </row>
    <row r="348" spans="1:28">
      <c r="A348" s="15" t="s">
        <v>328</v>
      </c>
      <c r="B348" s="15" t="s">
        <v>329</v>
      </c>
      <c r="C348" s="15" t="s">
        <v>330</v>
      </c>
      <c r="D348" s="15">
        <v>29</v>
      </c>
      <c r="E348" s="15" t="s">
        <v>54</v>
      </c>
      <c r="F348" s="15" t="s">
        <v>92</v>
      </c>
      <c r="G348" s="15" t="s">
        <v>331</v>
      </c>
      <c r="H348" s="15" t="s">
        <v>332</v>
      </c>
      <c r="I348" s="15" t="s">
        <v>2014</v>
      </c>
      <c r="J348" s="15">
        <v>45633</v>
      </c>
      <c r="K348" s="15" t="s">
        <v>2015</v>
      </c>
      <c r="L348" s="15" t="s">
        <v>37</v>
      </c>
      <c r="M348" s="15">
        <v>308.88</v>
      </c>
      <c r="N348" s="15">
        <v>3</v>
      </c>
      <c r="O348" s="15" t="s">
        <v>87</v>
      </c>
      <c r="P348" s="15">
        <v>5</v>
      </c>
      <c r="Q348" s="15">
        <v>68</v>
      </c>
      <c r="R348" s="15">
        <v>45636</v>
      </c>
      <c r="S348" s="15" t="s">
        <v>2016</v>
      </c>
      <c r="T348" s="15">
        <v>3</v>
      </c>
      <c r="U348" s="15">
        <v>926.64</v>
      </c>
      <c r="V348" s="16">
        <v>0.2</v>
      </c>
      <c r="W348" s="15">
        <v>741.31200000000001</v>
      </c>
      <c r="X348" s="15">
        <v>809.31200000000001</v>
      </c>
      <c r="Y348" s="15" t="s">
        <v>2136</v>
      </c>
      <c r="Z348" s="15" t="s">
        <v>2060</v>
      </c>
      <c r="AA348" s="17">
        <v>4</v>
      </c>
      <c r="AB348">
        <v>0</v>
      </c>
    </row>
    <row r="349" spans="1:28">
      <c r="A349" s="18" t="s">
        <v>510</v>
      </c>
      <c r="B349" s="18" t="s">
        <v>511</v>
      </c>
      <c r="C349" s="18" t="s">
        <v>512</v>
      </c>
      <c r="D349" s="18">
        <v>64</v>
      </c>
      <c r="E349" s="18" t="s">
        <v>31</v>
      </c>
      <c r="F349" s="18" t="s">
        <v>32</v>
      </c>
      <c r="G349" s="18" t="s">
        <v>513</v>
      </c>
      <c r="H349" s="18" t="s">
        <v>514</v>
      </c>
      <c r="I349" s="18" t="s">
        <v>658</v>
      </c>
      <c r="J349" s="18">
        <v>45488</v>
      </c>
      <c r="K349" s="18" t="s">
        <v>659</v>
      </c>
      <c r="L349" s="18" t="s">
        <v>660</v>
      </c>
      <c r="M349" s="18">
        <v>235.63</v>
      </c>
      <c r="N349" s="18">
        <v>4</v>
      </c>
      <c r="O349" s="18" t="s">
        <v>87</v>
      </c>
      <c r="P349" s="18">
        <v>2</v>
      </c>
      <c r="Q349" s="18">
        <v>60</v>
      </c>
      <c r="R349" s="18">
        <v>45495</v>
      </c>
      <c r="S349" s="18" t="s">
        <v>661</v>
      </c>
      <c r="T349" s="18">
        <v>7</v>
      </c>
      <c r="U349" s="18">
        <v>942.52</v>
      </c>
      <c r="V349" s="19">
        <v>0.2</v>
      </c>
      <c r="W349" s="18">
        <v>754.01599999999996</v>
      </c>
      <c r="X349" s="18">
        <v>814.01599999999996</v>
      </c>
      <c r="Y349" s="18" t="s">
        <v>2096</v>
      </c>
      <c r="Z349" s="18" t="s">
        <v>2064</v>
      </c>
      <c r="AA349" s="20">
        <v>6</v>
      </c>
      <c r="AB349">
        <v>0</v>
      </c>
    </row>
    <row r="350" spans="1:28">
      <c r="A350" s="15" t="s">
        <v>369</v>
      </c>
      <c r="B350" s="15" t="s">
        <v>370</v>
      </c>
      <c r="C350" s="15" t="s">
        <v>371</v>
      </c>
      <c r="D350" s="15">
        <v>31</v>
      </c>
      <c r="E350" s="15" t="s">
        <v>54</v>
      </c>
      <c r="F350" s="15" t="s">
        <v>142</v>
      </c>
      <c r="G350" s="15" t="s">
        <v>372</v>
      </c>
      <c r="H350" s="15" t="s">
        <v>373</v>
      </c>
      <c r="I350" s="15" t="s">
        <v>374</v>
      </c>
      <c r="J350" s="15">
        <v>45336</v>
      </c>
      <c r="K350" s="15" t="s">
        <v>375</v>
      </c>
      <c r="L350" s="15" t="s">
        <v>147</v>
      </c>
      <c r="M350" s="15">
        <v>190.1</v>
      </c>
      <c r="N350" s="15">
        <v>5</v>
      </c>
      <c r="O350" s="15" t="s">
        <v>38</v>
      </c>
      <c r="P350" s="15">
        <v>5</v>
      </c>
      <c r="Q350" s="15">
        <v>35</v>
      </c>
      <c r="R350" s="15">
        <v>45341</v>
      </c>
      <c r="S350" s="15" t="s">
        <v>376</v>
      </c>
      <c r="T350" s="15">
        <v>5</v>
      </c>
      <c r="U350" s="15">
        <v>950.5</v>
      </c>
      <c r="V350" s="16">
        <v>0.08</v>
      </c>
      <c r="W350" s="15">
        <v>874.46</v>
      </c>
      <c r="X350" s="15">
        <v>909.46</v>
      </c>
      <c r="Y350" s="15" t="s">
        <v>2108</v>
      </c>
      <c r="Z350" s="15" t="s">
        <v>2072</v>
      </c>
      <c r="AA350" s="17">
        <v>4</v>
      </c>
      <c r="AB350">
        <v>88.206000000000003</v>
      </c>
    </row>
    <row r="351" spans="1:28">
      <c r="A351" s="18" t="s">
        <v>826</v>
      </c>
      <c r="B351" s="18" t="s">
        <v>827</v>
      </c>
      <c r="C351" s="18" t="s">
        <v>828</v>
      </c>
      <c r="D351" s="18">
        <v>42</v>
      </c>
      <c r="E351" s="18" t="s">
        <v>31</v>
      </c>
      <c r="F351" s="18" t="s">
        <v>78</v>
      </c>
      <c r="G351" s="18" t="s">
        <v>829</v>
      </c>
      <c r="H351" s="18" t="s">
        <v>830</v>
      </c>
      <c r="I351" s="18" t="s">
        <v>831</v>
      </c>
      <c r="J351" s="18">
        <v>44979</v>
      </c>
      <c r="K351" s="18" t="s">
        <v>832</v>
      </c>
      <c r="L351" s="18" t="s">
        <v>147</v>
      </c>
      <c r="M351" s="18">
        <v>190.1</v>
      </c>
      <c r="N351" s="18">
        <v>5</v>
      </c>
      <c r="O351" s="18" t="s">
        <v>87</v>
      </c>
      <c r="P351" s="18">
        <v>4</v>
      </c>
      <c r="Q351" s="18">
        <v>37</v>
      </c>
      <c r="R351" s="18">
        <v>44984</v>
      </c>
      <c r="S351" s="18" t="s">
        <v>833</v>
      </c>
      <c r="T351" s="18">
        <v>5</v>
      </c>
      <c r="U351" s="18">
        <v>950.5</v>
      </c>
      <c r="V351" s="19">
        <v>0.2</v>
      </c>
      <c r="W351" s="18">
        <v>760.4</v>
      </c>
      <c r="X351" s="18">
        <v>797.4</v>
      </c>
      <c r="Y351" s="18" t="s">
        <v>2145</v>
      </c>
      <c r="Z351" s="18" t="s">
        <v>2064</v>
      </c>
      <c r="AA351" s="20">
        <v>9</v>
      </c>
      <c r="AB351">
        <v>0</v>
      </c>
    </row>
    <row r="352" spans="1:28">
      <c r="A352" s="15" t="s">
        <v>388</v>
      </c>
      <c r="B352" s="15" t="s">
        <v>389</v>
      </c>
      <c r="C352" s="15" t="s">
        <v>390</v>
      </c>
      <c r="D352" s="15">
        <v>47</v>
      </c>
      <c r="E352" s="15" t="s">
        <v>43</v>
      </c>
      <c r="F352" s="15" t="s">
        <v>92</v>
      </c>
      <c r="G352" s="15" t="s">
        <v>391</v>
      </c>
      <c r="H352" s="15" t="s">
        <v>392</v>
      </c>
      <c r="I352" s="15" t="s">
        <v>574</v>
      </c>
      <c r="J352" s="15">
        <v>45683</v>
      </c>
      <c r="K352" s="15" t="s">
        <v>575</v>
      </c>
      <c r="L352" s="15" t="s">
        <v>576</v>
      </c>
      <c r="M352" s="15">
        <v>477.52</v>
      </c>
      <c r="N352" s="15">
        <v>2</v>
      </c>
      <c r="O352" s="15" t="s">
        <v>38</v>
      </c>
      <c r="P352" s="15">
        <v>6</v>
      </c>
      <c r="Q352" s="15">
        <v>55</v>
      </c>
      <c r="R352" s="15">
        <v>45685</v>
      </c>
      <c r="S352" s="15" t="s">
        <v>577</v>
      </c>
      <c r="T352" s="15">
        <v>2</v>
      </c>
      <c r="U352" s="15">
        <v>955.04</v>
      </c>
      <c r="V352" s="16">
        <v>0.08</v>
      </c>
      <c r="W352" s="15">
        <v>878.63679999999999</v>
      </c>
      <c r="X352" s="15">
        <v>933.63679999999999</v>
      </c>
      <c r="Y352" s="15" t="s">
        <v>2137</v>
      </c>
      <c r="Z352" s="15" t="s">
        <v>2060</v>
      </c>
      <c r="AA352" s="17">
        <v>4</v>
      </c>
      <c r="AB352">
        <v>212.41</v>
      </c>
    </row>
    <row r="353" spans="1:28">
      <c r="A353" s="18" t="s">
        <v>319</v>
      </c>
      <c r="B353" s="18" t="s">
        <v>320</v>
      </c>
      <c r="C353" s="18" t="s">
        <v>321</v>
      </c>
      <c r="D353" s="18">
        <v>45</v>
      </c>
      <c r="E353" s="18" t="s">
        <v>31</v>
      </c>
      <c r="F353" s="18" t="s">
        <v>44</v>
      </c>
      <c r="G353" s="18" t="s">
        <v>322</v>
      </c>
      <c r="H353" s="18" t="s">
        <v>323</v>
      </c>
      <c r="I353" s="18" t="s">
        <v>324</v>
      </c>
      <c r="J353" s="18">
        <v>45193</v>
      </c>
      <c r="K353" s="18" t="s">
        <v>325</v>
      </c>
      <c r="L353" s="18" t="s">
        <v>326</v>
      </c>
      <c r="M353" s="18">
        <v>481.48</v>
      </c>
      <c r="N353" s="18">
        <v>2</v>
      </c>
      <c r="O353" s="18" t="s">
        <v>60</v>
      </c>
      <c r="P353" s="18">
        <v>3</v>
      </c>
      <c r="Q353" s="18">
        <v>50</v>
      </c>
      <c r="R353" s="18">
        <v>45196</v>
      </c>
      <c r="S353" s="18" t="s">
        <v>327</v>
      </c>
      <c r="T353" s="18">
        <v>3</v>
      </c>
      <c r="U353" s="18">
        <v>962.96</v>
      </c>
      <c r="V353" s="19">
        <v>0.15</v>
      </c>
      <c r="W353" s="18">
        <v>818.51600000000008</v>
      </c>
      <c r="X353" s="18">
        <v>868.51600000000008</v>
      </c>
      <c r="Y353" s="18" t="s">
        <v>2102</v>
      </c>
      <c r="Z353" s="18" t="s">
        <v>2072</v>
      </c>
      <c r="AA353" s="20">
        <v>7</v>
      </c>
      <c r="AB353">
        <v>130.08600000000001</v>
      </c>
    </row>
    <row r="354" spans="1:28">
      <c r="A354" s="15" t="s">
        <v>719</v>
      </c>
      <c r="B354" s="15" t="s">
        <v>720</v>
      </c>
      <c r="C354" s="15" t="s">
        <v>721</v>
      </c>
      <c r="D354" s="15">
        <v>32</v>
      </c>
      <c r="E354" s="15" t="s">
        <v>43</v>
      </c>
      <c r="F354" s="15" t="s">
        <v>32</v>
      </c>
      <c r="G354" s="15" t="s">
        <v>722</v>
      </c>
      <c r="H354" s="15" t="s">
        <v>723</v>
      </c>
      <c r="I354" s="15" t="s">
        <v>1379</v>
      </c>
      <c r="J354" s="15">
        <v>45676</v>
      </c>
      <c r="K354" s="15" t="s">
        <v>1380</v>
      </c>
      <c r="L354" s="15" t="s">
        <v>326</v>
      </c>
      <c r="M354" s="15">
        <v>481.48</v>
      </c>
      <c r="N354" s="15">
        <v>2</v>
      </c>
      <c r="O354" s="15" t="s">
        <v>87</v>
      </c>
      <c r="P354" s="15">
        <v>3</v>
      </c>
      <c r="Q354" s="15">
        <v>58</v>
      </c>
      <c r="R354" s="15">
        <v>45683</v>
      </c>
      <c r="S354" s="15" t="s">
        <v>1381</v>
      </c>
      <c r="T354" s="15">
        <v>7</v>
      </c>
      <c r="U354" s="15">
        <v>962.96</v>
      </c>
      <c r="V354" s="16">
        <v>0.2</v>
      </c>
      <c r="W354" s="15">
        <v>770.36800000000005</v>
      </c>
      <c r="X354" s="15">
        <v>828.36800000000005</v>
      </c>
      <c r="Y354" s="15" t="s">
        <v>2155</v>
      </c>
      <c r="Z354" s="15" t="s">
        <v>2064</v>
      </c>
      <c r="AA354" s="17">
        <v>9</v>
      </c>
      <c r="AB354">
        <v>47.126000000000005</v>
      </c>
    </row>
    <row r="355" spans="1:28">
      <c r="A355" s="18" t="s">
        <v>139</v>
      </c>
      <c r="B355" s="18" t="s">
        <v>140</v>
      </c>
      <c r="C355" s="18" t="s">
        <v>141</v>
      </c>
      <c r="D355" s="18">
        <v>25</v>
      </c>
      <c r="E355" s="18" t="s">
        <v>54</v>
      </c>
      <c r="F355" s="18" t="s">
        <v>142</v>
      </c>
      <c r="G355" s="18" t="s">
        <v>143</v>
      </c>
      <c r="H355" s="18" t="s">
        <v>144</v>
      </c>
      <c r="I355" s="18" t="s">
        <v>1473</v>
      </c>
      <c r="J355" s="18">
        <v>45211</v>
      </c>
      <c r="K355" s="18" t="s">
        <v>1474</v>
      </c>
      <c r="L355" s="18" t="s">
        <v>326</v>
      </c>
      <c r="M355" s="18">
        <v>481.48</v>
      </c>
      <c r="N355" s="18">
        <v>2</v>
      </c>
      <c r="O355" s="18" t="s">
        <v>98</v>
      </c>
      <c r="P355" s="18">
        <v>7</v>
      </c>
      <c r="Q355" s="18">
        <v>66</v>
      </c>
      <c r="R355" s="18">
        <v>45218</v>
      </c>
      <c r="S355" s="18" t="s">
        <v>1475</v>
      </c>
      <c r="T355" s="18">
        <v>7</v>
      </c>
      <c r="U355" s="18">
        <v>962.96</v>
      </c>
      <c r="V355" s="19">
        <v>0.1</v>
      </c>
      <c r="W355" s="18">
        <v>866.66399999999999</v>
      </c>
      <c r="X355" s="18">
        <v>932.66399999999999</v>
      </c>
      <c r="Y355" s="18" t="s">
        <v>2063</v>
      </c>
      <c r="Z355" s="18" t="s">
        <v>2072</v>
      </c>
      <c r="AA355" s="20">
        <v>9</v>
      </c>
      <c r="AB355">
        <v>316.27499999999998</v>
      </c>
    </row>
    <row r="356" spans="1:28">
      <c r="A356" s="15" t="s">
        <v>1740</v>
      </c>
      <c r="B356" s="15" t="s">
        <v>1741</v>
      </c>
      <c r="C356" s="15" t="s">
        <v>1742</v>
      </c>
      <c r="D356" s="15">
        <v>47</v>
      </c>
      <c r="E356" s="15" t="s">
        <v>43</v>
      </c>
      <c r="F356" s="15" t="s">
        <v>32</v>
      </c>
      <c r="G356" s="15" t="s">
        <v>1743</v>
      </c>
      <c r="H356" s="15" t="s">
        <v>1744</v>
      </c>
      <c r="I356" s="15" t="s">
        <v>1932</v>
      </c>
      <c r="J356" s="15">
        <v>45015</v>
      </c>
      <c r="K356" s="15" t="s">
        <v>1933</v>
      </c>
      <c r="L356" s="15" t="s">
        <v>326</v>
      </c>
      <c r="M356" s="15">
        <v>481.48</v>
      </c>
      <c r="N356" s="15">
        <v>2</v>
      </c>
      <c r="O356" s="15" t="s">
        <v>65</v>
      </c>
      <c r="P356" s="15">
        <v>5</v>
      </c>
      <c r="Q356" s="15">
        <v>45</v>
      </c>
      <c r="R356" s="15">
        <v>45017</v>
      </c>
      <c r="S356" s="15" t="s">
        <v>1934</v>
      </c>
      <c r="T356" s="15">
        <v>2</v>
      </c>
      <c r="U356" s="15">
        <v>962.96</v>
      </c>
      <c r="V356" s="16">
        <v>0</v>
      </c>
      <c r="W356" s="15">
        <v>962.96</v>
      </c>
      <c r="X356" s="15">
        <v>962.96</v>
      </c>
      <c r="Y356" s="15" t="s">
        <v>2112</v>
      </c>
      <c r="Z356" s="15" t="s">
        <v>2060</v>
      </c>
      <c r="AA356" s="17">
        <v>7</v>
      </c>
      <c r="AB356">
        <v>62.272000000000006</v>
      </c>
    </row>
    <row r="357" spans="1:28">
      <c r="A357" s="18" t="s">
        <v>230</v>
      </c>
      <c r="B357" s="18" t="s">
        <v>231</v>
      </c>
      <c r="C357" s="18" t="s">
        <v>232</v>
      </c>
      <c r="D357" s="18">
        <v>64</v>
      </c>
      <c r="E357" s="18" t="s">
        <v>43</v>
      </c>
      <c r="F357" s="18" t="s">
        <v>44</v>
      </c>
      <c r="G357" s="18" t="s">
        <v>233</v>
      </c>
      <c r="H357" s="18" t="s">
        <v>234</v>
      </c>
      <c r="I357" s="18" t="s">
        <v>665</v>
      </c>
      <c r="J357" s="18">
        <v>45183</v>
      </c>
      <c r="K357" s="18" t="s">
        <v>666</v>
      </c>
      <c r="L357" s="18" t="s">
        <v>83</v>
      </c>
      <c r="M357" s="18">
        <v>330.11</v>
      </c>
      <c r="N357" s="18">
        <v>3</v>
      </c>
      <c r="O357" s="18" t="s">
        <v>60</v>
      </c>
      <c r="P357" s="18">
        <v>3</v>
      </c>
      <c r="Q357" s="18">
        <v>65</v>
      </c>
      <c r="R357" s="18">
        <v>45186</v>
      </c>
      <c r="S357" s="18" t="s">
        <v>667</v>
      </c>
      <c r="T357" s="18">
        <v>3</v>
      </c>
      <c r="U357" s="18">
        <v>990.33</v>
      </c>
      <c r="V357" s="19">
        <v>0.15</v>
      </c>
      <c r="W357" s="18">
        <v>841.78050000000007</v>
      </c>
      <c r="X357" s="18">
        <v>906.78050000000007</v>
      </c>
      <c r="Y357" s="18" t="s">
        <v>2111</v>
      </c>
      <c r="Z357" s="18" t="s">
        <v>2072</v>
      </c>
      <c r="AA357" s="20">
        <v>2</v>
      </c>
      <c r="AB357">
        <v>26.126999999999999</v>
      </c>
    </row>
    <row r="358" spans="1:28">
      <c r="A358" s="15" t="s">
        <v>1082</v>
      </c>
      <c r="B358" s="15" t="s">
        <v>221</v>
      </c>
      <c r="C358" s="15" t="s">
        <v>1083</v>
      </c>
      <c r="D358" s="15">
        <v>55</v>
      </c>
      <c r="E358" s="15" t="s">
        <v>43</v>
      </c>
      <c r="F358" s="15" t="s">
        <v>161</v>
      </c>
      <c r="G358" s="15" t="s">
        <v>1084</v>
      </c>
      <c r="H358" s="15" t="s">
        <v>1085</v>
      </c>
      <c r="I358" s="15" t="s">
        <v>1144</v>
      </c>
      <c r="J358" s="15">
        <v>45186</v>
      </c>
      <c r="K358" s="15" t="s">
        <v>1145</v>
      </c>
      <c r="L358" s="15" t="s">
        <v>83</v>
      </c>
      <c r="M358" s="15">
        <v>330.11</v>
      </c>
      <c r="N358" s="15">
        <v>3</v>
      </c>
      <c r="O358" s="15" t="s">
        <v>38</v>
      </c>
      <c r="P358" s="15">
        <v>2</v>
      </c>
      <c r="Q358" s="15">
        <v>40</v>
      </c>
      <c r="R358" s="15">
        <v>45191</v>
      </c>
      <c r="S358" s="15" t="s">
        <v>1146</v>
      </c>
      <c r="T358" s="15">
        <v>5</v>
      </c>
      <c r="U358" s="15">
        <v>990.33</v>
      </c>
      <c r="V358" s="16">
        <v>0.08</v>
      </c>
      <c r="W358" s="15">
        <v>911.10360000000003</v>
      </c>
      <c r="X358" s="15">
        <v>951.10360000000003</v>
      </c>
      <c r="Y358" s="15" t="s">
        <v>2107</v>
      </c>
      <c r="Z358" s="15" t="s">
        <v>2064</v>
      </c>
      <c r="AA358" s="17">
        <v>4</v>
      </c>
      <c r="AB358">
        <v>31.254000000000005</v>
      </c>
    </row>
    <row r="359" spans="1:28">
      <c r="A359" s="18" t="s">
        <v>928</v>
      </c>
      <c r="B359" s="18" t="s">
        <v>929</v>
      </c>
      <c r="C359" s="18" t="s">
        <v>930</v>
      </c>
      <c r="D359" s="18">
        <v>24</v>
      </c>
      <c r="E359" s="18" t="s">
        <v>54</v>
      </c>
      <c r="F359" s="18" t="s">
        <v>223</v>
      </c>
      <c r="G359" s="18" t="s">
        <v>931</v>
      </c>
      <c r="H359" s="18" t="s">
        <v>932</v>
      </c>
      <c r="I359" s="18" t="s">
        <v>1660</v>
      </c>
      <c r="J359" s="18">
        <v>45113</v>
      </c>
      <c r="K359" s="18" t="s">
        <v>1661</v>
      </c>
      <c r="L359" s="18" t="s">
        <v>83</v>
      </c>
      <c r="M359" s="18">
        <v>330.11</v>
      </c>
      <c r="N359" s="18">
        <v>3</v>
      </c>
      <c r="O359" s="18" t="s">
        <v>60</v>
      </c>
      <c r="P359" s="18">
        <v>2</v>
      </c>
      <c r="Q359" s="18">
        <v>56</v>
      </c>
      <c r="R359" s="18">
        <v>45117</v>
      </c>
      <c r="S359" s="18" t="s">
        <v>1662</v>
      </c>
      <c r="T359" s="18">
        <v>4</v>
      </c>
      <c r="U359" s="18">
        <v>990.33</v>
      </c>
      <c r="V359" s="19">
        <v>0.15</v>
      </c>
      <c r="W359" s="18">
        <v>841.78050000000007</v>
      </c>
      <c r="X359" s="18">
        <v>897.78050000000007</v>
      </c>
      <c r="Y359" s="18" t="s">
        <v>2122</v>
      </c>
      <c r="Z359" s="18" t="s">
        <v>2064</v>
      </c>
      <c r="AA359" s="20">
        <v>7</v>
      </c>
      <c r="AB359">
        <v>0</v>
      </c>
    </row>
    <row r="360" spans="1:28">
      <c r="A360" s="15" t="s">
        <v>40</v>
      </c>
      <c r="B360" s="15" t="s">
        <v>41</v>
      </c>
      <c r="C360" s="15" t="s">
        <v>42</v>
      </c>
      <c r="D360" s="15">
        <v>53</v>
      </c>
      <c r="E360" s="15" t="s">
        <v>43</v>
      </c>
      <c r="F360" s="15" t="s">
        <v>44</v>
      </c>
      <c r="G360" s="15" t="s">
        <v>45</v>
      </c>
      <c r="H360" s="15" t="s">
        <v>46</v>
      </c>
      <c r="I360" s="15" t="s">
        <v>1903</v>
      </c>
      <c r="J360" s="15">
        <v>45076</v>
      </c>
      <c r="K360" s="15" t="s">
        <v>1904</v>
      </c>
      <c r="L360" s="15" t="s">
        <v>83</v>
      </c>
      <c r="M360" s="15">
        <v>330.11</v>
      </c>
      <c r="N360" s="15">
        <v>3</v>
      </c>
      <c r="O360" s="15" t="s">
        <v>87</v>
      </c>
      <c r="P360" s="15">
        <v>7</v>
      </c>
      <c r="Q360" s="15">
        <v>40</v>
      </c>
      <c r="R360" s="15">
        <v>45080</v>
      </c>
      <c r="S360" s="15" t="s">
        <v>1905</v>
      </c>
      <c r="T360" s="15">
        <v>4</v>
      </c>
      <c r="U360" s="15">
        <v>990.33</v>
      </c>
      <c r="V360" s="16">
        <v>0.2</v>
      </c>
      <c r="W360" s="15">
        <v>792.26400000000001</v>
      </c>
      <c r="X360" s="15">
        <v>832.26400000000001</v>
      </c>
      <c r="Y360" s="15" t="s">
        <v>2105</v>
      </c>
      <c r="Z360" s="15" t="s">
        <v>2060</v>
      </c>
      <c r="AA360" s="17">
        <v>4</v>
      </c>
      <c r="AB360">
        <v>0</v>
      </c>
    </row>
    <row r="361" spans="1:28">
      <c r="A361" s="18" t="s">
        <v>538</v>
      </c>
      <c r="B361" s="18" t="s">
        <v>539</v>
      </c>
      <c r="C361" s="18" t="s">
        <v>540</v>
      </c>
      <c r="D361" s="18">
        <v>32</v>
      </c>
      <c r="E361" s="18" t="s">
        <v>54</v>
      </c>
      <c r="F361" s="18" t="s">
        <v>92</v>
      </c>
      <c r="G361" s="18" t="s">
        <v>541</v>
      </c>
      <c r="H361" s="18" t="s">
        <v>542</v>
      </c>
      <c r="I361" s="18" t="s">
        <v>543</v>
      </c>
      <c r="J361" s="18">
        <v>45586</v>
      </c>
      <c r="K361" s="18" t="s">
        <v>544</v>
      </c>
      <c r="L361" s="18" t="s">
        <v>359</v>
      </c>
      <c r="M361" s="18">
        <v>496.59</v>
      </c>
      <c r="N361" s="18">
        <v>2</v>
      </c>
      <c r="O361" s="18" t="s">
        <v>38</v>
      </c>
      <c r="P361" s="18">
        <v>5</v>
      </c>
      <c r="Q361" s="18">
        <v>41</v>
      </c>
      <c r="R361" s="18">
        <v>45588</v>
      </c>
      <c r="S361" s="18" t="s">
        <v>545</v>
      </c>
      <c r="T361" s="18">
        <v>2</v>
      </c>
      <c r="U361" s="18">
        <v>993.18</v>
      </c>
      <c r="V361" s="19">
        <v>0.08</v>
      </c>
      <c r="W361" s="18">
        <v>913.72559999999999</v>
      </c>
      <c r="X361" s="18">
        <v>954.72559999999999</v>
      </c>
      <c r="Y361" s="18" t="s">
        <v>2121</v>
      </c>
      <c r="Z361" s="18" t="s">
        <v>2060</v>
      </c>
      <c r="AA361" s="20">
        <v>11</v>
      </c>
      <c r="AB361">
        <v>102.82400000000001</v>
      </c>
    </row>
    <row r="362" spans="1:28">
      <c r="A362" s="15" t="s">
        <v>503</v>
      </c>
      <c r="B362" s="15" t="s">
        <v>504</v>
      </c>
      <c r="C362" s="15" t="s">
        <v>390</v>
      </c>
      <c r="D362" s="15">
        <v>57</v>
      </c>
      <c r="E362" s="15" t="s">
        <v>43</v>
      </c>
      <c r="F362" s="15" t="s">
        <v>223</v>
      </c>
      <c r="G362" s="15" t="s">
        <v>505</v>
      </c>
      <c r="H362" s="15" t="s">
        <v>506</v>
      </c>
      <c r="I362" s="15" t="s">
        <v>619</v>
      </c>
      <c r="J362" s="15">
        <v>45595</v>
      </c>
      <c r="K362" s="15" t="s">
        <v>620</v>
      </c>
      <c r="L362" s="15" t="s">
        <v>359</v>
      </c>
      <c r="M362" s="15">
        <v>496.59</v>
      </c>
      <c r="N362" s="15">
        <v>2</v>
      </c>
      <c r="O362" s="15" t="s">
        <v>98</v>
      </c>
      <c r="P362" s="15">
        <v>1</v>
      </c>
      <c r="Q362" s="15">
        <v>46</v>
      </c>
      <c r="R362" s="15">
        <v>45598</v>
      </c>
      <c r="S362" s="15" t="s">
        <v>621</v>
      </c>
      <c r="T362" s="15">
        <v>3</v>
      </c>
      <c r="U362" s="15">
        <v>993.18</v>
      </c>
      <c r="V362" s="16">
        <v>0.1</v>
      </c>
      <c r="W362" s="15">
        <v>893.86199999999997</v>
      </c>
      <c r="X362" s="15">
        <v>939.86199999999997</v>
      </c>
      <c r="Y362" s="15" t="s">
        <v>2142</v>
      </c>
      <c r="Z362" s="15" t="s">
        <v>2064</v>
      </c>
      <c r="AA362" s="17">
        <v>9</v>
      </c>
      <c r="AB362">
        <v>161.21199999999999</v>
      </c>
    </row>
    <row r="363" spans="1:28">
      <c r="A363" s="18" t="s">
        <v>649</v>
      </c>
      <c r="B363" s="18" t="s">
        <v>650</v>
      </c>
      <c r="C363" s="18" t="s">
        <v>651</v>
      </c>
      <c r="D363" s="18">
        <v>45</v>
      </c>
      <c r="E363" s="18" t="s">
        <v>54</v>
      </c>
      <c r="F363" s="18" t="s">
        <v>92</v>
      </c>
      <c r="G363" s="18" t="s">
        <v>652</v>
      </c>
      <c r="H363" s="18" t="s">
        <v>653</v>
      </c>
      <c r="I363" s="18" t="s">
        <v>743</v>
      </c>
      <c r="J363" s="18">
        <v>45665</v>
      </c>
      <c r="K363" s="18" t="s">
        <v>744</v>
      </c>
      <c r="L363" s="18" t="s">
        <v>359</v>
      </c>
      <c r="M363" s="18">
        <v>496.59</v>
      </c>
      <c r="N363" s="18">
        <v>2</v>
      </c>
      <c r="O363" s="18" t="s">
        <v>65</v>
      </c>
      <c r="P363" s="18">
        <v>5</v>
      </c>
      <c r="Q363" s="18">
        <v>40</v>
      </c>
      <c r="R363" s="18">
        <v>45667</v>
      </c>
      <c r="S363" s="18" t="s">
        <v>745</v>
      </c>
      <c r="T363" s="18">
        <v>2</v>
      </c>
      <c r="U363" s="18">
        <v>993.18</v>
      </c>
      <c r="V363" s="19">
        <v>0</v>
      </c>
      <c r="W363" s="18">
        <v>993.18</v>
      </c>
      <c r="X363" s="18">
        <v>993.18</v>
      </c>
      <c r="Y363" s="18" t="s">
        <v>2114</v>
      </c>
      <c r="Z363" s="18" t="s">
        <v>2060</v>
      </c>
      <c r="AA363" s="20">
        <v>5</v>
      </c>
      <c r="AB363">
        <v>4.8450000000000006</v>
      </c>
    </row>
    <row r="364" spans="1:28">
      <c r="A364" s="15" t="s">
        <v>478</v>
      </c>
      <c r="B364" s="15" t="s">
        <v>110</v>
      </c>
      <c r="C364" s="15" t="s">
        <v>479</v>
      </c>
      <c r="D364" s="15">
        <v>33</v>
      </c>
      <c r="E364" s="15" t="s">
        <v>31</v>
      </c>
      <c r="F364" s="15" t="s">
        <v>170</v>
      </c>
      <c r="G364" s="15" t="s">
        <v>480</v>
      </c>
      <c r="H364" s="15" t="s">
        <v>481</v>
      </c>
      <c r="I364" s="15" t="s">
        <v>907</v>
      </c>
      <c r="J364" s="15">
        <v>45330</v>
      </c>
      <c r="K364" s="15" t="s">
        <v>908</v>
      </c>
      <c r="L364" s="15" t="s">
        <v>359</v>
      </c>
      <c r="M364" s="15">
        <v>496.59</v>
      </c>
      <c r="N364" s="15">
        <v>2</v>
      </c>
      <c r="O364" s="15" t="s">
        <v>98</v>
      </c>
      <c r="P364" s="15">
        <v>5</v>
      </c>
      <c r="Q364" s="15">
        <v>40</v>
      </c>
      <c r="R364" s="15">
        <v>45331</v>
      </c>
      <c r="S364" s="15" t="s">
        <v>909</v>
      </c>
      <c r="T364" s="15">
        <v>1</v>
      </c>
      <c r="U364" s="15">
        <v>993.18</v>
      </c>
      <c r="V364" s="16">
        <v>0.1</v>
      </c>
      <c r="W364" s="15">
        <v>893.86199999999997</v>
      </c>
      <c r="X364" s="15">
        <v>933.86199999999997</v>
      </c>
      <c r="Y364" s="15" t="s">
        <v>2119</v>
      </c>
      <c r="Z364" s="15" t="s">
        <v>2060</v>
      </c>
      <c r="AA364" s="17">
        <v>3</v>
      </c>
      <c r="AB364">
        <v>22.25</v>
      </c>
    </row>
    <row r="365" spans="1:28">
      <c r="A365" s="18" t="s">
        <v>1171</v>
      </c>
      <c r="B365" s="18" t="s">
        <v>1172</v>
      </c>
      <c r="C365" s="18" t="s">
        <v>1173</v>
      </c>
      <c r="D365" s="18">
        <v>59</v>
      </c>
      <c r="E365" s="18" t="s">
        <v>54</v>
      </c>
      <c r="F365" s="18" t="s">
        <v>170</v>
      </c>
      <c r="G365" s="18" t="s">
        <v>1174</v>
      </c>
      <c r="H365" s="18" t="s">
        <v>1175</v>
      </c>
      <c r="I365" s="18" t="s">
        <v>1400</v>
      </c>
      <c r="J365" s="18">
        <v>45527</v>
      </c>
      <c r="K365" s="18" t="s">
        <v>1401</v>
      </c>
      <c r="L365" s="18" t="s">
        <v>359</v>
      </c>
      <c r="M365" s="18">
        <v>496.59</v>
      </c>
      <c r="N365" s="18">
        <v>2</v>
      </c>
      <c r="O365" s="18" t="s">
        <v>38</v>
      </c>
      <c r="P365" s="18">
        <v>3</v>
      </c>
      <c r="Q365" s="18">
        <v>55</v>
      </c>
      <c r="R365" s="18">
        <v>45528</v>
      </c>
      <c r="S365" s="18" t="s">
        <v>1402</v>
      </c>
      <c r="T365" s="18">
        <v>1</v>
      </c>
      <c r="U365" s="18">
        <v>993.18</v>
      </c>
      <c r="V365" s="19">
        <v>0.08</v>
      </c>
      <c r="W365" s="18">
        <v>913.72559999999999</v>
      </c>
      <c r="X365" s="18">
        <v>968.72559999999999</v>
      </c>
      <c r="Y365" s="18" t="s">
        <v>2106</v>
      </c>
      <c r="Z365" s="18" t="s">
        <v>2060</v>
      </c>
      <c r="AA365" s="20">
        <v>1</v>
      </c>
      <c r="AB365">
        <v>128.13999999999999</v>
      </c>
    </row>
    <row r="366" spans="1:28">
      <c r="A366" s="15" t="s">
        <v>121</v>
      </c>
      <c r="B366" s="15" t="s">
        <v>122</v>
      </c>
      <c r="C366" s="15" t="s">
        <v>123</v>
      </c>
      <c r="D366" s="15">
        <v>20</v>
      </c>
      <c r="E366" s="15" t="s">
        <v>31</v>
      </c>
      <c r="F366" s="15" t="s">
        <v>92</v>
      </c>
      <c r="G366" s="15" t="s">
        <v>124</v>
      </c>
      <c r="H366" s="15" t="s">
        <v>125</v>
      </c>
      <c r="I366" s="15" t="s">
        <v>764</v>
      </c>
      <c r="J366" s="15">
        <v>45156</v>
      </c>
      <c r="K366" s="15" t="s">
        <v>765</v>
      </c>
      <c r="L366" s="15" t="s">
        <v>59</v>
      </c>
      <c r="M366" s="15">
        <v>202.54</v>
      </c>
      <c r="N366" s="15">
        <v>5</v>
      </c>
      <c r="O366" s="15" t="s">
        <v>38</v>
      </c>
      <c r="P366" s="15">
        <v>2</v>
      </c>
      <c r="Q366" s="15">
        <v>68</v>
      </c>
      <c r="R366" s="15">
        <v>45159</v>
      </c>
      <c r="S366" s="15" t="s">
        <v>766</v>
      </c>
      <c r="T366" s="15">
        <v>3</v>
      </c>
      <c r="U366" s="15">
        <v>1012.6999999999999</v>
      </c>
      <c r="V366" s="16">
        <v>0.08</v>
      </c>
      <c r="W366" s="15">
        <v>931.68399999999997</v>
      </c>
      <c r="X366" s="15">
        <v>999.68399999999997</v>
      </c>
      <c r="Y366" s="15" t="s">
        <v>2148</v>
      </c>
      <c r="Z366" s="15" t="s">
        <v>2064</v>
      </c>
      <c r="AA366" s="17">
        <v>2</v>
      </c>
      <c r="AB366">
        <v>73.805999999999997</v>
      </c>
    </row>
    <row r="367" spans="1:28">
      <c r="A367" s="18" t="s">
        <v>404</v>
      </c>
      <c r="B367" s="18" t="s">
        <v>405</v>
      </c>
      <c r="C367" s="18" t="s">
        <v>406</v>
      </c>
      <c r="D367" s="18">
        <v>70</v>
      </c>
      <c r="E367" s="18" t="s">
        <v>31</v>
      </c>
      <c r="F367" s="18" t="s">
        <v>32</v>
      </c>
      <c r="G367" s="18" t="s">
        <v>407</v>
      </c>
      <c r="H367" s="18" t="s">
        <v>408</v>
      </c>
      <c r="I367" s="18" t="s">
        <v>1058</v>
      </c>
      <c r="J367" s="18">
        <v>45045</v>
      </c>
      <c r="K367" s="18" t="s">
        <v>1059</v>
      </c>
      <c r="L367" s="18" t="s">
        <v>59</v>
      </c>
      <c r="M367" s="18">
        <v>202.54</v>
      </c>
      <c r="N367" s="18">
        <v>5</v>
      </c>
      <c r="O367" s="18" t="s">
        <v>60</v>
      </c>
      <c r="P367" s="18">
        <v>1</v>
      </c>
      <c r="Q367" s="18">
        <v>47</v>
      </c>
      <c r="R367" s="18">
        <v>45051</v>
      </c>
      <c r="S367" s="18" t="s">
        <v>1060</v>
      </c>
      <c r="T367" s="18">
        <v>6</v>
      </c>
      <c r="U367" s="18">
        <v>1012.6999999999999</v>
      </c>
      <c r="V367" s="19">
        <v>0.15</v>
      </c>
      <c r="W367" s="18">
        <v>860.79499999999996</v>
      </c>
      <c r="X367" s="18">
        <v>907.79499999999996</v>
      </c>
      <c r="Y367" s="18" t="s">
        <v>2073</v>
      </c>
      <c r="Z367" s="18" t="s">
        <v>2064</v>
      </c>
      <c r="AA367" s="20">
        <v>5</v>
      </c>
      <c r="AB367">
        <v>51.412000000000006</v>
      </c>
    </row>
    <row r="368" spans="1:28">
      <c r="A368" s="15" t="s">
        <v>1740</v>
      </c>
      <c r="B368" s="15" t="s">
        <v>1741</v>
      </c>
      <c r="C368" s="15" t="s">
        <v>1742</v>
      </c>
      <c r="D368" s="15">
        <v>47</v>
      </c>
      <c r="E368" s="15" t="s">
        <v>43</v>
      </c>
      <c r="F368" s="15" t="s">
        <v>32</v>
      </c>
      <c r="G368" s="15" t="s">
        <v>1743</v>
      </c>
      <c r="H368" s="15" t="s">
        <v>1744</v>
      </c>
      <c r="I368" s="15" t="s">
        <v>1788</v>
      </c>
      <c r="J368" s="15">
        <v>45216</v>
      </c>
      <c r="K368" s="15" t="s">
        <v>1789</v>
      </c>
      <c r="L368" s="15" t="s">
        <v>59</v>
      </c>
      <c r="M368" s="15">
        <v>202.54</v>
      </c>
      <c r="N368" s="15">
        <v>5</v>
      </c>
      <c r="O368" s="15" t="s">
        <v>98</v>
      </c>
      <c r="P368" s="15">
        <v>4</v>
      </c>
      <c r="Q368" s="15">
        <v>58</v>
      </c>
      <c r="R368" s="15">
        <v>45218</v>
      </c>
      <c r="S368" s="15" t="s">
        <v>1790</v>
      </c>
      <c r="T368" s="15">
        <v>2</v>
      </c>
      <c r="U368" s="15">
        <v>1012.6999999999999</v>
      </c>
      <c r="V368" s="16">
        <v>0.1</v>
      </c>
      <c r="W368" s="15">
        <v>911.43</v>
      </c>
      <c r="X368" s="15">
        <v>969.43</v>
      </c>
      <c r="Y368" s="15" t="s">
        <v>2112</v>
      </c>
      <c r="Z368" s="15" t="s">
        <v>2060</v>
      </c>
      <c r="AA368" s="17">
        <v>10</v>
      </c>
      <c r="AB368">
        <v>0</v>
      </c>
    </row>
    <row r="369" spans="1:28">
      <c r="A369" s="18" t="s">
        <v>493</v>
      </c>
      <c r="B369" s="18" t="s">
        <v>189</v>
      </c>
      <c r="C369" s="18" t="s">
        <v>330</v>
      </c>
      <c r="D369" s="18">
        <v>39</v>
      </c>
      <c r="E369" s="18" t="s">
        <v>54</v>
      </c>
      <c r="F369" s="18" t="s">
        <v>44</v>
      </c>
      <c r="G369" s="18" t="s">
        <v>494</v>
      </c>
      <c r="H369" s="18" t="s">
        <v>495</v>
      </c>
      <c r="I369" s="18" t="s">
        <v>746</v>
      </c>
      <c r="J369" s="18">
        <v>45397</v>
      </c>
      <c r="K369" s="18" t="s">
        <v>747</v>
      </c>
      <c r="L369" s="18" t="s">
        <v>128</v>
      </c>
      <c r="M369" s="18">
        <v>257.06</v>
      </c>
      <c r="N369" s="18">
        <v>4</v>
      </c>
      <c r="O369" s="18" t="s">
        <v>87</v>
      </c>
      <c r="P369" s="18">
        <v>3</v>
      </c>
      <c r="Q369" s="18">
        <v>50</v>
      </c>
      <c r="R369" s="18">
        <v>45401</v>
      </c>
      <c r="S369" s="18" t="s">
        <v>748</v>
      </c>
      <c r="T369" s="18">
        <v>4</v>
      </c>
      <c r="U369" s="18">
        <v>1028.24</v>
      </c>
      <c r="V369" s="19">
        <v>0.2</v>
      </c>
      <c r="W369" s="18">
        <v>822.59199999999998</v>
      </c>
      <c r="X369" s="18">
        <v>872.59199999999998</v>
      </c>
      <c r="Y369" s="18" t="s">
        <v>2127</v>
      </c>
      <c r="Z369" s="18" t="s">
        <v>2064</v>
      </c>
      <c r="AA369" s="20">
        <v>9</v>
      </c>
      <c r="AB369">
        <v>84.789000000000001</v>
      </c>
    </row>
    <row r="370" spans="1:28">
      <c r="A370" s="15" t="s">
        <v>606</v>
      </c>
      <c r="B370" s="15" t="s">
        <v>607</v>
      </c>
      <c r="C370" s="15" t="s">
        <v>406</v>
      </c>
      <c r="D370" s="15">
        <v>18</v>
      </c>
      <c r="E370" s="15" t="s">
        <v>43</v>
      </c>
      <c r="F370" s="15" t="s">
        <v>44</v>
      </c>
      <c r="G370" s="15" t="s">
        <v>608</v>
      </c>
      <c r="H370" s="15" t="s">
        <v>609</v>
      </c>
      <c r="I370" s="15" t="s">
        <v>767</v>
      </c>
      <c r="J370" s="15">
        <v>45023</v>
      </c>
      <c r="K370" s="15" t="s">
        <v>768</v>
      </c>
      <c r="L370" s="15" t="s">
        <v>128</v>
      </c>
      <c r="M370" s="15">
        <v>257.06</v>
      </c>
      <c r="N370" s="15">
        <v>4</v>
      </c>
      <c r="O370" s="15" t="s">
        <v>98</v>
      </c>
      <c r="P370" s="15">
        <v>1</v>
      </c>
      <c r="Q370" s="15">
        <v>65</v>
      </c>
      <c r="R370" s="15">
        <v>45025</v>
      </c>
      <c r="S370" s="15" t="s">
        <v>769</v>
      </c>
      <c r="T370" s="15">
        <v>2</v>
      </c>
      <c r="U370" s="15">
        <v>1028.24</v>
      </c>
      <c r="V370" s="16">
        <v>0.1</v>
      </c>
      <c r="W370" s="15">
        <v>925.41599999999994</v>
      </c>
      <c r="X370" s="15">
        <v>990.41599999999994</v>
      </c>
      <c r="Y370" s="15" t="s">
        <v>2139</v>
      </c>
      <c r="Z370" s="15" t="s">
        <v>2064</v>
      </c>
      <c r="AA370" s="17">
        <v>6</v>
      </c>
      <c r="AB370">
        <v>65.4024</v>
      </c>
    </row>
    <row r="371" spans="1:28">
      <c r="A371" s="18" t="s">
        <v>770</v>
      </c>
      <c r="B371" s="18" t="s">
        <v>771</v>
      </c>
      <c r="C371" s="18" t="s">
        <v>772</v>
      </c>
      <c r="D371" s="18">
        <v>27</v>
      </c>
      <c r="E371" s="18" t="s">
        <v>31</v>
      </c>
      <c r="F371" s="18" t="s">
        <v>44</v>
      </c>
      <c r="G371" s="18" t="s">
        <v>773</v>
      </c>
      <c r="H371" s="18" t="s">
        <v>774</v>
      </c>
      <c r="I371" s="18" t="s">
        <v>1000</v>
      </c>
      <c r="J371" s="18">
        <v>45132</v>
      </c>
      <c r="K371" s="18" t="s">
        <v>1001</v>
      </c>
      <c r="L371" s="18" t="s">
        <v>128</v>
      </c>
      <c r="M371" s="18">
        <v>257.06</v>
      </c>
      <c r="N371" s="18">
        <v>4</v>
      </c>
      <c r="O371" s="18" t="s">
        <v>65</v>
      </c>
      <c r="P371" s="18">
        <v>5</v>
      </c>
      <c r="Q371" s="18">
        <v>52</v>
      </c>
      <c r="R371" s="18">
        <v>45136</v>
      </c>
      <c r="S371" s="18" t="s">
        <v>1002</v>
      </c>
      <c r="T371" s="18">
        <v>4</v>
      </c>
      <c r="U371" s="18">
        <v>1028.24</v>
      </c>
      <c r="V371" s="19">
        <v>0</v>
      </c>
      <c r="W371" s="18">
        <v>1028.24</v>
      </c>
      <c r="X371" s="18">
        <v>1028.24</v>
      </c>
      <c r="Y371" s="18" t="s">
        <v>2059</v>
      </c>
      <c r="Z371" s="18" t="s">
        <v>2060</v>
      </c>
      <c r="AA371" s="20">
        <v>2</v>
      </c>
      <c r="AB371">
        <v>0</v>
      </c>
    </row>
    <row r="372" spans="1:28">
      <c r="A372" s="15" t="s">
        <v>438</v>
      </c>
      <c r="B372" s="15" t="s">
        <v>439</v>
      </c>
      <c r="C372" s="15" t="s">
        <v>440</v>
      </c>
      <c r="D372" s="15">
        <v>28</v>
      </c>
      <c r="E372" s="15" t="s">
        <v>54</v>
      </c>
      <c r="F372" s="15" t="s">
        <v>78</v>
      </c>
      <c r="G372" s="15" t="s">
        <v>441</v>
      </c>
      <c r="H372" s="15" t="s">
        <v>442</v>
      </c>
      <c r="I372" s="15" t="s">
        <v>1605</v>
      </c>
      <c r="J372" s="15">
        <v>45600</v>
      </c>
      <c r="K372" s="15" t="s">
        <v>1606</v>
      </c>
      <c r="L372" s="15" t="s">
        <v>128</v>
      </c>
      <c r="M372" s="15">
        <v>257.06</v>
      </c>
      <c r="N372" s="15">
        <v>4</v>
      </c>
      <c r="O372" s="15" t="s">
        <v>98</v>
      </c>
      <c r="P372" s="15">
        <v>6</v>
      </c>
      <c r="Q372" s="15">
        <v>69</v>
      </c>
      <c r="R372" s="15">
        <v>45603</v>
      </c>
      <c r="S372" s="15" t="s">
        <v>1607</v>
      </c>
      <c r="T372" s="15">
        <v>3</v>
      </c>
      <c r="U372" s="15">
        <v>1028.24</v>
      </c>
      <c r="V372" s="16">
        <v>0.1</v>
      </c>
      <c r="W372" s="15">
        <v>925.41599999999994</v>
      </c>
      <c r="X372" s="15">
        <v>994.41599999999994</v>
      </c>
      <c r="Y372" s="15" t="s">
        <v>2120</v>
      </c>
      <c r="Z372" s="15" t="s">
        <v>2060</v>
      </c>
      <c r="AA372" s="17">
        <v>7</v>
      </c>
      <c r="AB372">
        <v>39.890999999999998</v>
      </c>
    </row>
    <row r="373" spans="1:28">
      <c r="A373" s="18" t="s">
        <v>167</v>
      </c>
      <c r="B373" s="18" t="s">
        <v>168</v>
      </c>
      <c r="C373" s="18" t="s">
        <v>169</v>
      </c>
      <c r="D373" s="18">
        <v>46</v>
      </c>
      <c r="E373" s="18" t="s">
        <v>31</v>
      </c>
      <c r="F373" s="18" t="s">
        <v>170</v>
      </c>
      <c r="G373" s="18" t="s">
        <v>171</v>
      </c>
      <c r="H373" s="18" t="s">
        <v>172</v>
      </c>
      <c r="I373" s="18" t="s">
        <v>173</v>
      </c>
      <c r="J373" s="18">
        <v>44966</v>
      </c>
      <c r="K373" s="18" t="s">
        <v>174</v>
      </c>
      <c r="L373" s="18" t="s">
        <v>175</v>
      </c>
      <c r="M373" s="18">
        <v>272.51</v>
      </c>
      <c r="N373" s="18">
        <v>4</v>
      </c>
      <c r="O373" s="18" t="s">
        <v>98</v>
      </c>
      <c r="P373" s="18">
        <v>5</v>
      </c>
      <c r="Q373" s="18">
        <v>40</v>
      </c>
      <c r="R373" s="18">
        <v>44970</v>
      </c>
      <c r="S373" s="18" t="s">
        <v>176</v>
      </c>
      <c r="T373" s="18">
        <v>4</v>
      </c>
      <c r="U373" s="18">
        <v>1090.04</v>
      </c>
      <c r="V373" s="19">
        <v>0.1</v>
      </c>
      <c r="W373" s="18">
        <v>981.03599999999994</v>
      </c>
      <c r="X373" s="18">
        <v>1021.0359999999999</v>
      </c>
      <c r="Y373" s="18" t="s">
        <v>2069</v>
      </c>
      <c r="Z373" s="18" t="s">
        <v>2060</v>
      </c>
      <c r="AA373" s="20">
        <v>3</v>
      </c>
      <c r="AB373">
        <v>0</v>
      </c>
    </row>
    <row r="374" spans="1:28">
      <c r="A374" s="15" t="s">
        <v>531</v>
      </c>
      <c r="B374" s="15" t="s">
        <v>397</v>
      </c>
      <c r="C374" s="15" t="s">
        <v>532</v>
      </c>
      <c r="D374" s="15">
        <v>51</v>
      </c>
      <c r="E374" s="15" t="s">
        <v>54</v>
      </c>
      <c r="F374" s="15" t="s">
        <v>142</v>
      </c>
      <c r="G374" s="15" t="s">
        <v>533</v>
      </c>
      <c r="H374" s="15" t="s">
        <v>534</v>
      </c>
      <c r="I374" s="15" t="s">
        <v>811</v>
      </c>
      <c r="J374" s="15">
        <v>45598</v>
      </c>
      <c r="K374" s="15" t="s">
        <v>812</v>
      </c>
      <c r="L374" s="15" t="s">
        <v>175</v>
      </c>
      <c r="M374" s="15">
        <v>272.51</v>
      </c>
      <c r="N374" s="15">
        <v>4</v>
      </c>
      <c r="O374" s="15" t="s">
        <v>65</v>
      </c>
      <c r="P374" s="15">
        <v>2</v>
      </c>
      <c r="Q374" s="15">
        <v>42</v>
      </c>
      <c r="R374" s="15">
        <v>45599</v>
      </c>
      <c r="S374" s="15" t="s">
        <v>813</v>
      </c>
      <c r="T374" s="15">
        <v>1</v>
      </c>
      <c r="U374" s="15">
        <v>1090.04</v>
      </c>
      <c r="V374" s="16">
        <v>0</v>
      </c>
      <c r="W374" s="15">
        <v>1090.04</v>
      </c>
      <c r="X374" s="15">
        <v>1090.04</v>
      </c>
      <c r="Y374" s="15" t="s">
        <v>2118</v>
      </c>
      <c r="Z374" s="15" t="s">
        <v>2060</v>
      </c>
      <c r="AA374" s="17">
        <v>11</v>
      </c>
      <c r="AB374">
        <v>42.988</v>
      </c>
    </row>
    <row r="375" spans="1:28">
      <c r="A375" s="18" t="s">
        <v>989</v>
      </c>
      <c r="B375" s="18" t="s">
        <v>990</v>
      </c>
      <c r="C375" s="18" t="s">
        <v>991</v>
      </c>
      <c r="D375" s="18">
        <v>49</v>
      </c>
      <c r="E375" s="18" t="s">
        <v>31</v>
      </c>
      <c r="F375" s="18" t="s">
        <v>44</v>
      </c>
      <c r="G375" s="18" t="s">
        <v>992</v>
      </c>
      <c r="H375" s="18" t="s">
        <v>993</v>
      </c>
      <c r="I375" s="18" t="s">
        <v>994</v>
      </c>
      <c r="J375" s="18">
        <v>45478</v>
      </c>
      <c r="K375" s="18" t="s">
        <v>995</v>
      </c>
      <c r="L375" s="18" t="s">
        <v>175</v>
      </c>
      <c r="M375" s="18">
        <v>272.51</v>
      </c>
      <c r="N375" s="18">
        <v>4</v>
      </c>
      <c r="O375" s="18" t="s">
        <v>65</v>
      </c>
      <c r="P375" s="18">
        <v>1</v>
      </c>
      <c r="Q375" s="18">
        <v>51</v>
      </c>
      <c r="R375" s="18">
        <v>45480</v>
      </c>
      <c r="S375" s="18" t="s">
        <v>996</v>
      </c>
      <c r="T375" s="18">
        <v>2</v>
      </c>
      <c r="U375" s="18">
        <v>1090.04</v>
      </c>
      <c r="V375" s="19">
        <v>0</v>
      </c>
      <c r="W375" s="18">
        <v>1090.04</v>
      </c>
      <c r="X375" s="18">
        <v>1090.04</v>
      </c>
      <c r="Y375" s="18" t="s">
        <v>2159</v>
      </c>
      <c r="Z375" s="18" t="s">
        <v>2064</v>
      </c>
      <c r="AA375" s="20">
        <v>5</v>
      </c>
      <c r="AB375">
        <v>53.735000000000007</v>
      </c>
    </row>
    <row r="376" spans="1:28">
      <c r="A376" s="15" t="s">
        <v>1045</v>
      </c>
      <c r="B376" s="15" t="s">
        <v>76</v>
      </c>
      <c r="C376" s="15" t="s">
        <v>1046</v>
      </c>
      <c r="D376" s="15">
        <v>46</v>
      </c>
      <c r="E376" s="15" t="s">
        <v>31</v>
      </c>
      <c r="F376" s="15" t="s">
        <v>32</v>
      </c>
      <c r="G376" s="15" t="s">
        <v>1047</v>
      </c>
      <c r="H376" s="15" t="s">
        <v>1048</v>
      </c>
      <c r="I376" s="15" t="s">
        <v>1067</v>
      </c>
      <c r="J376" s="15">
        <v>45481</v>
      </c>
      <c r="K376" s="15" t="s">
        <v>1068</v>
      </c>
      <c r="L376" s="15" t="s">
        <v>175</v>
      </c>
      <c r="M376" s="15">
        <v>272.51</v>
      </c>
      <c r="N376" s="15">
        <v>4</v>
      </c>
      <c r="O376" s="15" t="s">
        <v>65</v>
      </c>
      <c r="P376" s="15">
        <v>7</v>
      </c>
      <c r="Q376" s="15">
        <v>38</v>
      </c>
      <c r="R376" s="15">
        <v>45482</v>
      </c>
      <c r="S376" s="15" t="s">
        <v>1069</v>
      </c>
      <c r="T376" s="15">
        <v>1</v>
      </c>
      <c r="U376" s="15">
        <v>1090.04</v>
      </c>
      <c r="V376" s="16">
        <v>0</v>
      </c>
      <c r="W376" s="15">
        <v>1090.04</v>
      </c>
      <c r="X376" s="15">
        <v>1090.04</v>
      </c>
      <c r="Y376" s="15" t="s">
        <v>2156</v>
      </c>
      <c r="Z376" s="15" t="s">
        <v>2060</v>
      </c>
      <c r="AA376" s="17">
        <v>6</v>
      </c>
      <c r="AB376">
        <v>20.042999999999999</v>
      </c>
    </row>
    <row r="377" spans="1:28">
      <c r="A377" s="18" t="s">
        <v>549</v>
      </c>
      <c r="B377" s="18" t="s">
        <v>550</v>
      </c>
      <c r="C377" s="18" t="s">
        <v>551</v>
      </c>
      <c r="D377" s="18">
        <v>33</v>
      </c>
      <c r="E377" s="18" t="s">
        <v>54</v>
      </c>
      <c r="F377" s="18" t="s">
        <v>170</v>
      </c>
      <c r="G377" s="18" t="s">
        <v>552</v>
      </c>
      <c r="H377" s="18" t="s">
        <v>553</v>
      </c>
      <c r="I377" s="18" t="s">
        <v>1361</v>
      </c>
      <c r="J377" s="18">
        <v>45677</v>
      </c>
      <c r="K377" s="18" t="s">
        <v>1362</v>
      </c>
      <c r="L377" s="18" t="s">
        <v>175</v>
      </c>
      <c r="M377" s="18">
        <v>272.51</v>
      </c>
      <c r="N377" s="18">
        <v>4</v>
      </c>
      <c r="O377" s="18" t="s">
        <v>87</v>
      </c>
      <c r="P377" s="18">
        <v>6</v>
      </c>
      <c r="Q377" s="18">
        <v>39</v>
      </c>
      <c r="R377" s="18">
        <v>45679</v>
      </c>
      <c r="S377" s="18" t="s">
        <v>1363</v>
      </c>
      <c r="T377" s="18">
        <v>2</v>
      </c>
      <c r="U377" s="18">
        <v>1090.04</v>
      </c>
      <c r="V377" s="19">
        <v>0.2</v>
      </c>
      <c r="W377" s="18">
        <v>872.03199999999993</v>
      </c>
      <c r="X377" s="18">
        <v>911.03199999999993</v>
      </c>
      <c r="Y377" s="18" t="s">
        <v>2149</v>
      </c>
      <c r="Z377" s="18" t="s">
        <v>2060</v>
      </c>
      <c r="AA377" s="20">
        <v>11</v>
      </c>
      <c r="AB377">
        <v>110.176</v>
      </c>
    </row>
    <row r="378" spans="1:28">
      <c r="A378" s="15" t="s">
        <v>89</v>
      </c>
      <c r="B378" s="15" t="s">
        <v>90</v>
      </c>
      <c r="C378" s="15" t="s">
        <v>91</v>
      </c>
      <c r="D378" s="15">
        <v>26</v>
      </c>
      <c r="E378" s="15" t="s">
        <v>43</v>
      </c>
      <c r="F378" s="15" t="s">
        <v>92</v>
      </c>
      <c r="G378" s="15" t="s">
        <v>93</v>
      </c>
      <c r="H378" s="15" t="s">
        <v>94</v>
      </c>
      <c r="I378" s="15" t="s">
        <v>95</v>
      </c>
      <c r="J378" s="15">
        <v>45459</v>
      </c>
      <c r="K378" s="15" t="s">
        <v>96</v>
      </c>
      <c r="L378" s="15" t="s">
        <v>97</v>
      </c>
      <c r="M378" s="15">
        <v>363.64</v>
      </c>
      <c r="N378" s="15">
        <v>3</v>
      </c>
      <c r="O378" s="15" t="s">
        <v>98</v>
      </c>
      <c r="P378" s="15">
        <v>2</v>
      </c>
      <c r="Q378" s="15">
        <v>70</v>
      </c>
      <c r="R378" s="15">
        <v>45464</v>
      </c>
      <c r="S378" s="15" t="s">
        <v>99</v>
      </c>
      <c r="T378" s="15">
        <v>5</v>
      </c>
      <c r="U378" s="15">
        <v>1090.92</v>
      </c>
      <c r="V378" s="16">
        <v>0.1</v>
      </c>
      <c r="W378" s="15">
        <v>981.82800000000009</v>
      </c>
      <c r="X378" s="15">
        <v>1051.828</v>
      </c>
      <c r="Y378" s="15" t="s">
        <v>2134</v>
      </c>
      <c r="Z378" s="15" t="s">
        <v>2064</v>
      </c>
      <c r="AA378" s="17">
        <v>7</v>
      </c>
      <c r="AB378">
        <v>148.54949999999999</v>
      </c>
    </row>
    <row r="379" spans="1:28">
      <c r="A379" s="18" t="s">
        <v>121</v>
      </c>
      <c r="B379" s="18" t="s">
        <v>122</v>
      </c>
      <c r="C379" s="18" t="s">
        <v>123</v>
      </c>
      <c r="D379" s="18">
        <v>20</v>
      </c>
      <c r="E379" s="18" t="s">
        <v>31</v>
      </c>
      <c r="F379" s="18" t="s">
        <v>92</v>
      </c>
      <c r="G379" s="18" t="s">
        <v>124</v>
      </c>
      <c r="H379" s="18" t="s">
        <v>125</v>
      </c>
      <c r="I379" s="18" t="s">
        <v>255</v>
      </c>
      <c r="J379" s="18">
        <v>45185</v>
      </c>
      <c r="K379" s="18" t="s">
        <v>256</v>
      </c>
      <c r="L379" s="18" t="s">
        <v>97</v>
      </c>
      <c r="M379" s="18">
        <v>363.64</v>
      </c>
      <c r="N379" s="18">
        <v>3</v>
      </c>
      <c r="O379" s="18" t="s">
        <v>87</v>
      </c>
      <c r="P379" s="18">
        <v>5</v>
      </c>
      <c r="Q379" s="18">
        <v>39</v>
      </c>
      <c r="R379" s="18">
        <v>45189</v>
      </c>
      <c r="S379" s="18" t="s">
        <v>257</v>
      </c>
      <c r="T379" s="18">
        <v>4</v>
      </c>
      <c r="U379" s="18">
        <v>1090.92</v>
      </c>
      <c r="V379" s="19">
        <v>0.2</v>
      </c>
      <c r="W379" s="18">
        <v>872.7360000000001</v>
      </c>
      <c r="X379" s="18">
        <v>911.7360000000001</v>
      </c>
      <c r="Y379" s="18" t="s">
        <v>2148</v>
      </c>
      <c r="Z379" s="18" t="s">
        <v>2060</v>
      </c>
      <c r="AA379" s="20">
        <v>1</v>
      </c>
      <c r="AB379">
        <v>65.4024</v>
      </c>
    </row>
    <row r="380" spans="1:28">
      <c r="A380" s="15" t="s">
        <v>461</v>
      </c>
      <c r="B380" s="15" t="s">
        <v>462</v>
      </c>
      <c r="C380" s="15" t="s">
        <v>463</v>
      </c>
      <c r="D380" s="15">
        <v>63</v>
      </c>
      <c r="E380" s="15" t="s">
        <v>31</v>
      </c>
      <c r="F380" s="15" t="s">
        <v>142</v>
      </c>
      <c r="G380" s="15" t="s">
        <v>464</v>
      </c>
      <c r="H380" s="15" t="s">
        <v>465</v>
      </c>
      <c r="I380" s="15" t="s">
        <v>466</v>
      </c>
      <c r="J380" s="15">
        <v>45655</v>
      </c>
      <c r="K380" s="15" t="s">
        <v>467</v>
      </c>
      <c r="L380" s="15" t="s">
        <v>97</v>
      </c>
      <c r="M380" s="15">
        <v>363.64</v>
      </c>
      <c r="N380" s="15">
        <v>3</v>
      </c>
      <c r="O380" s="15" t="s">
        <v>98</v>
      </c>
      <c r="P380" s="15">
        <v>6</v>
      </c>
      <c r="Q380" s="15">
        <v>69</v>
      </c>
      <c r="R380" s="15">
        <v>45662</v>
      </c>
      <c r="S380" s="15" t="s">
        <v>468</v>
      </c>
      <c r="T380" s="15">
        <v>7</v>
      </c>
      <c r="U380" s="15">
        <v>1090.92</v>
      </c>
      <c r="V380" s="16">
        <v>0.1</v>
      </c>
      <c r="W380" s="15">
        <v>981.82800000000009</v>
      </c>
      <c r="X380" s="15">
        <v>1050.828</v>
      </c>
      <c r="Y380" s="15" t="s">
        <v>2070</v>
      </c>
      <c r="Z380" s="15" t="s">
        <v>2064</v>
      </c>
      <c r="AA380" s="17">
        <v>11</v>
      </c>
      <c r="AB380">
        <v>140.744</v>
      </c>
    </row>
    <row r="381" spans="1:28">
      <c r="A381" s="18" t="s">
        <v>283</v>
      </c>
      <c r="B381" s="18" t="s">
        <v>284</v>
      </c>
      <c r="C381" s="18" t="s">
        <v>285</v>
      </c>
      <c r="D381" s="18">
        <v>64</v>
      </c>
      <c r="E381" s="18" t="s">
        <v>54</v>
      </c>
      <c r="F381" s="18" t="s">
        <v>32</v>
      </c>
      <c r="G381" s="18" t="s">
        <v>286</v>
      </c>
      <c r="H381" s="18" t="s">
        <v>287</v>
      </c>
      <c r="I381" s="18" t="s">
        <v>568</v>
      </c>
      <c r="J381" s="18">
        <v>45459</v>
      </c>
      <c r="K381" s="18" t="s">
        <v>569</v>
      </c>
      <c r="L381" s="18" t="s">
        <v>97</v>
      </c>
      <c r="M381" s="18">
        <v>363.64</v>
      </c>
      <c r="N381" s="18">
        <v>3</v>
      </c>
      <c r="O381" s="18" t="s">
        <v>65</v>
      </c>
      <c r="P381" s="18">
        <v>7</v>
      </c>
      <c r="Q381" s="18">
        <v>41</v>
      </c>
      <c r="R381" s="18">
        <v>45461</v>
      </c>
      <c r="S381" s="18" t="s">
        <v>570</v>
      </c>
      <c r="T381" s="18">
        <v>2</v>
      </c>
      <c r="U381" s="18">
        <v>1090.92</v>
      </c>
      <c r="V381" s="19">
        <v>0</v>
      </c>
      <c r="W381" s="18">
        <v>1090.92</v>
      </c>
      <c r="X381" s="18">
        <v>1090.92</v>
      </c>
      <c r="Y381" s="18" t="s">
        <v>2113</v>
      </c>
      <c r="Z381" s="18" t="s">
        <v>2060</v>
      </c>
      <c r="AA381" s="20">
        <v>6</v>
      </c>
      <c r="AB381">
        <v>88.5672</v>
      </c>
    </row>
    <row r="382" spans="1:28">
      <c r="A382" s="15" t="s">
        <v>538</v>
      </c>
      <c r="B382" s="15" t="s">
        <v>539</v>
      </c>
      <c r="C382" s="15" t="s">
        <v>540</v>
      </c>
      <c r="D382" s="15">
        <v>32</v>
      </c>
      <c r="E382" s="15" t="s">
        <v>54</v>
      </c>
      <c r="F382" s="15" t="s">
        <v>92</v>
      </c>
      <c r="G382" s="15" t="s">
        <v>541</v>
      </c>
      <c r="H382" s="15" t="s">
        <v>542</v>
      </c>
      <c r="I382" s="15" t="s">
        <v>1018</v>
      </c>
      <c r="J382" s="15">
        <v>45455</v>
      </c>
      <c r="K382" s="15" t="s">
        <v>1019</v>
      </c>
      <c r="L382" s="15" t="s">
        <v>97</v>
      </c>
      <c r="M382" s="15">
        <v>363.64</v>
      </c>
      <c r="N382" s="15">
        <v>3</v>
      </c>
      <c r="O382" s="15" t="s">
        <v>65</v>
      </c>
      <c r="P382" s="15">
        <v>3</v>
      </c>
      <c r="Q382" s="15">
        <v>70</v>
      </c>
      <c r="R382" s="15">
        <v>45461</v>
      </c>
      <c r="S382" s="15" t="s">
        <v>1020</v>
      </c>
      <c r="T382" s="15">
        <v>6</v>
      </c>
      <c r="U382" s="15">
        <v>1090.92</v>
      </c>
      <c r="V382" s="16">
        <v>0</v>
      </c>
      <c r="W382" s="15">
        <v>1090.92</v>
      </c>
      <c r="X382" s="15">
        <v>1090.92</v>
      </c>
      <c r="Y382" s="15" t="s">
        <v>2121</v>
      </c>
      <c r="Z382" s="15" t="s">
        <v>2064</v>
      </c>
      <c r="AA382" s="17">
        <v>4</v>
      </c>
      <c r="AB382">
        <v>149.048</v>
      </c>
    </row>
    <row r="383" spans="1:28">
      <c r="A383" s="18" t="s">
        <v>523</v>
      </c>
      <c r="B383" s="18" t="s">
        <v>524</v>
      </c>
      <c r="C383" s="18" t="s">
        <v>525</v>
      </c>
      <c r="D383" s="18">
        <v>42</v>
      </c>
      <c r="E383" s="18" t="s">
        <v>54</v>
      </c>
      <c r="F383" s="18" t="s">
        <v>78</v>
      </c>
      <c r="G383" s="18" t="s">
        <v>526</v>
      </c>
      <c r="H383" s="18" t="s">
        <v>527</v>
      </c>
      <c r="I383" s="18" t="s">
        <v>1076</v>
      </c>
      <c r="J383" s="18">
        <v>45495</v>
      </c>
      <c r="K383" s="18" t="s">
        <v>1077</v>
      </c>
      <c r="L383" s="18" t="s">
        <v>97</v>
      </c>
      <c r="M383" s="18">
        <v>363.64</v>
      </c>
      <c r="N383" s="18">
        <v>3</v>
      </c>
      <c r="O383" s="18" t="s">
        <v>38</v>
      </c>
      <c r="P383" s="18">
        <v>5</v>
      </c>
      <c r="Q383" s="18">
        <v>53</v>
      </c>
      <c r="R383" s="18">
        <v>45502</v>
      </c>
      <c r="S383" s="18" t="s">
        <v>1078</v>
      </c>
      <c r="T383" s="18">
        <v>7</v>
      </c>
      <c r="U383" s="18">
        <v>1090.92</v>
      </c>
      <c r="V383" s="19">
        <v>0.08</v>
      </c>
      <c r="W383" s="18">
        <v>1003.6464000000001</v>
      </c>
      <c r="X383" s="18">
        <v>1056.6464000000001</v>
      </c>
      <c r="Y383" s="18" t="s">
        <v>2066</v>
      </c>
      <c r="Z383" s="18" t="s">
        <v>2064</v>
      </c>
      <c r="AA383" s="20">
        <v>12</v>
      </c>
      <c r="AB383">
        <v>0</v>
      </c>
    </row>
    <row r="384" spans="1:28">
      <c r="A384" s="15" t="s">
        <v>275</v>
      </c>
      <c r="B384" s="15" t="s">
        <v>276</v>
      </c>
      <c r="C384" s="15" t="s">
        <v>277</v>
      </c>
      <c r="D384" s="15">
        <v>44</v>
      </c>
      <c r="E384" s="15" t="s">
        <v>31</v>
      </c>
      <c r="F384" s="15" t="s">
        <v>223</v>
      </c>
      <c r="G384" s="15" t="s">
        <v>278</v>
      </c>
      <c r="H384" s="15" t="s">
        <v>279</v>
      </c>
      <c r="I384" s="15" t="s">
        <v>1185</v>
      </c>
      <c r="J384" s="15">
        <v>45390</v>
      </c>
      <c r="K384" s="15" t="s">
        <v>1186</v>
      </c>
      <c r="L384" s="15" t="s">
        <v>97</v>
      </c>
      <c r="M384" s="15">
        <v>363.64</v>
      </c>
      <c r="N384" s="15">
        <v>3</v>
      </c>
      <c r="O384" s="15" t="s">
        <v>60</v>
      </c>
      <c r="P384" s="15">
        <v>1</v>
      </c>
      <c r="Q384" s="15">
        <v>47</v>
      </c>
      <c r="R384" s="15">
        <v>45395</v>
      </c>
      <c r="S384" s="15" t="s">
        <v>1187</v>
      </c>
      <c r="T384" s="15">
        <v>5</v>
      </c>
      <c r="U384" s="15">
        <v>1090.92</v>
      </c>
      <c r="V384" s="16">
        <v>0.15</v>
      </c>
      <c r="W384" s="15">
        <v>927.28200000000004</v>
      </c>
      <c r="X384" s="15">
        <v>974.28200000000004</v>
      </c>
      <c r="Y384" s="15" t="s">
        <v>2110</v>
      </c>
      <c r="Z384" s="15" t="s">
        <v>2064</v>
      </c>
      <c r="AA384" s="17">
        <v>5</v>
      </c>
      <c r="AB384">
        <v>15.763999999999999</v>
      </c>
    </row>
    <row r="385" spans="1:28">
      <c r="A385" s="18" t="s">
        <v>595</v>
      </c>
      <c r="B385" s="18" t="s">
        <v>596</v>
      </c>
      <c r="C385" s="18" t="s">
        <v>597</v>
      </c>
      <c r="D385" s="18">
        <v>21</v>
      </c>
      <c r="E385" s="18" t="s">
        <v>31</v>
      </c>
      <c r="F385" s="18" t="s">
        <v>44</v>
      </c>
      <c r="G385" s="18" t="s">
        <v>598</v>
      </c>
      <c r="H385" s="18" t="s">
        <v>599</v>
      </c>
      <c r="I385" s="18" t="s">
        <v>1188</v>
      </c>
      <c r="J385" s="18">
        <v>45578</v>
      </c>
      <c r="K385" s="18" t="s">
        <v>1189</v>
      </c>
      <c r="L385" s="18" t="s">
        <v>97</v>
      </c>
      <c r="M385" s="18">
        <v>363.64</v>
      </c>
      <c r="N385" s="18">
        <v>3</v>
      </c>
      <c r="O385" s="18" t="s">
        <v>87</v>
      </c>
      <c r="P385" s="18">
        <v>6</v>
      </c>
      <c r="Q385" s="18">
        <v>64</v>
      </c>
      <c r="R385" s="18">
        <v>45585</v>
      </c>
      <c r="S385" s="18" t="s">
        <v>1190</v>
      </c>
      <c r="T385" s="18">
        <v>7</v>
      </c>
      <c r="U385" s="18">
        <v>1090.92</v>
      </c>
      <c r="V385" s="19">
        <v>0.2</v>
      </c>
      <c r="W385" s="18">
        <v>872.7360000000001</v>
      </c>
      <c r="X385" s="18">
        <v>936.7360000000001</v>
      </c>
      <c r="Y385" s="18" t="s">
        <v>2153</v>
      </c>
      <c r="Z385" s="18" t="s">
        <v>2064</v>
      </c>
      <c r="AA385" s="20">
        <v>11</v>
      </c>
      <c r="AB385">
        <v>4.968</v>
      </c>
    </row>
    <row r="386" spans="1:28">
      <c r="A386" s="15" t="s">
        <v>1310</v>
      </c>
      <c r="B386" s="15" t="s">
        <v>1311</v>
      </c>
      <c r="C386" s="15" t="s">
        <v>1312</v>
      </c>
      <c r="D386" s="15">
        <v>63</v>
      </c>
      <c r="E386" s="15" t="s">
        <v>31</v>
      </c>
      <c r="F386" s="15" t="s">
        <v>170</v>
      </c>
      <c r="G386" s="15" t="s">
        <v>1313</v>
      </c>
      <c r="H386" s="15" t="s">
        <v>1314</v>
      </c>
      <c r="I386" s="15" t="s">
        <v>1495</v>
      </c>
      <c r="J386" s="15">
        <v>45107</v>
      </c>
      <c r="K386" s="15" t="s">
        <v>1496</v>
      </c>
      <c r="L386" s="15" t="s">
        <v>156</v>
      </c>
      <c r="M386" s="15">
        <v>220.27</v>
      </c>
      <c r="N386" s="15">
        <v>5</v>
      </c>
      <c r="O386" s="15" t="s">
        <v>87</v>
      </c>
      <c r="P386" s="15">
        <v>6</v>
      </c>
      <c r="Q386" s="15">
        <v>57</v>
      </c>
      <c r="R386" s="15">
        <v>45109</v>
      </c>
      <c r="S386" s="15" t="s">
        <v>1497</v>
      </c>
      <c r="T386" s="15">
        <v>2</v>
      </c>
      <c r="U386" s="15">
        <v>1101.3500000000001</v>
      </c>
      <c r="V386" s="16">
        <v>0.2</v>
      </c>
      <c r="W386" s="15">
        <v>881.08000000000015</v>
      </c>
      <c r="X386" s="15">
        <v>938.08000000000015</v>
      </c>
      <c r="Y386" s="15" t="s">
        <v>2143</v>
      </c>
      <c r="Z386" s="15" t="s">
        <v>2060</v>
      </c>
      <c r="AA386" s="17">
        <v>12</v>
      </c>
      <c r="AB386">
        <v>76.884</v>
      </c>
    </row>
    <row r="387" spans="1:28">
      <c r="A387" s="18" t="s">
        <v>486</v>
      </c>
      <c r="B387" s="18" t="s">
        <v>487</v>
      </c>
      <c r="C387" s="18" t="s">
        <v>132</v>
      </c>
      <c r="D387" s="18">
        <v>68</v>
      </c>
      <c r="E387" s="18" t="s">
        <v>54</v>
      </c>
      <c r="F387" s="18" t="s">
        <v>223</v>
      </c>
      <c r="G387" s="18" t="s">
        <v>488</v>
      </c>
      <c r="H387" s="18" t="s">
        <v>489</v>
      </c>
      <c r="I387" s="18" t="s">
        <v>490</v>
      </c>
      <c r="J387" s="18">
        <v>45002</v>
      </c>
      <c r="K387" s="18" t="s">
        <v>491</v>
      </c>
      <c r="L387" s="18" t="s">
        <v>107</v>
      </c>
      <c r="M387" s="18">
        <v>275.44</v>
      </c>
      <c r="N387" s="18">
        <v>4</v>
      </c>
      <c r="O387" s="18" t="s">
        <v>38</v>
      </c>
      <c r="P387" s="18">
        <v>4</v>
      </c>
      <c r="Q387" s="18">
        <v>40</v>
      </c>
      <c r="R387" s="18">
        <v>45007</v>
      </c>
      <c r="S387" s="18" t="s">
        <v>492</v>
      </c>
      <c r="T387" s="18">
        <v>5</v>
      </c>
      <c r="U387" s="18">
        <v>1101.76</v>
      </c>
      <c r="V387" s="19">
        <v>0.08</v>
      </c>
      <c r="W387" s="18">
        <v>1013.6192</v>
      </c>
      <c r="X387" s="18">
        <v>1053.6192000000001</v>
      </c>
      <c r="Y387" s="18" t="s">
        <v>2135</v>
      </c>
      <c r="Z387" s="18" t="s">
        <v>2064</v>
      </c>
      <c r="AA387" s="20">
        <v>4</v>
      </c>
      <c r="AB387">
        <v>37.833599999999997</v>
      </c>
    </row>
    <row r="388" spans="1:28">
      <c r="A388" s="15" t="s">
        <v>1082</v>
      </c>
      <c r="B388" s="15" t="s">
        <v>221</v>
      </c>
      <c r="C388" s="15" t="s">
        <v>1083</v>
      </c>
      <c r="D388" s="15">
        <v>55</v>
      </c>
      <c r="E388" s="15" t="s">
        <v>43</v>
      </c>
      <c r="F388" s="15" t="s">
        <v>161</v>
      </c>
      <c r="G388" s="15" t="s">
        <v>1084</v>
      </c>
      <c r="H388" s="15" t="s">
        <v>1085</v>
      </c>
      <c r="I388" s="15" t="s">
        <v>1135</v>
      </c>
      <c r="J388" s="15">
        <v>45408</v>
      </c>
      <c r="K388" s="15" t="s">
        <v>1136</v>
      </c>
      <c r="L388" s="15" t="s">
        <v>433</v>
      </c>
      <c r="M388" s="15">
        <v>369.03</v>
      </c>
      <c r="N388" s="15">
        <v>3</v>
      </c>
      <c r="O388" s="15" t="s">
        <v>87</v>
      </c>
      <c r="P388" s="15">
        <v>2</v>
      </c>
      <c r="Q388" s="15">
        <v>65</v>
      </c>
      <c r="R388" s="15">
        <v>45412</v>
      </c>
      <c r="S388" s="15" t="s">
        <v>1137</v>
      </c>
      <c r="T388" s="15">
        <v>4</v>
      </c>
      <c r="U388" s="15">
        <v>1107.0899999999999</v>
      </c>
      <c r="V388" s="16">
        <v>0.2</v>
      </c>
      <c r="W388" s="15">
        <v>885.67199999999991</v>
      </c>
      <c r="X388" s="15">
        <v>950.67199999999991</v>
      </c>
      <c r="Y388" s="15" t="s">
        <v>2107</v>
      </c>
      <c r="Z388" s="15" t="s">
        <v>2064</v>
      </c>
      <c r="AA388" s="17">
        <v>6</v>
      </c>
      <c r="AB388">
        <v>37.262</v>
      </c>
    </row>
    <row r="389" spans="1:28">
      <c r="A389" s="18" t="s">
        <v>1224</v>
      </c>
      <c r="B389" s="18" t="s">
        <v>1225</v>
      </c>
      <c r="C389" s="18" t="s">
        <v>1226</v>
      </c>
      <c r="D389" s="18">
        <v>19</v>
      </c>
      <c r="E389" s="18" t="s">
        <v>43</v>
      </c>
      <c r="F389" s="18" t="s">
        <v>78</v>
      </c>
      <c r="G389" s="18" t="s">
        <v>1227</v>
      </c>
      <c r="H389" s="18" t="s">
        <v>1228</v>
      </c>
      <c r="I389" s="18" t="s">
        <v>1376</v>
      </c>
      <c r="J389" s="18">
        <v>45049</v>
      </c>
      <c r="K389" s="18" t="s">
        <v>1377</v>
      </c>
      <c r="L389" s="18" t="s">
        <v>433</v>
      </c>
      <c r="M389" s="18">
        <v>369.03</v>
      </c>
      <c r="N389" s="18">
        <v>3</v>
      </c>
      <c r="O389" s="18" t="s">
        <v>38</v>
      </c>
      <c r="P389" s="18">
        <v>6</v>
      </c>
      <c r="Q389" s="18">
        <v>50</v>
      </c>
      <c r="R389" s="18">
        <v>45052</v>
      </c>
      <c r="S389" s="18" t="s">
        <v>1378</v>
      </c>
      <c r="T389" s="18">
        <v>3</v>
      </c>
      <c r="U389" s="18">
        <v>1107.0899999999999</v>
      </c>
      <c r="V389" s="19">
        <v>0.08</v>
      </c>
      <c r="W389" s="18">
        <v>1018.5228</v>
      </c>
      <c r="X389" s="18">
        <v>1068.5228</v>
      </c>
      <c r="Y389" s="18" t="s">
        <v>2077</v>
      </c>
      <c r="Z389" s="18" t="s">
        <v>2060</v>
      </c>
      <c r="AA389" s="20">
        <v>7</v>
      </c>
      <c r="AB389">
        <v>0</v>
      </c>
    </row>
    <row r="390" spans="1:28">
      <c r="A390" s="15" t="s">
        <v>1617</v>
      </c>
      <c r="B390" s="15" t="s">
        <v>276</v>
      </c>
      <c r="C390" s="15" t="s">
        <v>1618</v>
      </c>
      <c r="D390" s="15">
        <v>62</v>
      </c>
      <c r="E390" s="15" t="s">
        <v>43</v>
      </c>
      <c r="F390" s="15" t="s">
        <v>44</v>
      </c>
      <c r="G390" s="15" t="s">
        <v>1619</v>
      </c>
      <c r="H390" s="15" t="s">
        <v>1620</v>
      </c>
      <c r="I390" s="15" t="s">
        <v>1669</v>
      </c>
      <c r="J390" s="15">
        <v>45459</v>
      </c>
      <c r="K390" s="15" t="s">
        <v>1670</v>
      </c>
      <c r="L390" s="15" t="s">
        <v>433</v>
      </c>
      <c r="M390" s="15">
        <v>369.03</v>
      </c>
      <c r="N390" s="15">
        <v>3</v>
      </c>
      <c r="O390" s="15" t="s">
        <v>38</v>
      </c>
      <c r="P390" s="15">
        <v>6</v>
      </c>
      <c r="Q390" s="15">
        <v>57</v>
      </c>
      <c r="R390" s="15">
        <v>45461</v>
      </c>
      <c r="S390" s="15" t="s">
        <v>1671</v>
      </c>
      <c r="T390" s="15">
        <v>2</v>
      </c>
      <c r="U390" s="15">
        <v>1107.0899999999999</v>
      </c>
      <c r="V390" s="16">
        <v>0.08</v>
      </c>
      <c r="W390" s="15">
        <v>1018.5228</v>
      </c>
      <c r="X390" s="15">
        <v>1075.5228</v>
      </c>
      <c r="Y390" s="15" t="s">
        <v>2067</v>
      </c>
      <c r="Z390" s="15" t="s">
        <v>2060</v>
      </c>
      <c r="AA390" s="17">
        <v>4</v>
      </c>
      <c r="AB390">
        <v>0</v>
      </c>
    </row>
    <row r="391" spans="1:28">
      <c r="A391" s="18" t="s">
        <v>67</v>
      </c>
      <c r="B391" s="18" t="s">
        <v>68</v>
      </c>
      <c r="C391" s="18" t="s">
        <v>69</v>
      </c>
      <c r="D391" s="18">
        <v>49</v>
      </c>
      <c r="E391" s="18" t="s">
        <v>54</v>
      </c>
      <c r="F391" s="18" t="s">
        <v>32</v>
      </c>
      <c r="G391" s="18" t="s">
        <v>70</v>
      </c>
      <c r="H391" s="18" t="s">
        <v>71</v>
      </c>
      <c r="I391" s="18" t="s">
        <v>345</v>
      </c>
      <c r="J391" s="18">
        <v>45557</v>
      </c>
      <c r="K391" s="18" t="s">
        <v>346</v>
      </c>
      <c r="L391" s="18" t="s">
        <v>347</v>
      </c>
      <c r="M391" s="18">
        <v>372.62</v>
      </c>
      <c r="N391" s="18">
        <v>3</v>
      </c>
      <c r="O391" s="18" t="s">
        <v>38</v>
      </c>
      <c r="P391" s="18">
        <v>3</v>
      </c>
      <c r="Q391" s="18">
        <v>59</v>
      </c>
      <c r="R391" s="18">
        <v>45564</v>
      </c>
      <c r="S391" s="18" t="s">
        <v>348</v>
      </c>
      <c r="T391" s="18">
        <v>7</v>
      </c>
      <c r="U391" s="18">
        <v>1117.8600000000001</v>
      </c>
      <c r="V391" s="19">
        <v>0.08</v>
      </c>
      <c r="W391" s="18">
        <v>1028.4312000000002</v>
      </c>
      <c r="X391" s="18">
        <v>1087.4312000000002</v>
      </c>
      <c r="Y391" s="18" t="s">
        <v>2098</v>
      </c>
      <c r="Z391" s="18" t="s">
        <v>2064</v>
      </c>
      <c r="AA391" s="20">
        <v>1</v>
      </c>
      <c r="AB391">
        <v>0</v>
      </c>
    </row>
    <row r="392" spans="1:28">
      <c r="A392" s="15" t="s">
        <v>149</v>
      </c>
      <c r="B392" s="15" t="s">
        <v>150</v>
      </c>
      <c r="C392" s="15" t="s">
        <v>151</v>
      </c>
      <c r="D392" s="15">
        <v>44</v>
      </c>
      <c r="E392" s="15" t="s">
        <v>43</v>
      </c>
      <c r="F392" s="15" t="s">
        <v>92</v>
      </c>
      <c r="G392" s="15" t="s">
        <v>152</v>
      </c>
      <c r="H392" s="15" t="s">
        <v>153</v>
      </c>
      <c r="I392" s="15" t="s">
        <v>349</v>
      </c>
      <c r="J392" s="15">
        <v>45568</v>
      </c>
      <c r="K392" s="15" t="s">
        <v>350</v>
      </c>
      <c r="L392" s="15" t="s">
        <v>347</v>
      </c>
      <c r="M392" s="15">
        <v>372.62</v>
      </c>
      <c r="N392" s="15">
        <v>3</v>
      </c>
      <c r="O392" s="15" t="s">
        <v>38</v>
      </c>
      <c r="P392" s="15">
        <v>1</v>
      </c>
      <c r="Q392" s="15">
        <v>52</v>
      </c>
      <c r="R392" s="15">
        <v>45575</v>
      </c>
      <c r="S392" s="15" t="s">
        <v>351</v>
      </c>
      <c r="T392" s="15">
        <v>7</v>
      </c>
      <c r="U392" s="15">
        <v>1117.8600000000001</v>
      </c>
      <c r="V392" s="16">
        <v>0.08</v>
      </c>
      <c r="W392" s="15">
        <v>1028.4312000000002</v>
      </c>
      <c r="X392" s="15">
        <v>1080.4312000000002</v>
      </c>
      <c r="Y392" s="15" t="s">
        <v>2129</v>
      </c>
      <c r="Z392" s="15" t="s">
        <v>2064</v>
      </c>
      <c r="AA392" s="17">
        <v>3</v>
      </c>
      <c r="AB392">
        <v>149.048</v>
      </c>
    </row>
    <row r="393" spans="1:28">
      <c r="A393" s="18" t="s">
        <v>230</v>
      </c>
      <c r="B393" s="18" t="s">
        <v>231</v>
      </c>
      <c r="C393" s="18" t="s">
        <v>232</v>
      </c>
      <c r="D393" s="18">
        <v>64</v>
      </c>
      <c r="E393" s="18" t="s">
        <v>43</v>
      </c>
      <c r="F393" s="18" t="s">
        <v>44</v>
      </c>
      <c r="G393" s="18" t="s">
        <v>233</v>
      </c>
      <c r="H393" s="18" t="s">
        <v>234</v>
      </c>
      <c r="I393" s="18" t="s">
        <v>1307</v>
      </c>
      <c r="J393" s="18">
        <v>45351</v>
      </c>
      <c r="K393" s="18" t="s">
        <v>1308</v>
      </c>
      <c r="L393" s="18" t="s">
        <v>347</v>
      </c>
      <c r="M393" s="18">
        <v>372.62</v>
      </c>
      <c r="N393" s="18">
        <v>3</v>
      </c>
      <c r="O393" s="18" t="s">
        <v>65</v>
      </c>
      <c r="P393" s="18">
        <v>5</v>
      </c>
      <c r="Q393" s="18">
        <v>54</v>
      </c>
      <c r="R393" s="18">
        <v>45352</v>
      </c>
      <c r="S393" s="18" t="s">
        <v>1309</v>
      </c>
      <c r="T393" s="18">
        <v>1</v>
      </c>
      <c r="U393" s="18">
        <v>1117.8600000000001</v>
      </c>
      <c r="V393" s="19">
        <v>0</v>
      </c>
      <c r="W393" s="18">
        <v>1117.8600000000001</v>
      </c>
      <c r="X393" s="18">
        <v>1117.8600000000001</v>
      </c>
      <c r="Y393" s="18" t="s">
        <v>2111</v>
      </c>
      <c r="Z393" s="18" t="s">
        <v>2060</v>
      </c>
      <c r="AA393" s="20">
        <v>6</v>
      </c>
      <c r="AB393">
        <v>169.928</v>
      </c>
    </row>
    <row r="394" spans="1:28">
      <c r="A394" s="15" t="s">
        <v>296</v>
      </c>
      <c r="B394" s="15" t="s">
        <v>297</v>
      </c>
      <c r="C394" s="15" t="s">
        <v>298</v>
      </c>
      <c r="D394" s="15">
        <v>48</v>
      </c>
      <c r="E394" s="15" t="s">
        <v>43</v>
      </c>
      <c r="F394" s="15" t="s">
        <v>92</v>
      </c>
      <c r="G394" s="15" t="s">
        <v>299</v>
      </c>
      <c r="H394" s="15" t="s">
        <v>300</v>
      </c>
      <c r="I394" s="15" t="s">
        <v>1201</v>
      </c>
      <c r="J394" s="15">
        <v>45616</v>
      </c>
      <c r="K394" s="15" t="s">
        <v>1202</v>
      </c>
      <c r="L394" s="15" t="s">
        <v>249</v>
      </c>
      <c r="M394" s="15">
        <v>282.63</v>
      </c>
      <c r="N394" s="15">
        <v>4</v>
      </c>
      <c r="O394" s="15" t="s">
        <v>98</v>
      </c>
      <c r="P394" s="15">
        <v>1</v>
      </c>
      <c r="Q394" s="15">
        <v>60</v>
      </c>
      <c r="R394" s="15">
        <v>45618</v>
      </c>
      <c r="S394" s="15" t="s">
        <v>1203</v>
      </c>
      <c r="T394" s="15">
        <v>2</v>
      </c>
      <c r="U394" s="15">
        <v>1130.52</v>
      </c>
      <c r="V394" s="16">
        <v>0.1</v>
      </c>
      <c r="W394" s="15">
        <v>1017.468</v>
      </c>
      <c r="X394" s="15">
        <v>1077.4679999999998</v>
      </c>
      <c r="Y394" s="15" t="s">
        <v>2080</v>
      </c>
      <c r="Z394" s="15" t="s">
        <v>2064</v>
      </c>
      <c r="AA394" s="17">
        <v>9</v>
      </c>
      <c r="AB394">
        <v>0</v>
      </c>
    </row>
    <row r="395" spans="1:28">
      <c r="A395" s="18" t="s">
        <v>510</v>
      </c>
      <c r="B395" s="18" t="s">
        <v>511</v>
      </c>
      <c r="C395" s="18" t="s">
        <v>512</v>
      </c>
      <c r="D395" s="18">
        <v>64</v>
      </c>
      <c r="E395" s="18" t="s">
        <v>31</v>
      </c>
      <c r="F395" s="18" t="s">
        <v>32</v>
      </c>
      <c r="G395" s="18" t="s">
        <v>513</v>
      </c>
      <c r="H395" s="18" t="s">
        <v>514</v>
      </c>
      <c r="I395" s="18" t="s">
        <v>1277</v>
      </c>
      <c r="J395" s="18">
        <v>45188</v>
      </c>
      <c r="K395" s="18" t="s">
        <v>1278</v>
      </c>
      <c r="L395" s="18" t="s">
        <v>249</v>
      </c>
      <c r="M395" s="18">
        <v>282.63</v>
      </c>
      <c r="N395" s="18">
        <v>4</v>
      </c>
      <c r="O395" s="18" t="s">
        <v>98</v>
      </c>
      <c r="P395" s="18">
        <v>3</v>
      </c>
      <c r="Q395" s="18">
        <v>52</v>
      </c>
      <c r="R395" s="18">
        <v>45191</v>
      </c>
      <c r="S395" s="18" t="s">
        <v>1279</v>
      </c>
      <c r="T395" s="18">
        <v>3</v>
      </c>
      <c r="U395" s="18">
        <v>1130.52</v>
      </c>
      <c r="V395" s="19">
        <v>0.1</v>
      </c>
      <c r="W395" s="18">
        <v>1017.468</v>
      </c>
      <c r="X395" s="18">
        <v>1069.4679999999998</v>
      </c>
      <c r="Y395" s="18" t="s">
        <v>2096</v>
      </c>
      <c r="Z395" s="18" t="s">
        <v>2072</v>
      </c>
      <c r="AA395" s="20">
        <v>2</v>
      </c>
      <c r="AB395">
        <v>87.644999999999996</v>
      </c>
    </row>
    <row r="396" spans="1:28">
      <c r="A396" s="15" t="s">
        <v>989</v>
      </c>
      <c r="B396" s="15" t="s">
        <v>990</v>
      </c>
      <c r="C396" s="15" t="s">
        <v>991</v>
      </c>
      <c r="D396" s="15">
        <v>49</v>
      </c>
      <c r="E396" s="15" t="s">
        <v>31</v>
      </c>
      <c r="F396" s="15" t="s">
        <v>44</v>
      </c>
      <c r="G396" s="15" t="s">
        <v>992</v>
      </c>
      <c r="H396" s="15" t="s">
        <v>993</v>
      </c>
      <c r="I396" s="15" t="s">
        <v>1531</v>
      </c>
      <c r="J396" s="15">
        <v>45122</v>
      </c>
      <c r="K396" s="15" t="s">
        <v>1532</v>
      </c>
      <c r="L396" s="15" t="s">
        <v>249</v>
      </c>
      <c r="M396" s="15">
        <v>282.63</v>
      </c>
      <c r="N396" s="15">
        <v>4</v>
      </c>
      <c r="O396" s="15" t="s">
        <v>98</v>
      </c>
      <c r="P396" s="15">
        <v>1</v>
      </c>
      <c r="Q396" s="15">
        <v>48</v>
      </c>
      <c r="R396" s="15">
        <v>45125</v>
      </c>
      <c r="S396" s="15" t="s">
        <v>1533</v>
      </c>
      <c r="T396" s="15">
        <v>3</v>
      </c>
      <c r="U396" s="15">
        <v>1130.52</v>
      </c>
      <c r="V396" s="16">
        <v>0.1</v>
      </c>
      <c r="W396" s="15">
        <v>1017.468</v>
      </c>
      <c r="X396" s="15">
        <v>1065.4679999999998</v>
      </c>
      <c r="Y396" s="15" t="s">
        <v>2159</v>
      </c>
      <c r="Z396" s="15" t="s">
        <v>2064</v>
      </c>
      <c r="AA396" s="17">
        <v>12</v>
      </c>
      <c r="AB396">
        <v>55.893000000000001</v>
      </c>
    </row>
    <row r="397" spans="1:28">
      <c r="A397" s="18" t="s">
        <v>510</v>
      </c>
      <c r="B397" s="18" t="s">
        <v>511</v>
      </c>
      <c r="C397" s="18" t="s">
        <v>512</v>
      </c>
      <c r="D397" s="18">
        <v>64</v>
      </c>
      <c r="E397" s="18" t="s">
        <v>31</v>
      </c>
      <c r="F397" s="18" t="s">
        <v>32</v>
      </c>
      <c r="G397" s="18" t="s">
        <v>513</v>
      </c>
      <c r="H397" s="18" t="s">
        <v>514</v>
      </c>
      <c r="I397" s="18" t="s">
        <v>872</v>
      </c>
      <c r="J397" s="18">
        <v>45576</v>
      </c>
      <c r="K397" s="18" t="s">
        <v>873</v>
      </c>
      <c r="L397" s="18" t="s">
        <v>874</v>
      </c>
      <c r="M397" s="18">
        <v>292.14999999999998</v>
      </c>
      <c r="N397" s="18">
        <v>4</v>
      </c>
      <c r="O397" s="18" t="s">
        <v>87</v>
      </c>
      <c r="P397" s="18">
        <v>1</v>
      </c>
      <c r="Q397" s="18">
        <v>58</v>
      </c>
      <c r="R397" s="18">
        <v>45577</v>
      </c>
      <c r="S397" s="18" t="s">
        <v>875</v>
      </c>
      <c r="T397" s="18">
        <v>1</v>
      </c>
      <c r="U397" s="18">
        <v>1168.5999999999999</v>
      </c>
      <c r="V397" s="19">
        <v>0.2</v>
      </c>
      <c r="W397" s="18">
        <v>934.87999999999988</v>
      </c>
      <c r="X397" s="18">
        <v>992.87999999999988</v>
      </c>
      <c r="Y397" s="18" t="s">
        <v>2096</v>
      </c>
      <c r="Z397" s="18" t="s">
        <v>2072</v>
      </c>
      <c r="AA397" s="20">
        <v>2</v>
      </c>
      <c r="AB397">
        <v>21.802500000000002</v>
      </c>
    </row>
    <row r="398" spans="1:28">
      <c r="A398" s="15" t="s">
        <v>538</v>
      </c>
      <c r="B398" s="15" t="s">
        <v>539</v>
      </c>
      <c r="C398" s="15" t="s">
        <v>540</v>
      </c>
      <c r="D398" s="15">
        <v>32</v>
      </c>
      <c r="E398" s="15" t="s">
        <v>54</v>
      </c>
      <c r="F398" s="15" t="s">
        <v>92</v>
      </c>
      <c r="G398" s="15" t="s">
        <v>541</v>
      </c>
      <c r="H398" s="15" t="s">
        <v>542</v>
      </c>
      <c r="I398" s="15" t="s">
        <v>958</v>
      </c>
      <c r="J398" s="15">
        <v>45125</v>
      </c>
      <c r="K398" s="15" t="s">
        <v>959</v>
      </c>
      <c r="L398" s="15" t="s">
        <v>660</v>
      </c>
      <c r="M398" s="15">
        <v>235.63</v>
      </c>
      <c r="N398" s="15">
        <v>5</v>
      </c>
      <c r="O398" s="15" t="s">
        <v>38</v>
      </c>
      <c r="P398" s="15">
        <v>4</v>
      </c>
      <c r="Q398" s="15">
        <v>52</v>
      </c>
      <c r="R398" s="15">
        <v>45129</v>
      </c>
      <c r="S398" s="15" t="s">
        <v>960</v>
      </c>
      <c r="T398" s="15">
        <v>4</v>
      </c>
      <c r="U398" s="15">
        <v>1178.1500000000001</v>
      </c>
      <c r="V398" s="16">
        <v>0.08</v>
      </c>
      <c r="W398" s="15">
        <v>1083.8980000000001</v>
      </c>
      <c r="X398" s="15">
        <v>1135.8980000000001</v>
      </c>
      <c r="Y398" s="15" t="s">
        <v>2121</v>
      </c>
      <c r="Z398" s="15" t="s">
        <v>2072</v>
      </c>
      <c r="AA398" s="17">
        <v>1</v>
      </c>
      <c r="AB398">
        <v>57.03</v>
      </c>
    </row>
    <row r="399" spans="1:28">
      <c r="A399" s="18" t="s">
        <v>642</v>
      </c>
      <c r="B399" s="18" t="s">
        <v>150</v>
      </c>
      <c r="C399" s="18" t="s">
        <v>643</v>
      </c>
      <c r="D399" s="18">
        <v>44</v>
      </c>
      <c r="E399" s="18" t="s">
        <v>54</v>
      </c>
      <c r="F399" s="18" t="s">
        <v>92</v>
      </c>
      <c r="G399" s="18" t="s">
        <v>644</v>
      </c>
      <c r="H399" s="18" t="s">
        <v>645</v>
      </c>
      <c r="I399" s="18" t="s">
        <v>1191</v>
      </c>
      <c r="J399" s="18">
        <v>45109</v>
      </c>
      <c r="K399" s="18" t="s">
        <v>1192</v>
      </c>
      <c r="L399" s="18" t="s">
        <v>660</v>
      </c>
      <c r="M399" s="18">
        <v>235.63</v>
      </c>
      <c r="N399" s="18">
        <v>5</v>
      </c>
      <c r="O399" s="18" t="s">
        <v>87</v>
      </c>
      <c r="P399" s="18">
        <v>6</v>
      </c>
      <c r="Q399" s="18">
        <v>63</v>
      </c>
      <c r="R399" s="18">
        <v>45114</v>
      </c>
      <c r="S399" s="18" t="s">
        <v>1193</v>
      </c>
      <c r="T399" s="18">
        <v>5</v>
      </c>
      <c r="U399" s="18">
        <v>1178.1500000000001</v>
      </c>
      <c r="V399" s="19">
        <v>0.2</v>
      </c>
      <c r="W399" s="18">
        <v>942.5200000000001</v>
      </c>
      <c r="X399" s="18">
        <v>1005.5200000000001</v>
      </c>
      <c r="Y399" s="18" t="s">
        <v>2065</v>
      </c>
      <c r="Z399" s="18" t="s">
        <v>2060</v>
      </c>
      <c r="AA399" s="20">
        <v>2</v>
      </c>
      <c r="AB399">
        <v>276.642</v>
      </c>
    </row>
    <row r="400" spans="1:28">
      <c r="A400" s="15" t="s">
        <v>642</v>
      </c>
      <c r="B400" s="15" t="s">
        <v>150</v>
      </c>
      <c r="C400" s="15" t="s">
        <v>643</v>
      </c>
      <c r="D400" s="15">
        <v>44</v>
      </c>
      <c r="E400" s="15" t="s">
        <v>54</v>
      </c>
      <c r="F400" s="15" t="s">
        <v>92</v>
      </c>
      <c r="G400" s="15" t="s">
        <v>644</v>
      </c>
      <c r="H400" s="15" t="s">
        <v>645</v>
      </c>
      <c r="I400" s="15" t="s">
        <v>1039</v>
      </c>
      <c r="J400" s="15">
        <v>45208</v>
      </c>
      <c r="K400" s="15" t="s">
        <v>1040</v>
      </c>
      <c r="L400" s="15" t="s">
        <v>593</v>
      </c>
      <c r="M400" s="15">
        <v>403.03</v>
      </c>
      <c r="N400" s="15">
        <v>3</v>
      </c>
      <c r="O400" s="15" t="s">
        <v>60</v>
      </c>
      <c r="P400" s="15">
        <v>4</v>
      </c>
      <c r="Q400" s="15">
        <v>67</v>
      </c>
      <c r="R400" s="15">
        <v>45213</v>
      </c>
      <c r="S400" s="15" t="s">
        <v>1041</v>
      </c>
      <c r="T400" s="15">
        <v>5</v>
      </c>
      <c r="U400" s="15">
        <v>1209.0899999999999</v>
      </c>
      <c r="V400" s="16">
        <v>0.15</v>
      </c>
      <c r="W400" s="15">
        <v>1027.7265</v>
      </c>
      <c r="X400" s="15">
        <v>1094.7265</v>
      </c>
      <c r="Y400" s="15" t="s">
        <v>2065</v>
      </c>
      <c r="Z400" s="15" t="s">
        <v>2064</v>
      </c>
      <c r="AA400" s="17">
        <v>1</v>
      </c>
      <c r="AB400">
        <v>63.055999999999997</v>
      </c>
    </row>
    <row r="401" spans="1:28">
      <c r="A401" s="18" t="s">
        <v>549</v>
      </c>
      <c r="B401" s="18" t="s">
        <v>550</v>
      </c>
      <c r="C401" s="18" t="s">
        <v>551</v>
      </c>
      <c r="D401" s="18">
        <v>33</v>
      </c>
      <c r="E401" s="18" t="s">
        <v>54</v>
      </c>
      <c r="F401" s="18" t="s">
        <v>170</v>
      </c>
      <c r="G401" s="18" t="s">
        <v>552</v>
      </c>
      <c r="H401" s="18" t="s">
        <v>553</v>
      </c>
      <c r="I401" s="18" t="s">
        <v>1256</v>
      </c>
      <c r="J401" s="18">
        <v>45383</v>
      </c>
      <c r="K401" s="18" t="s">
        <v>1257</v>
      </c>
      <c r="L401" s="18" t="s">
        <v>593</v>
      </c>
      <c r="M401" s="18">
        <v>403.03</v>
      </c>
      <c r="N401" s="18">
        <v>3</v>
      </c>
      <c r="O401" s="18" t="s">
        <v>60</v>
      </c>
      <c r="P401" s="18">
        <v>5</v>
      </c>
      <c r="Q401" s="18">
        <v>44</v>
      </c>
      <c r="R401" s="18">
        <v>45384</v>
      </c>
      <c r="S401" s="18" t="s">
        <v>1258</v>
      </c>
      <c r="T401" s="18">
        <v>1</v>
      </c>
      <c r="U401" s="18">
        <v>1209.0899999999999</v>
      </c>
      <c r="V401" s="19">
        <v>0.15</v>
      </c>
      <c r="W401" s="18">
        <v>1027.7265</v>
      </c>
      <c r="X401" s="18">
        <v>1071.7265</v>
      </c>
      <c r="Y401" s="18" t="s">
        <v>2149</v>
      </c>
      <c r="Z401" s="18" t="s">
        <v>2060</v>
      </c>
      <c r="AA401" s="20">
        <v>7</v>
      </c>
      <c r="AB401">
        <v>106.99440000000001</v>
      </c>
    </row>
    <row r="402" spans="1:28">
      <c r="A402" s="15" t="s">
        <v>377</v>
      </c>
      <c r="B402" s="15" t="s">
        <v>42</v>
      </c>
      <c r="C402" s="15" t="s">
        <v>378</v>
      </c>
      <c r="D402" s="15">
        <v>50</v>
      </c>
      <c r="E402" s="15" t="s">
        <v>54</v>
      </c>
      <c r="F402" s="15" t="s">
        <v>142</v>
      </c>
      <c r="G402" s="15" t="s">
        <v>379</v>
      </c>
      <c r="H402" s="15" t="s">
        <v>380</v>
      </c>
      <c r="I402" s="15" t="s">
        <v>1900</v>
      </c>
      <c r="J402" s="15">
        <v>45149</v>
      </c>
      <c r="K402" s="15" t="s">
        <v>1901</v>
      </c>
      <c r="L402" s="15" t="s">
        <v>64</v>
      </c>
      <c r="M402" s="15">
        <v>405</v>
      </c>
      <c r="N402" s="15">
        <v>3</v>
      </c>
      <c r="O402" s="15" t="s">
        <v>98</v>
      </c>
      <c r="P402" s="15">
        <v>6</v>
      </c>
      <c r="Q402" s="15">
        <v>36</v>
      </c>
      <c r="R402" s="15">
        <v>45153</v>
      </c>
      <c r="S402" s="15" t="s">
        <v>1902</v>
      </c>
      <c r="T402" s="15">
        <v>4</v>
      </c>
      <c r="U402" s="15">
        <v>1215</v>
      </c>
      <c r="V402" s="16">
        <v>0.1</v>
      </c>
      <c r="W402" s="15">
        <v>1093.5</v>
      </c>
      <c r="X402" s="15">
        <v>1129.5</v>
      </c>
      <c r="Y402" s="15" t="s">
        <v>2124</v>
      </c>
      <c r="Z402" s="15" t="s">
        <v>2060</v>
      </c>
      <c r="AA402" s="17">
        <v>12</v>
      </c>
      <c r="AB402">
        <v>288.88799999999998</v>
      </c>
    </row>
    <row r="403" spans="1:28">
      <c r="A403" s="18" t="s">
        <v>204</v>
      </c>
      <c r="B403" s="18" t="s">
        <v>205</v>
      </c>
      <c r="C403" s="18" t="s">
        <v>206</v>
      </c>
      <c r="D403" s="18">
        <v>23</v>
      </c>
      <c r="E403" s="18" t="s">
        <v>31</v>
      </c>
      <c r="F403" s="18" t="s">
        <v>92</v>
      </c>
      <c r="G403" s="18" t="s">
        <v>207</v>
      </c>
      <c r="H403" s="18" t="s">
        <v>208</v>
      </c>
      <c r="I403" s="18" t="s">
        <v>1996</v>
      </c>
      <c r="J403" s="18">
        <v>45373</v>
      </c>
      <c r="K403" s="18" t="s">
        <v>1997</v>
      </c>
      <c r="L403" s="18" t="s">
        <v>64</v>
      </c>
      <c r="M403" s="18">
        <v>405</v>
      </c>
      <c r="N403" s="18">
        <v>3</v>
      </c>
      <c r="O403" s="18" t="s">
        <v>98</v>
      </c>
      <c r="P403" s="18">
        <v>5</v>
      </c>
      <c r="Q403" s="18">
        <v>54</v>
      </c>
      <c r="R403" s="18">
        <v>45379</v>
      </c>
      <c r="S403" s="18" t="s">
        <v>1998</v>
      </c>
      <c r="T403" s="18">
        <v>6</v>
      </c>
      <c r="U403" s="18">
        <v>1215</v>
      </c>
      <c r="V403" s="19">
        <v>0.1</v>
      </c>
      <c r="W403" s="18">
        <v>1093.5</v>
      </c>
      <c r="X403" s="18">
        <v>1147.5</v>
      </c>
      <c r="Y403" s="18" t="s">
        <v>2158</v>
      </c>
      <c r="Z403" s="18" t="s">
        <v>2064</v>
      </c>
      <c r="AA403" s="20">
        <v>4</v>
      </c>
      <c r="AB403">
        <v>20.042999999999999</v>
      </c>
    </row>
    <row r="404" spans="1:28">
      <c r="A404" s="15" t="s">
        <v>649</v>
      </c>
      <c r="B404" s="15" t="s">
        <v>650</v>
      </c>
      <c r="C404" s="15" t="s">
        <v>651</v>
      </c>
      <c r="D404" s="15">
        <v>45</v>
      </c>
      <c r="E404" s="15" t="s">
        <v>54</v>
      </c>
      <c r="F404" s="15" t="s">
        <v>92</v>
      </c>
      <c r="G404" s="15" t="s">
        <v>652</v>
      </c>
      <c r="H404" s="15" t="s">
        <v>653</v>
      </c>
      <c r="I404" s="15" t="s">
        <v>1141</v>
      </c>
      <c r="J404" s="15">
        <v>45677</v>
      </c>
      <c r="K404" s="15" t="s">
        <v>1142</v>
      </c>
      <c r="L404" s="15" t="s">
        <v>498</v>
      </c>
      <c r="M404" s="15">
        <v>421.7</v>
      </c>
      <c r="N404" s="15">
        <v>3</v>
      </c>
      <c r="O404" s="15" t="s">
        <v>98</v>
      </c>
      <c r="P404" s="15">
        <v>6</v>
      </c>
      <c r="Q404" s="15">
        <v>38</v>
      </c>
      <c r="R404" s="15">
        <v>45680</v>
      </c>
      <c r="S404" s="15" t="s">
        <v>1143</v>
      </c>
      <c r="T404" s="15">
        <v>3</v>
      </c>
      <c r="U404" s="15">
        <v>1265.0999999999999</v>
      </c>
      <c r="V404" s="16">
        <v>0.1</v>
      </c>
      <c r="W404" s="15">
        <v>1138.5899999999999</v>
      </c>
      <c r="X404" s="15">
        <v>1176.5899999999999</v>
      </c>
      <c r="Y404" s="15" t="s">
        <v>2114</v>
      </c>
      <c r="Z404" s="15" t="s">
        <v>2060</v>
      </c>
      <c r="AA404" s="17">
        <v>2</v>
      </c>
      <c r="AB404">
        <v>127.67700000000001</v>
      </c>
    </row>
    <row r="405" spans="1:28">
      <c r="A405" s="18" t="s">
        <v>1082</v>
      </c>
      <c r="B405" s="18" t="s">
        <v>221</v>
      </c>
      <c r="C405" s="18" t="s">
        <v>1083</v>
      </c>
      <c r="D405" s="18">
        <v>55</v>
      </c>
      <c r="E405" s="18" t="s">
        <v>43</v>
      </c>
      <c r="F405" s="18" t="s">
        <v>161</v>
      </c>
      <c r="G405" s="18" t="s">
        <v>1084</v>
      </c>
      <c r="H405" s="18" t="s">
        <v>1085</v>
      </c>
      <c r="I405" s="18" t="s">
        <v>1409</v>
      </c>
      <c r="J405" s="18">
        <v>45567</v>
      </c>
      <c r="K405" s="18" t="s">
        <v>1410</v>
      </c>
      <c r="L405" s="18" t="s">
        <v>498</v>
      </c>
      <c r="M405" s="18">
        <v>421.7</v>
      </c>
      <c r="N405" s="18">
        <v>3</v>
      </c>
      <c r="O405" s="18" t="s">
        <v>38</v>
      </c>
      <c r="P405" s="18">
        <v>5</v>
      </c>
      <c r="Q405" s="18">
        <v>54</v>
      </c>
      <c r="R405" s="18">
        <v>45571</v>
      </c>
      <c r="S405" s="18" t="s">
        <v>1411</v>
      </c>
      <c r="T405" s="18">
        <v>4</v>
      </c>
      <c r="U405" s="18">
        <v>1265.0999999999999</v>
      </c>
      <c r="V405" s="19">
        <v>0.08</v>
      </c>
      <c r="W405" s="18">
        <v>1163.8919999999998</v>
      </c>
      <c r="X405" s="18">
        <v>1217.8919999999998</v>
      </c>
      <c r="Y405" s="18" t="s">
        <v>2107</v>
      </c>
      <c r="Z405" s="18" t="s">
        <v>2060</v>
      </c>
      <c r="AA405" s="20">
        <v>8</v>
      </c>
      <c r="AB405">
        <v>477.52</v>
      </c>
    </row>
    <row r="406" spans="1:28">
      <c r="A406" s="15" t="s">
        <v>404</v>
      </c>
      <c r="B406" s="15" t="s">
        <v>405</v>
      </c>
      <c r="C406" s="15" t="s">
        <v>406</v>
      </c>
      <c r="D406" s="15">
        <v>70</v>
      </c>
      <c r="E406" s="15" t="s">
        <v>31</v>
      </c>
      <c r="F406" s="15" t="s">
        <v>32</v>
      </c>
      <c r="G406" s="15" t="s">
        <v>407</v>
      </c>
      <c r="H406" s="15" t="s">
        <v>408</v>
      </c>
      <c r="I406" s="15" t="s">
        <v>1706</v>
      </c>
      <c r="J406" s="15">
        <v>45172</v>
      </c>
      <c r="K406" s="15" t="s">
        <v>1707</v>
      </c>
      <c r="L406" s="15" t="s">
        <v>498</v>
      </c>
      <c r="M406" s="15">
        <v>421.7</v>
      </c>
      <c r="N406" s="15">
        <v>3</v>
      </c>
      <c r="O406" s="15" t="s">
        <v>65</v>
      </c>
      <c r="P406" s="15">
        <v>3</v>
      </c>
      <c r="Q406" s="15">
        <v>56</v>
      </c>
      <c r="R406" s="15">
        <v>45177</v>
      </c>
      <c r="S406" s="15" t="s">
        <v>1708</v>
      </c>
      <c r="T406" s="15">
        <v>5</v>
      </c>
      <c r="U406" s="15">
        <v>1265.0999999999999</v>
      </c>
      <c r="V406" s="16">
        <v>0</v>
      </c>
      <c r="W406" s="15">
        <v>1265.0999999999999</v>
      </c>
      <c r="X406" s="15">
        <v>1265.0999999999999</v>
      </c>
      <c r="Y406" s="15" t="s">
        <v>2073</v>
      </c>
      <c r="Z406" s="15" t="s">
        <v>2064</v>
      </c>
      <c r="AA406" s="17">
        <v>6</v>
      </c>
      <c r="AB406">
        <v>67.831199999999995</v>
      </c>
    </row>
    <row r="407" spans="1:28">
      <c r="A407" s="18" t="s">
        <v>415</v>
      </c>
      <c r="B407" s="18" t="s">
        <v>231</v>
      </c>
      <c r="C407" s="18" t="s">
        <v>416</v>
      </c>
      <c r="D407" s="18">
        <v>28</v>
      </c>
      <c r="E407" s="18" t="s">
        <v>54</v>
      </c>
      <c r="F407" s="18" t="s">
        <v>142</v>
      </c>
      <c r="G407" s="18" t="s">
        <v>417</v>
      </c>
      <c r="H407" s="18" t="s">
        <v>418</v>
      </c>
      <c r="I407" s="18" t="s">
        <v>799</v>
      </c>
      <c r="J407" s="18">
        <v>45213</v>
      </c>
      <c r="K407" s="18" t="s">
        <v>800</v>
      </c>
      <c r="L407" s="18" t="s">
        <v>689</v>
      </c>
      <c r="M407" s="18">
        <v>424.82</v>
      </c>
      <c r="N407" s="18">
        <v>3</v>
      </c>
      <c r="O407" s="18" t="s">
        <v>38</v>
      </c>
      <c r="P407" s="18">
        <v>2</v>
      </c>
      <c r="Q407" s="18">
        <v>67</v>
      </c>
      <c r="R407" s="18">
        <v>45215</v>
      </c>
      <c r="S407" s="18" t="s">
        <v>801</v>
      </c>
      <c r="T407" s="18">
        <v>2</v>
      </c>
      <c r="U407" s="18">
        <v>1274.46</v>
      </c>
      <c r="V407" s="19">
        <v>0.08</v>
      </c>
      <c r="W407" s="18">
        <v>1172.5032000000001</v>
      </c>
      <c r="X407" s="18">
        <v>1239.5032000000001</v>
      </c>
      <c r="Y407" s="18" t="s">
        <v>2088</v>
      </c>
      <c r="Z407" s="18" t="s">
        <v>2072</v>
      </c>
      <c r="AA407" s="20">
        <v>2</v>
      </c>
      <c r="AB407">
        <v>31.527999999999999</v>
      </c>
    </row>
    <row r="408" spans="1:28">
      <c r="A408" s="15" t="s">
        <v>1213</v>
      </c>
      <c r="B408" s="15" t="s">
        <v>1214</v>
      </c>
      <c r="C408" s="15" t="s">
        <v>1215</v>
      </c>
      <c r="D408" s="15">
        <v>50</v>
      </c>
      <c r="E408" s="15" t="s">
        <v>54</v>
      </c>
      <c r="F408" s="15" t="s">
        <v>170</v>
      </c>
      <c r="G408" s="15" t="s">
        <v>1216</v>
      </c>
      <c r="H408" s="15" t="s">
        <v>1217</v>
      </c>
      <c r="I408" s="15" t="s">
        <v>1332</v>
      </c>
      <c r="J408" s="15">
        <v>45481</v>
      </c>
      <c r="K408" s="15" t="s">
        <v>1333</v>
      </c>
      <c r="L408" s="15" t="s">
        <v>689</v>
      </c>
      <c r="M408" s="15">
        <v>424.82</v>
      </c>
      <c r="N408" s="15">
        <v>3</v>
      </c>
      <c r="O408" s="15" t="s">
        <v>65</v>
      </c>
      <c r="P408" s="15">
        <v>3</v>
      </c>
      <c r="Q408" s="15">
        <v>42</v>
      </c>
      <c r="R408" s="15">
        <v>45482</v>
      </c>
      <c r="S408" s="15" t="s">
        <v>1334</v>
      </c>
      <c r="T408" s="15">
        <v>1</v>
      </c>
      <c r="U408" s="15">
        <v>1274.46</v>
      </c>
      <c r="V408" s="16">
        <v>0</v>
      </c>
      <c r="W408" s="15">
        <v>1274.46</v>
      </c>
      <c r="X408" s="15">
        <v>1274.46</v>
      </c>
      <c r="Y408" s="15" t="s">
        <v>2100</v>
      </c>
      <c r="Z408" s="15" t="s">
        <v>2060</v>
      </c>
      <c r="AA408" s="17">
        <v>6</v>
      </c>
      <c r="AB408">
        <v>4.8450000000000006</v>
      </c>
    </row>
    <row r="409" spans="1:28">
      <c r="A409" s="18" t="s">
        <v>423</v>
      </c>
      <c r="B409" s="18" t="s">
        <v>424</v>
      </c>
      <c r="C409" s="18" t="s">
        <v>425</v>
      </c>
      <c r="D409" s="18">
        <v>52</v>
      </c>
      <c r="E409" s="18" t="s">
        <v>54</v>
      </c>
      <c r="F409" s="18" t="s">
        <v>223</v>
      </c>
      <c r="G409" s="18" t="s">
        <v>426</v>
      </c>
      <c r="H409" s="18" t="s">
        <v>427</v>
      </c>
      <c r="I409" s="18" t="s">
        <v>1098</v>
      </c>
      <c r="J409" s="18">
        <v>45001</v>
      </c>
      <c r="K409" s="18" t="s">
        <v>1099</v>
      </c>
      <c r="L409" s="18" t="s">
        <v>556</v>
      </c>
      <c r="M409" s="18">
        <v>425.59</v>
      </c>
      <c r="N409" s="18">
        <v>3</v>
      </c>
      <c r="O409" s="18" t="s">
        <v>38</v>
      </c>
      <c r="P409" s="18">
        <v>7</v>
      </c>
      <c r="Q409" s="18">
        <v>68</v>
      </c>
      <c r="R409" s="18">
        <v>45005</v>
      </c>
      <c r="S409" s="18" t="s">
        <v>812</v>
      </c>
      <c r="T409" s="18">
        <v>4</v>
      </c>
      <c r="U409" s="18">
        <v>1276.77</v>
      </c>
      <c r="V409" s="19">
        <v>0.08</v>
      </c>
      <c r="W409" s="18">
        <v>1174.6284000000001</v>
      </c>
      <c r="X409" s="18">
        <v>1242.6284000000001</v>
      </c>
      <c r="Y409" s="18" t="s">
        <v>2075</v>
      </c>
      <c r="Z409" s="18" t="s">
        <v>2060</v>
      </c>
      <c r="AA409" s="20">
        <v>3</v>
      </c>
      <c r="AB409">
        <v>58.43</v>
      </c>
    </row>
    <row r="410" spans="1:28">
      <c r="A410" s="15" t="s">
        <v>989</v>
      </c>
      <c r="B410" s="15" t="s">
        <v>990</v>
      </c>
      <c r="C410" s="15" t="s">
        <v>991</v>
      </c>
      <c r="D410" s="15">
        <v>49</v>
      </c>
      <c r="E410" s="15" t="s">
        <v>31</v>
      </c>
      <c r="F410" s="15" t="s">
        <v>44</v>
      </c>
      <c r="G410" s="15" t="s">
        <v>992</v>
      </c>
      <c r="H410" s="15" t="s">
        <v>993</v>
      </c>
      <c r="I410" s="15" t="s">
        <v>1382</v>
      </c>
      <c r="J410" s="15">
        <v>45092</v>
      </c>
      <c r="K410" s="15" t="s">
        <v>1383</v>
      </c>
      <c r="L410" s="15" t="s">
        <v>556</v>
      </c>
      <c r="M410" s="15">
        <v>425.59</v>
      </c>
      <c r="N410" s="15">
        <v>3</v>
      </c>
      <c r="O410" s="15" t="s">
        <v>38</v>
      </c>
      <c r="P410" s="15">
        <v>6</v>
      </c>
      <c r="Q410" s="15">
        <v>55</v>
      </c>
      <c r="R410" s="15">
        <v>45099</v>
      </c>
      <c r="S410" s="15" t="s">
        <v>1384</v>
      </c>
      <c r="T410" s="15">
        <v>7</v>
      </c>
      <c r="U410" s="15">
        <v>1276.77</v>
      </c>
      <c r="V410" s="16">
        <v>0.08</v>
      </c>
      <c r="W410" s="15">
        <v>1174.6284000000001</v>
      </c>
      <c r="X410" s="15">
        <v>1229.6284000000001</v>
      </c>
      <c r="Y410" s="15" t="s">
        <v>2159</v>
      </c>
      <c r="Z410" s="15" t="s">
        <v>2064</v>
      </c>
      <c r="AA410" s="17">
        <v>2</v>
      </c>
      <c r="AB410">
        <v>16</v>
      </c>
    </row>
    <row r="411" spans="1:28">
      <c r="A411" s="18" t="s">
        <v>1740</v>
      </c>
      <c r="B411" s="18" t="s">
        <v>1741</v>
      </c>
      <c r="C411" s="18" t="s">
        <v>1742</v>
      </c>
      <c r="D411" s="18">
        <v>47</v>
      </c>
      <c r="E411" s="18" t="s">
        <v>43</v>
      </c>
      <c r="F411" s="18" t="s">
        <v>32</v>
      </c>
      <c r="G411" s="18" t="s">
        <v>1743</v>
      </c>
      <c r="H411" s="18" t="s">
        <v>1744</v>
      </c>
      <c r="I411" s="18" t="s">
        <v>1745</v>
      </c>
      <c r="J411" s="18">
        <v>45327</v>
      </c>
      <c r="K411" s="18" t="s">
        <v>1746</v>
      </c>
      <c r="L411" s="18" t="s">
        <v>556</v>
      </c>
      <c r="M411" s="18">
        <v>425.59</v>
      </c>
      <c r="N411" s="18">
        <v>3</v>
      </c>
      <c r="O411" s="18" t="s">
        <v>98</v>
      </c>
      <c r="P411" s="18">
        <v>7</v>
      </c>
      <c r="Q411" s="18">
        <v>51</v>
      </c>
      <c r="R411" s="18">
        <v>45330</v>
      </c>
      <c r="S411" s="18" t="s">
        <v>1747</v>
      </c>
      <c r="T411" s="18">
        <v>3</v>
      </c>
      <c r="U411" s="18">
        <v>1276.77</v>
      </c>
      <c r="V411" s="19">
        <v>0.1</v>
      </c>
      <c r="W411" s="18">
        <v>1149.0930000000001</v>
      </c>
      <c r="X411" s="18">
        <v>1200.0930000000001</v>
      </c>
      <c r="Y411" s="18" t="s">
        <v>2112</v>
      </c>
      <c r="Z411" s="18" t="s">
        <v>2060</v>
      </c>
      <c r="AA411" s="20">
        <v>1</v>
      </c>
      <c r="AB411">
        <v>14.535</v>
      </c>
    </row>
    <row r="412" spans="1:28">
      <c r="A412" s="15" t="s">
        <v>1045</v>
      </c>
      <c r="B412" s="15" t="s">
        <v>76</v>
      </c>
      <c r="C412" s="15" t="s">
        <v>1046</v>
      </c>
      <c r="D412" s="15">
        <v>46</v>
      </c>
      <c r="E412" s="15" t="s">
        <v>31</v>
      </c>
      <c r="F412" s="15" t="s">
        <v>32</v>
      </c>
      <c r="G412" s="15" t="s">
        <v>1047</v>
      </c>
      <c r="H412" s="15" t="s">
        <v>1048</v>
      </c>
      <c r="I412" s="15" t="s">
        <v>1926</v>
      </c>
      <c r="J412" s="15">
        <v>44980</v>
      </c>
      <c r="K412" s="15" t="s">
        <v>1927</v>
      </c>
      <c r="L412" s="15" t="s">
        <v>386</v>
      </c>
      <c r="M412" s="15">
        <v>431.44</v>
      </c>
      <c r="N412" s="15">
        <v>3</v>
      </c>
      <c r="O412" s="15" t="s">
        <v>38</v>
      </c>
      <c r="P412" s="15">
        <v>6</v>
      </c>
      <c r="Q412" s="15">
        <v>70</v>
      </c>
      <c r="R412" s="15">
        <v>44983</v>
      </c>
      <c r="S412" s="15" t="s">
        <v>1928</v>
      </c>
      <c r="T412" s="15">
        <v>3</v>
      </c>
      <c r="U412" s="15">
        <v>1294.32</v>
      </c>
      <c r="V412" s="16">
        <v>0.08</v>
      </c>
      <c r="W412" s="15">
        <v>1190.7744</v>
      </c>
      <c r="X412" s="15">
        <v>1260.7744</v>
      </c>
      <c r="Y412" s="15" t="s">
        <v>2156</v>
      </c>
      <c r="Z412" s="15" t="s">
        <v>2060</v>
      </c>
      <c r="AA412" s="17">
        <v>9</v>
      </c>
      <c r="AB412">
        <v>50.475999999999999</v>
      </c>
    </row>
    <row r="413" spans="1:28">
      <c r="A413" s="18" t="s">
        <v>1321</v>
      </c>
      <c r="B413" s="18" t="s">
        <v>1322</v>
      </c>
      <c r="C413" s="18" t="s">
        <v>1323</v>
      </c>
      <c r="D413" s="18">
        <v>43</v>
      </c>
      <c r="E413" s="18" t="s">
        <v>31</v>
      </c>
      <c r="F413" s="18" t="s">
        <v>142</v>
      </c>
      <c r="G413" s="18" t="s">
        <v>1324</v>
      </c>
      <c r="H413" s="18" t="s">
        <v>1325</v>
      </c>
      <c r="I413" s="18" t="s">
        <v>1946</v>
      </c>
      <c r="J413" s="18">
        <v>45087</v>
      </c>
      <c r="K413" s="18" t="s">
        <v>1947</v>
      </c>
      <c r="L413" s="18" t="s">
        <v>386</v>
      </c>
      <c r="M413" s="18">
        <v>431.44</v>
      </c>
      <c r="N413" s="18">
        <v>3</v>
      </c>
      <c r="O413" s="18" t="s">
        <v>60</v>
      </c>
      <c r="P413" s="18">
        <v>4</v>
      </c>
      <c r="Q413" s="18">
        <v>58</v>
      </c>
      <c r="R413" s="18">
        <v>45092</v>
      </c>
      <c r="S413" s="18" t="s">
        <v>1948</v>
      </c>
      <c r="T413" s="18">
        <v>5</v>
      </c>
      <c r="U413" s="18">
        <v>1294.32</v>
      </c>
      <c r="V413" s="19">
        <v>0.15</v>
      </c>
      <c r="W413" s="18">
        <v>1100.172</v>
      </c>
      <c r="X413" s="18">
        <v>1158.172</v>
      </c>
      <c r="Y413" s="18" t="s">
        <v>2103</v>
      </c>
      <c r="Z413" s="18" t="s">
        <v>2064</v>
      </c>
      <c r="AA413" s="20">
        <v>4</v>
      </c>
      <c r="AB413">
        <v>40.380800000000001</v>
      </c>
    </row>
    <row r="414" spans="1:28">
      <c r="A414" s="15" t="s">
        <v>674</v>
      </c>
      <c r="B414" s="15" t="s">
        <v>675</v>
      </c>
      <c r="C414" s="15" t="s">
        <v>676</v>
      </c>
      <c r="D414" s="15">
        <v>38</v>
      </c>
      <c r="E414" s="15" t="s">
        <v>43</v>
      </c>
      <c r="F414" s="15" t="s">
        <v>223</v>
      </c>
      <c r="G414" s="15" t="s">
        <v>677</v>
      </c>
      <c r="H414" s="15" t="s">
        <v>678</v>
      </c>
      <c r="I414" s="15" t="s">
        <v>1581</v>
      </c>
      <c r="J414" s="15">
        <v>45496</v>
      </c>
      <c r="K414" s="15" t="s">
        <v>1582</v>
      </c>
      <c r="L414" s="15" t="s">
        <v>656</v>
      </c>
      <c r="M414" s="15">
        <v>433.62</v>
      </c>
      <c r="N414" s="15">
        <v>3</v>
      </c>
      <c r="O414" s="15" t="s">
        <v>98</v>
      </c>
      <c r="P414" s="15">
        <v>2</v>
      </c>
      <c r="Q414" s="15">
        <v>39</v>
      </c>
      <c r="R414" s="15">
        <v>45499</v>
      </c>
      <c r="S414" s="15" t="s">
        <v>1583</v>
      </c>
      <c r="T414" s="15">
        <v>3</v>
      </c>
      <c r="U414" s="15">
        <v>1300.8600000000001</v>
      </c>
      <c r="V414" s="16">
        <v>0.1</v>
      </c>
      <c r="W414" s="15">
        <v>1170.7740000000001</v>
      </c>
      <c r="X414" s="15">
        <v>1209.7740000000001</v>
      </c>
      <c r="Y414" s="15" t="s">
        <v>2082</v>
      </c>
      <c r="Z414" s="15" t="s">
        <v>2064</v>
      </c>
      <c r="AA414" s="17">
        <v>4</v>
      </c>
      <c r="AB414">
        <v>0</v>
      </c>
    </row>
    <row r="415" spans="1:28">
      <c r="A415" s="18" t="s">
        <v>75</v>
      </c>
      <c r="B415" s="18" t="s">
        <v>76</v>
      </c>
      <c r="C415" s="18" t="s">
        <v>77</v>
      </c>
      <c r="D415" s="18">
        <v>53</v>
      </c>
      <c r="E415" s="18" t="s">
        <v>54</v>
      </c>
      <c r="F415" s="18" t="s">
        <v>78</v>
      </c>
      <c r="G415" s="18" t="s">
        <v>79</v>
      </c>
      <c r="H415" s="18" t="s">
        <v>80</v>
      </c>
      <c r="I415" s="18" t="s">
        <v>81</v>
      </c>
      <c r="J415" s="18">
        <v>45543</v>
      </c>
      <c r="K415" s="18" t="s">
        <v>82</v>
      </c>
      <c r="L415" s="18" t="s">
        <v>83</v>
      </c>
      <c r="M415" s="18">
        <v>330.11</v>
      </c>
      <c r="N415" s="18">
        <v>4</v>
      </c>
      <c r="O415" s="18" t="s">
        <v>60</v>
      </c>
      <c r="P415" s="18">
        <v>6</v>
      </c>
      <c r="Q415" s="18">
        <v>39</v>
      </c>
      <c r="R415" s="18">
        <v>45547</v>
      </c>
      <c r="S415" s="18" t="s">
        <v>84</v>
      </c>
      <c r="T415" s="18">
        <v>4</v>
      </c>
      <c r="U415" s="18">
        <v>1320.44</v>
      </c>
      <c r="V415" s="19">
        <v>0.15</v>
      </c>
      <c r="W415" s="18">
        <v>1122.374</v>
      </c>
      <c r="X415" s="18">
        <v>1161.374</v>
      </c>
      <c r="Y415" s="18" t="s">
        <v>2160</v>
      </c>
      <c r="Z415" s="18" t="s">
        <v>2060</v>
      </c>
      <c r="AA415" s="20">
        <v>4</v>
      </c>
      <c r="AB415">
        <v>254.892</v>
      </c>
    </row>
    <row r="416" spans="1:28">
      <c r="A416" s="15" t="s">
        <v>158</v>
      </c>
      <c r="B416" s="15" t="s">
        <v>159</v>
      </c>
      <c r="C416" s="15" t="s">
        <v>160</v>
      </c>
      <c r="D416" s="15">
        <v>24</v>
      </c>
      <c r="E416" s="15" t="s">
        <v>31</v>
      </c>
      <c r="F416" s="15" t="s">
        <v>161</v>
      </c>
      <c r="G416" s="15" t="s">
        <v>162</v>
      </c>
      <c r="H416" s="15" t="s">
        <v>163</v>
      </c>
      <c r="I416" s="15" t="s">
        <v>164</v>
      </c>
      <c r="J416" s="15">
        <v>45079</v>
      </c>
      <c r="K416" s="15" t="s">
        <v>165</v>
      </c>
      <c r="L416" s="15" t="s">
        <v>83</v>
      </c>
      <c r="M416" s="15">
        <v>330.11</v>
      </c>
      <c r="N416" s="15">
        <v>4</v>
      </c>
      <c r="O416" s="15" t="s">
        <v>65</v>
      </c>
      <c r="P416" s="15">
        <v>1</v>
      </c>
      <c r="Q416" s="15">
        <v>58</v>
      </c>
      <c r="R416" s="15">
        <v>45080</v>
      </c>
      <c r="S416" s="15" t="s">
        <v>166</v>
      </c>
      <c r="T416" s="15">
        <v>1</v>
      </c>
      <c r="U416" s="15">
        <v>1320.44</v>
      </c>
      <c r="V416" s="16">
        <v>0</v>
      </c>
      <c r="W416" s="15">
        <v>1320.44</v>
      </c>
      <c r="X416" s="15">
        <v>1320.44</v>
      </c>
      <c r="Y416" s="15" t="s">
        <v>2125</v>
      </c>
      <c r="Z416" s="15" t="s">
        <v>2072</v>
      </c>
      <c r="AA416" s="17">
        <v>9</v>
      </c>
      <c r="AB416">
        <v>4</v>
      </c>
    </row>
    <row r="417" spans="1:28">
      <c r="A417" s="18" t="s">
        <v>75</v>
      </c>
      <c r="B417" s="18" t="s">
        <v>76</v>
      </c>
      <c r="C417" s="18" t="s">
        <v>77</v>
      </c>
      <c r="D417" s="18">
        <v>53</v>
      </c>
      <c r="E417" s="18" t="s">
        <v>54</v>
      </c>
      <c r="F417" s="18" t="s">
        <v>78</v>
      </c>
      <c r="G417" s="18" t="s">
        <v>79</v>
      </c>
      <c r="H417" s="18" t="s">
        <v>80</v>
      </c>
      <c r="I417" s="18" t="s">
        <v>1021</v>
      </c>
      <c r="J417" s="18">
        <v>45561</v>
      </c>
      <c r="K417" s="18" t="s">
        <v>1022</v>
      </c>
      <c r="L417" s="18" t="s">
        <v>83</v>
      </c>
      <c r="M417" s="18">
        <v>330.11</v>
      </c>
      <c r="N417" s="18">
        <v>4</v>
      </c>
      <c r="O417" s="18" t="s">
        <v>87</v>
      </c>
      <c r="P417" s="18">
        <v>4</v>
      </c>
      <c r="Q417" s="18">
        <v>47</v>
      </c>
      <c r="R417" s="18">
        <v>45566</v>
      </c>
      <c r="S417" s="18" t="s">
        <v>1023</v>
      </c>
      <c r="T417" s="18">
        <v>5</v>
      </c>
      <c r="U417" s="18">
        <v>1320.44</v>
      </c>
      <c r="V417" s="19">
        <v>0.2</v>
      </c>
      <c r="W417" s="18">
        <v>1056.3520000000001</v>
      </c>
      <c r="X417" s="18">
        <v>1103.3520000000001</v>
      </c>
      <c r="Y417" s="18" t="s">
        <v>2160</v>
      </c>
      <c r="Z417" s="18" t="s">
        <v>2064</v>
      </c>
      <c r="AA417" s="20">
        <v>10</v>
      </c>
      <c r="AB417">
        <v>101.27</v>
      </c>
    </row>
    <row r="418" spans="1:28">
      <c r="A418" s="15" t="s">
        <v>538</v>
      </c>
      <c r="B418" s="15" t="s">
        <v>539</v>
      </c>
      <c r="C418" s="15" t="s">
        <v>540</v>
      </c>
      <c r="D418" s="15">
        <v>32</v>
      </c>
      <c r="E418" s="15" t="s">
        <v>54</v>
      </c>
      <c r="F418" s="15" t="s">
        <v>92</v>
      </c>
      <c r="G418" s="15" t="s">
        <v>541</v>
      </c>
      <c r="H418" s="15" t="s">
        <v>542</v>
      </c>
      <c r="I418" s="15" t="s">
        <v>1055</v>
      </c>
      <c r="J418" s="15">
        <v>45689</v>
      </c>
      <c r="K418" s="15" t="s">
        <v>1056</v>
      </c>
      <c r="L418" s="15" t="s">
        <v>83</v>
      </c>
      <c r="M418" s="15">
        <v>330.11</v>
      </c>
      <c r="N418" s="15">
        <v>4</v>
      </c>
      <c r="O418" s="15" t="s">
        <v>87</v>
      </c>
      <c r="P418" s="15">
        <v>2</v>
      </c>
      <c r="Q418" s="15">
        <v>69</v>
      </c>
      <c r="R418" s="15">
        <v>45695</v>
      </c>
      <c r="S418" s="15" t="s">
        <v>1057</v>
      </c>
      <c r="T418" s="15">
        <v>6</v>
      </c>
      <c r="U418" s="15">
        <v>1320.44</v>
      </c>
      <c r="V418" s="16">
        <v>0.2</v>
      </c>
      <c r="W418" s="15">
        <v>1056.3520000000001</v>
      </c>
      <c r="X418" s="15">
        <v>1125.3520000000001</v>
      </c>
      <c r="Y418" s="15" t="s">
        <v>2121</v>
      </c>
      <c r="Z418" s="15" t="s">
        <v>2064</v>
      </c>
      <c r="AA418" s="17">
        <v>3</v>
      </c>
      <c r="AB418">
        <v>43.616000000000007</v>
      </c>
    </row>
    <row r="419" spans="1:28">
      <c r="A419" s="18" t="s">
        <v>1241</v>
      </c>
      <c r="B419" s="18" t="s">
        <v>1242</v>
      </c>
      <c r="C419" s="18" t="s">
        <v>1243</v>
      </c>
      <c r="D419" s="18">
        <v>55</v>
      </c>
      <c r="E419" s="18" t="s">
        <v>43</v>
      </c>
      <c r="F419" s="18" t="s">
        <v>161</v>
      </c>
      <c r="G419" s="18" t="s">
        <v>1244</v>
      </c>
      <c r="H419" s="18" t="s">
        <v>1245</v>
      </c>
      <c r="I419" s="18" t="s">
        <v>1246</v>
      </c>
      <c r="J419" s="18">
        <v>45470</v>
      </c>
      <c r="K419" s="18" t="s">
        <v>1247</v>
      </c>
      <c r="L419" s="18" t="s">
        <v>521</v>
      </c>
      <c r="M419" s="18">
        <v>441.03</v>
      </c>
      <c r="N419" s="18">
        <v>3</v>
      </c>
      <c r="O419" s="18" t="s">
        <v>65</v>
      </c>
      <c r="P419" s="18">
        <v>4</v>
      </c>
      <c r="Q419" s="18">
        <v>47</v>
      </c>
      <c r="R419" s="18">
        <v>45473</v>
      </c>
      <c r="S419" s="18" t="s">
        <v>1248</v>
      </c>
      <c r="T419" s="18">
        <v>3</v>
      </c>
      <c r="U419" s="18">
        <v>1323.09</v>
      </c>
      <c r="V419" s="19">
        <v>0</v>
      </c>
      <c r="W419" s="18">
        <v>1323.09</v>
      </c>
      <c r="X419" s="18">
        <v>1323.09</v>
      </c>
      <c r="Y419" s="18" t="s">
        <v>2101</v>
      </c>
      <c r="Z419" s="18" t="s">
        <v>2060</v>
      </c>
      <c r="AA419" s="20">
        <v>1</v>
      </c>
      <c r="AB419">
        <v>0</v>
      </c>
    </row>
    <row r="420" spans="1:28">
      <c r="A420" s="15" t="s">
        <v>1213</v>
      </c>
      <c r="B420" s="15" t="s">
        <v>1214</v>
      </c>
      <c r="C420" s="15" t="s">
        <v>1215</v>
      </c>
      <c r="D420" s="15">
        <v>50</v>
      </c>
      <c r="E420" s="15" t="s">
        <v>54</v>
      </c>
      <c r="F420" s="15" t="s">
        <v>170</v>
      </c>
      <c r="G420" s="15" t="s">
        <v>1216</v>
      </c>
      <c r="H420" s="15" t="s">
        <v>1217</v>
      </c>
      <c r="I420" s="15" t="s">
        <v>1370</v>
      </c>
      <c r="J420" s="15">
        <v>45522</v>
      </c>
      <c r="K420" s="15" t="s">
        <v>1371</v>
      </c>
      <c r="L420" s="15" t="s">
        <v>521</v>
      </c>
      <c r="M420" s="15">
        <v>441.03</v>
      </c>
      <c r="N420" s="15">
        <v>3</v>
      </c>
      <c r="O420" s="15" t="s">
        <v>87</v>
      </c>
      <c r="P420" s="15">
        <v>4</v>
      </c>
      <c r="Q420" s="15">
        <v>40</v>
      </c>
      <c r="R420" s="15">
        <v>45528</v>
      </c>
      <c r="S420" s="15" t="s">
        <v>1372</v>
      </c>
      <c r="T420" s="15">
        <v>6</v>
      </c>
      <c r="U420" s="15">
        <v>1323.09</v>
      </c>
      <c r="V420" s="16">
        <v>0.2</v>
      </c>
      <c r="W420" s="15">
        <v>1058.472</v>
      </c>
      <c r="X420" s="15">
        <v>1098.472</v>
      </c>
      <c r="Y420" s="15" t="s">
        <v>2100</v>
      </c>
      <c r="Z420" s="15" t="s">
        <v>2064</v>
      </c>
      <c r="AA420" s="17">
        <v>8</v>
      </c>
      <c r="AB420">
        <v>107.47000000000001</v>
      </c>
    </row>
    <row r="421" spans="1:28">
      <c r="A421" s="18" t="s">
        <v>204</v>
      </c>
      <c r="B421" s="18" t="s">
        <v>205</v>
      </c>
      <c r="C421" s="18" t="s">
        <v>206</v>
      </c>
      <c r="D421" s="18">
        <v>23</v>
      </c>
      <c r="E421" s="18" t="s">
        <v>31</v>
      </c>
      <c r="F421" s="18" t="s">
        <v>92</v>
      </c>
      <c r="G421" s="18" t="s">
        <v>207</v>
      </c>
      <c r="H421" s="18" t="s">
        <v>208</v>
      </c>
      <c r="I421" s="18" t="s">
        <v>1727</v>
      </c>
      <c r="J421" s="18">
        <v>45477</v>
      </c>
      <c r="K421" s="18" t="s">
        <v>1728</v>
      </c>
      <c r="L421" s="18" t="s">
        <v>640</v>
      </c>
      <c r="M421" s="18">
        <v>445.81</v>
      </c>
      <c r="N421" s="18">
        <v>3</v>
      </c>
      <c r="O421" s="18" t="s">
        <v>38</v>
      </c>
      <c r="P421" s="18">
        <v>1</v>
      </c>
      <c r="Q421" s="18">
        <v>37</v>
      </c>
      <c r="R421" s="18">
        <v>45478</v>
      </c>
      <c r="S421" s="18" t="s">
        <v>1729</v>
      </c>
      <c r="T421" s="18">
        <v>1</v>
      </c>
      <c r="U421" s="18">
        <v>1337.43</v>
      </c>
      <c r="V421" s="19">
        <v>0.08</v>
      </c>
      <c r="W421" s="18">
        <v>1230.4356</v>
      </c>
      <c r="X421" s="18">
        <v>1267.4356</v>
      </c>
      <c r="Y421" s="18" t="s">
        <v>2158</v>
      </c>
      <c r="Z421" s="18" t="s">
        <v>2072</v>
      </c>
      <c r="AA421" s="20">
        <v>12</v>
      </c>
      <c r="AB421">
        <v>0</v>
      </c>
    </row>
    <row r="422" spans="1:28">
      <c r="A422" s="15" t="s">
        <v>319</v>
      </c>
      <c r="B422" s="15" t="s">
        <v>320</v>
      </c>
      <c r="C422" s="15" t="s">
        <v>321</v>
      </c>
      <c r="D422" s="15">
        <v>45</v>
      </c>
      <c r="E422" s="15" t="s">
        <v>31</v>
      </c>
      <c r="F422" s="15" t="s">
        <v>44</v>
      </c>
      <c r="G422" s="15" t="s">
        <v>322</v>
      </c>
      <c r="H422" s="15" t="s">
        <v>323</v>
      </c>
      <c r="I422" s="15" t="s">
        <v>1955</v>
      </c>
      <c r="J422" s="15">
        <v>45103</v>
      </c>
      <c r="K422" s="15" t="s">
        <v>1956</v>
      </c>
      <c r="L422" s="15" t="s">
        <v>640</v>
      </c>
      <c r="M422" s="15">
        <v>445.81</v>
      </c>
      <c r="N422" s="15">
        <v>3</v>
      </c>
      <c r="O422" s="15" t="s">
        <v>87</v>
      </c>
      <c r="P422" s="15">
        <v>1</v>
      </c>
      <c r="Q422" s="15">
        <v>58</v>
      </c>
      <c r="R422" s="15">
        <v>45109</v>
      </c>
      <c r="S422" s="15" t="s">
        <v>1957</v>
      </c>
      <c r="T422" s="15">
        <v>6</v>
      </c>
      <c r="U422" s="15">
        <v>1337.43</v>
      </c>
      <c r="V422" s="16">
        <v>0.2</v>
      </c>
      <c r="W422" s="15">
        <v>1069.944</v>
      </c>
      <c r="X422" s="15">
        <v>1127.944</v>
      </c>
      <c r="Y422" s="15" t="s">
        <v>2102</v>
      </c>
      <c r="Z422" s="15" t="s">
        <v>2064</v>
      </c>
      <c r="AA422" s="17">
        <v>2</v>
      </c>
      <c r="AB422">
        <v>85.117999999999995</v>
      </c>
    </row>
    <row r="423" spans="1:28">
      <c r="A423" s="18" t="s">
        <v>842</v>
      </c>
      <c r="B423" s="18" t="s">
        <v>843</v>
      </c>
      <c r="C423" s="18" t="s">
        <v>844</v>
      </c>
      <c r="D423" s="18">
        <v>26</v>
      </c>
      <c r="E423" s="18" t="s">
        <v>43</v>
      </c>
      <c r="F423" s="18" t="s">
        <v>161</v>
      </c>
      <c r="G423" s="18" t="s">
        <v>845</v>
      </c>
      <c r="H423" s="18" t="s">
        <v>846</v>
      </c>
      <c r="I423" s="18" t="s">
        <v>1534</v>
      </c>
      <c r="J423" s="18">
        <v>45627</v>
      </c>
      <c r="K423" s="18" t="s">
        <v>1535</v>
      </c>
      <c r="L423" s="18" t="s">
        <v>175</v>
      </c>
      <c r="M423" s="18">
        <v>272.51</v>
      </c>
      <c r="N423" s="18">
        <v>5</v>
      </c>
      <c r="O423" s="18" t="s">
        <v>98</v>
      </c>
      <c r="P423" s="18">
        <v>4</v>
      </c>
      <c r="Q423" s="18">
        <v>45</v>
      </c>
      <c r="R423" s="18">
        <v>45630</v>
      </c>
      <c r="S423" s="18" t="s">
        <v>1536</v>
      </c>
      <c r="T423" s="18">
        <v>3</v>
      </c>
      <c r="U423" s="18">
        <v>1362.55</v>
      </c>
      <c r="V423" s="19">
        <v>0.1</v>
      </c>
      <c r="W423" s="18">
        <v>1226.2950000000001</v>
      </c>
      <c r="X423" s="18">
        <v>1271.2950000000001</v>
      </c>
      <c r="Y423" s="18" t="s">
        <v>2131</v>
      </c>
      <c r="Z423" s="18" t="s">
        <v>2060</v>
      </c>
      <c r="AA423" s="20">
        <v>11</v>
      </c>
      <c r="AB423">
        <v>33.49</v>
      </c>
    </row>
    <row r="424" spans="1:28">
      <c r="A424" s="15" t="s">
        <v>1935</v>
      </c>
      <c r="B424" s="15" t="s">
        <v>1936</v>
      </c>
      <c r="C424" s="15" t="s">
        <v>1937</v>
      </c>
      <c r="D424" s="15">
        <v>54</v>
      </c>
      <c r="E424" s="15" t="s">
        <v>43</v>
      </c>
      <c r="F424" s="15" t="s">
        <v>78</v>
      </c>
      <c r="G424" s="15" t="s">
        <v>1938</v>
      </c>
      <c r="H424" s="15" t="s">
        <v>1939</v>
      </c>
      <c r="I424" s="15" t="s">
        <v>2050</v>
      </c>
      <c r="J424" s="15">
        <v>45381</v>
      </c>
      <c r="K424" s="15" t="s">
        <v>2051</v>
      </c>
      <c r="L424" s="15" t="s">
        <v>175</v>
      </c>
      <c r="M424" s="15">
        <v>272.51</v>
      </c>
      <c r="N424" s="15">
        <v>5</v>
      </c>
      <c r="O424" s="15" t="s">
        <v>65</v>
      </c>
      <c r="P424" s="15">
        <v>3</v>
      </c>
      <c r="Q424" s="15">
        <v>66</v>
      </c>
      <c r="R424" s="15">
        <v>45388</v>
      </c>
      <c r="S424" s="15" t="s">
        <v>2052</v>
      </c>
      <c r="T424" s="15">
        <v>7</v>
      </c>
      <c r="U424" s="15">
        <v>1362.55</v>
      </c>
      <c r="V424" s="16">
        <v>0</v>
      </c>
      <c r="W424" s="15">
        <v>1362.55</v>
      </c>
      <c r="X424" s="15">
        <v>1362.55</v>
      </c>
      <c r="Y424" s="15" t="s">
        <v>2152</v>
      </c>
      <c r="Z424" s="15" t="s">
        <v>2064</v>
      </c>
      <c r="AA424" s="17">
        <v>12</v>
      </c>
      <c r="AB424">
        <v>0</v>
      </c>
    </row>
    <row r="425" spans="1:28">
      <c r="A425" s="18" t="s">
        <v>1224</v>
      </c>
      <c r="B425" s="18" t="s">
        <v>1225</v>
      </c>
      <c r="C425" s="18" t="s">
        <v>1226</v>
      </c>
      <c r="D425" s="18">
        <v>19</v>
      </c>
      <c r="E425" s="18" t="s">
        <v>43</v>
      </c>
      <c r="F425" s="18" t="s">
        <v>78</v>
      </c>
      <c r="G425" s="18" t="s">
        <v>1227</v>
      </c>
      <c r="H425" s="18" t="s">
        <v>1228</v>
      </c>
      <c r="I425" s="18" t="s">
        <v>1367</v>
      </c>
      <c r="J425" s="18">
        <v>45201</v>
      </c>
      <c r="K425" s="18" t="s">
        <v>1368</v>
      </c>
      <c r="L425" s="18" t="s">
        <v>228</v>
      </c>
      <c r="M425" s="18">
        <v>461.07</v>
      </c>
      <c r="N425" s="18">
        <v>3</v>
      </c>
      <c r="O425" s="18" t="s">
        <v>98</v>
      </c>
      <c r="P425" s="18">
        <v>1</v>
      </c>
      <c r="Q425" s="18">
        <v>61</v>
      </c>
      <c r="R425" s="18">
        <v>45202</v>
      </c>
      <c r="S425" s="18" t="s">
        <v>1369</v>
      </c>
      <c r="T425" s="18">
        <v>1</v>
      </c>
      <c r="U425" s="18">
        <v>1383.21</v>
      </c>
      <c r="V425" s="19">
        <v>0.1</v>
      </c>
      <c r="W425" s="18">
        <v>1244.8890000000001</v>
      </c>
      <c r="X425" s="18">
        <v>1305.8890000000001</v>
      </c>
      <c r="Y425" s="18" t="s">
        <v>2077</v>
      </c>
      <c r="Z425" s="18" t="s">
        <v>2072</v>
      </c>
      <c r="AA425" s="20">
        <v>2</v>
      </c>
      <c r="AB425">
        <v>6</v>
      </c>
    </row>
    <row r="426" spans="1:28">
      <c r="A426" s="15" t="s">
        <v>239</v>
      </c>
      <c r="B426" s="15" t="s">
        <v>68</v>
      </c>
      <c r="C426" s="15" t="s">
        <v>240</v>
      </c>
      <c r="D426" s="15">
        <v>52</v>
      </c>
      <c r="E426" s="15" t="s">
        <v>54</v>
      </c>
      <c r="F426" s="15" t="s">
        <v>44</v>
      </c>
      <c r="G426" s="15" t="s">
        <v>241</v>
      </c>
      <c r="H426" s="15" t="s">
        <v>242</v>
      </c>
      <c r="I426" s="15" t="s">
        <v>1982</v>
      </c>
      <c r="J426" s="15">
        <v>45354</v>
      </c>
      <c r="K426" s="15" t="s">
        <v>1983</v>
      </c>
      <c r="L426" s="15" t="s">
        <v>228</v>
      </c>
      <c r="M426" s="15">
        <v>461.07</v>
      </c>
      <c r="N426" s="15">
        <v>3</v>
      </c>
      <c r="O426" s="15" t="s">
        <v>60</v>
      </c>
      <c r="P426" s="15">
        <v>4</v>
      </c>
      <c r="Q426" s="15">
        <v>54</v>
      </c>
      <c r="R426" s="15">
        <v>45357</v>
      </c>
      <c r="S426" s="15" t="s">
        <v>1984</v>
      </c>
      <c r="T426" s="15">
        <v>3</v>
      </c>
      <c r="U426" s="15">
        <v>1383.21</v>
      </c>
      <c r="V426" s="16">
        <v>0.15</v>
      </c>
      <c r="W426" s="15">
        <v>1175.7284999999999</v>
      </c>
      <c r="X426" s="15">
        <v>1229.7284999999999</v>
      </c>
      <c r="Y426" s="15" t="s">
        <v>2123</v>
      </c>
      <c r="Z426" s="15" t="s">
        <v>2060</v>
      </c>
      <c r="AA426" s="17">
        <v>10</v>
      </c>
      <c r="AB426">
        <v>33.49</v>
      </c>
    </row>
    <row r="427" spans="1:28">
      <c r="A427" s="18" t="s">
        <v>158</v>
      </c>
      <c r="B427" s="18" t="s">
        <v>159</v>
      </c>
      <c r="C427" s="18" t="s">
        <v>160</v>
      </c>
      <c r="D427" s="18">
        <v>24</v>
      </c>
      <c r="E427" s="18" t="s">
        <v>31</v>
      </c>
      <c r="F427" s="18" t="s">
        <v>161</v>
      </c>
      <c r="G427" s="18" t="s">
        <v>162</v>
      </c>
      <c r="H427" s="18" t="s">
        <v>163</v>
      </c>
      <c r="I427" s="18" t="s">
        <v>632</v>
      </c>
      <c r="J427" s="18">
        <v>45555</v>
      </c>
      <c r="K427" s="18" t="s">
        <v>633</v>
      </c>
      <c r="L427" s="18" t="s">
        <v>476</v>
      </c>
      <c r="M427" s="18">
        <v>286.07</v>
      </c>
      <c r="N427" s="18">
        <v>5</v>
      </c>
      <c r="O427" s="18" t="s">
        <v>60</v>
      </c>
      <c r="P427" s="18">
        <v>5</v>
      </c>
      <c r="Q427" s="18">
        <v>65</v>
      </c>
      <c r="R427" s="18">
        <v>45558</v>
      </c>
      <c r="S427" s="18" t="s">
        <v>634</v>
      </c>
      <c r="T427" s="18">
        <v>3</v>
      </c>
      <c r="U427" s="18">
        <v>1430.35</v>
      </c>
      <c r="V427" s="19">
        <v>0.15</v>
      </c>
      <c r="W427" s="18">
        <v>1215.7974999999999</v>
      </c>
      <c r="X427" s="18">
        <v>1280.7974999999999</v>
      </c>
      <c r="Y427" s="18" t="s">
        <v>2125</v>
      </c>
      <c r="Z427" s="18" t="s">
        <v>2060</v>
      </c>
      <c r="AA427" s="20">
        <v>3</v>
      </c>
      <c r="AB427">
        <v>10.904000000000002</v>
      </c>
    </row>
    <row r="428" spans="1:28">
      <c r="A428" s="15" t="s">
        <v>770</v>
      </c>
      <c r="B428" s="15" t="s">
        <v>771</v>
      </c>
      <c r="C428" s="15" t="s">
        <v>772</v>
      </c>
      <c r="D428" s="15">
        <v>27</v>
      </c>
      <c r="E428" s="15" t="s">
        <v>31</v>
      </c>
      <c r="F428" s="15" t="s">
        <v>44</v>
      </c>
      <c r="G428" s="15" t="s">
        <v>773</v>
      </c>
      <c r="H428" s="15" t="s">
        <v>774</v>
      </c>
      <c r="I428" s="15" t="s">
        <v>888</v>
      </c>
      <c r="J428" s="15">
        <v>44983</v>
      </c>
      <c r="K428" s="15" t="s">
        <v>889</v>
      </c>
      <c r="L428" s="15" t="s">
        <v>476</v>
      </c>
      <c r="M428" s="15">
        <v>286.07</v>
      </c>
      <c r="N428" s="15">
        <v>5</v>
      </c>
      <c r="O428" s="15" t="s">
        <v>87</v>
      </c>
      <c r="P428" s="15">
        <v>1</v>
      </c>
      <c r="Q428" s="15">
        <v>52</v>
      </c>
      <c r="R428" s="15">
        <v>44986</v>
      </c>
      <c r="S428" s="15" t="s">
        <v>890</v>
      </c>
      <c r="T428" s="15">
        <v>3</v>
      </c>
      <c r="U428" s="15">
        <v>1430.35</v>
      </c>
      <c r="V428" s="16">
        <v>0.2</v>
      </c>
      <c r="W428" s="15">
        <v>1144.28</v>
      </c>
      <c r="X428" s="15">
        <v>1196.28</v>
      </c>
      <c r="Y428" s="15" t="s">
        <v>2059</v>
      </c>
      <c r="Z428" s="15" t="s">
        <v>2064</v>
      </c>
      <c r="AA428" s="17">
        <v>9</v>
      </c>
      <c r="AB428">
        <v>4.9935999999999998</v>
      </c>
    </row>
    <row r="429" spans="1:28">
      <c r="A429" s="18" t="s">
        <v>239</v>
      </c>
      <c r="B429" s="18" t="s">
        <v>68</v>
      </c>
      <c r="C429" s="18" t="s">
        <v>240</v>
      </c>
      <c r="D429" s="18">
        <v>52</v>
      </c>
      <c r="E429" s="18" t="s">
        <v>54</v>
      </c>
      <c r="F429" s="18" t="s">
        <v>44</v>
      </c>
      <c r="G429" s="18" t="s">
        <v>241</v>
      </c>
      <c r="H429" s="18" t="s">
        <v>242</v>
      </c>
      <c r="I429" s="18" t="s">
        <v>1695</v>
      </c>
      <c r="J429" s="18">
        <v>45397</v>
      </c>
      <c r="K429" s="18" t="s">
        <v>1696</v>
      </c>
      <c r="L429" s="18" t="s">
        <v>476</v>
      </c>
      <c r="M429" s="18">
        <v>286.07</v>
      </c>
      <c r="N429" s="18">
        <v>5</v>
      </c>
      <c r="O429" s="18" t="s">
        <v>65</v>
      </c>
      <c r="P429" s="18">
        <v>1</v>
      </c>
      <c r="Q429" s="18">
        <v>41</v>
      </c>
      <c r="R429" s="18">
        <v>45404</v>
      </c>
      <c r="S429" s="18" t="s">
        <v>1697</v>
      </c>
      <c r="T429" s="18">
        <v>7</v>
      </c>
      <c r="U429" s="18">
        <v>1430.35</v>
      </c>
      <c r="V429" s="19">
        <v>0</v>
      </c>
      <c r="W429" s="18">
        <v>1430.35</v>
      </c>
      <c r="X429" s="18">
        <v>1430.35</v>
      </c>
      <c r="Y429" s="18" t="s">
        <v>2123</v>
      </c>
      <c r="Z429" s="18" t="s">
        <v>2064</v>
      </c>
      <c r="AA429" s="20">
        <v>12</v>
      </c>
      <c r="AB429">
        <v>0</v>
      </c>
    </row>
    <row r="430" spans="1:28">
      <c r="A430" s="15" t="s">
        <v>674</v>
      </c>
      <c r="B430" s="15" t="s">
        <v>675</v>
      </c>
      <c r="C430" s="15" t="s">
        <v>676</v>
      </c>
      <c r="D430" s="15">
        <v>38</v>
      </c>
      <c r="E430" s="15" t="s">
        <v>43</v>
      </c>
      <c r="F430" s="15" t="s">
        <v>223</v>
      </c>
      <c r="G430" s="15" t="s">
        <v>677</v>
      </c>
      <c r="H430" s="15" t="s">
        <v>678</v>
      </c>
      <c r="I430" s="15" t="s">
        <v>679</v>
      </c>
      <c r="J430" s="15">
        <v>45203</v>
      </c>
      <c r="K430" s="15" t="s">
        <v>680</v>
      </c>
      <c r="L430" s="15" t="s">
        <v>576</v>
      </c>
      <c r="M430" s="15">
        <v>477.52</v>
      </c>
      <c r="N430" s="15">
        <v>3</v>
      </c>
      <c r="O430" s="15" t="s">
        <v>38</v>
      </c>
      <c r="P430" s="15">
        <v>7</v>
      </c>
      <c r="Q430" s="15">
        <v>66</v>
      </c>
      <c r="R430" s="15">
        <v>45208</v>
      </c>
      <c r="S430" s="15" t="s">
        <v>681</v>
      </c>
      <c r="T430" s="15">
        <v>5</v>
      </c>
      <c r="U430" s="15">
        <v>1432.56</v>
      </c>
      <c r="V430" s="16">
        <v>0.08</v>
      </c>
      <c r="W430" s="15">
        <v>1317.9551999999999</v>
      </c>
      <c r="X430" s="15">
        <v>1383.9551999999999</v>
      </c>
      <c r="Y430" s="15" t="s">
        <v>2082</v>
      </c>
      <c r="Z430" s="15" t="s">
        <v>2060</v>
      </c>
      <c r="AA430" s="17">
        <v>7</v>
      </c>
      <c r="AB430">
        <v>53.735000000000007</v>
      </c>
    </row>
    <row r="431" spans="1:28">
      <c r="A431" s="18" t="s">
        <v>1335</v>
      </c>
      <c r="B431" s="18" t="s">
        <v>1336</v>
      </c>
      <c r="C431" s="18" t="s">
        <v>398</v>
      </c>
      <c r="D431" s="18">
        <v>18</v>
      </c>
      <c r="E431" s="18" t="s">
        <v>43</v>
      </c>
      <c r="F431" s="18" t="s">
        <v>223</v>
      </c>
      <c r="G431" s="18" t="s">
        <v>1337</v>
      </c>
      <c r="H431" s="18" t="s">
        <v>1338</v>
      </c>
      <c r="I431" s="18" t="s">
        <v>1546</v>
      </c>
      <c r="J431" s="18">
        <v>45682</v>
      </c>
      <c r="K431" s="18" t="s">
        <v>1547</v>
      </c>
      <c r="L431" s="18" t="s">
        <v>576</v>
      </c>
      <c r="M431" s="18">
        <v>477.52</v>
      </c>
      <c r="N431" s="18">
        <v>3</v>
      </c>
      <c r="O431" s="18" t="s">
        <v>87</v>
      </c>
      <c r="P431" s="18">
        <v>7</v>
      </c>
      <c r="Q431" s="18">
        <v>41</v>
      </c>
      <c r="R431" s="18">
        <v>45686</v>
      </c>
      <c r="S431" s="18" t="s">
        <v>1548</v>
      </c>
      <c r="T431" s="18">
        <v>4</v>
      </c>
      <c r="U431" s="18">
        <v>1432.56</v>
      </c>
      <c r="V431" s="19">
        <v>0.2</v>
      </c>
      <c r="W431" s="18">
        <v>1146.048</v>
      </c>
      <c r="X431" s="18">
        <v>1187.048</v>
      </c>
      <c r="Y431" s="18" t="s">
        <v>2161</v>
      </c>
      <c r="Z431" s="18" t="s">
        <v>2060</v>
      </c>
      <c r="AA431" s="20">
        <v>12</v>
      </c>
      <c r="AB431">
        <v>0</v>
      </c>
    </row>
    <row r="432" spans="1:28">
      <c r="A432" s="15" t="s">
        <v>1106</v>
      </c>
      <c r="B432" s="15" t="s">
        <v>1107</v>
      </c>
      <c r="C432" s="15" t="s">
        <v>1108</v>
      </c>
      <c r="D432" s="15">
        <v>18</v>
      </c>
      <c r="E432" s="15" t="s">
        <v>31</v>
      </c>
      <c r="F432" s="15" t="s">
        <v>78</v>
      </c>
      <c r="G432" s="15" t="s">
        <v>1109</v>
      </c>
      <c r="H432" s="15" t="s">
        <v>1110</v>
      </c>
      <c r="I432" s="15" t="s">
        <v>1150</v>
      </c>
      <c r="J432" s="15">
        <v>45217</v>
      </c>
      <c r="K432" s="15" t="s">
        <v>1151</v>
      </c>
      <c r="L432" s="15" t="s">
        <v>326</v>
      </c>
      <c r="M432" s="15">
        <v>481.48</v>
      </c>
      <c r="N432" s="15">
        <v>3</v>
      </c>
      <c r="O432" s="15" t="s">
        <v>98</v>
      </c>
      <c r="P432" s="15">
        <v>2</v>
      </c>
      <c r="Q432" s="15">
        <v>42</v>
      </c>
      <c r="R432" s="15">
        <v>45221</v>
      </c>
      <c r="S432" s="15" t="s">
        <v>1152</v>
      </c>
      <c r="T432" s="15">
        <v>4</v>
      </c>
      <c r="U432" s="15">
        <v>1444.44</v>
      </c>
      <c r="V432" s="16">
        <v>0.1</v>
      </c>
      <c r="W432" s="15">
        <v>1299.9960000000001</v>
      </c>
      <c r="X432" s="15">
        <v>1341.9960000000001</v>
      </c>
      <c r="Y432" s="15" t="s">
        <v>2089</v>
      </c>
      <c r="Z432" s="15" t="s">
        <v>2064</v>
      </c>
      <c r="AA432" s="17">
        <v>4</v>
      </c>
      <c r="AB432">
        <v>127.67699999999999</v>
      </c>
    </row>
    <row r="433" spans="1:28">
      <c r="A433" s="18" t="s">
        <v>404</v>
      </c>
      <c r="B433" s="18" t="s">
        <v>405</v>
      </c>
      <c r="C433" s="18" t="s">
        <v>406</v>
      </c>
      <c r="D433" s="18">
        <v>70</v>
      </c>
      <c r="E433" s="18" t="s">
        <v>31</v>
      </c>
      <c r="F433" s="18" t="s">
        <v>32</v>
      </c>
      <c r="G433" s="18" t="s">
        <v>407</v>
      </c>
      <c r="H433" s="18" t="s">
        <v>408</v>
      </c>
      <c r="I433" s="18" t="s">
        <v>1391</v>
      </c>
      <c r="J433" s="18">
        <v>45455</v>
      </c>
      <c r="K433" s="18" t="s">
        <v>1392</v>
      </c>
      <c r="L433" s="18" t="s">
        <v>326</v>
      </c>
      <c r="M433" s="18">
        <v>481.48</v>
      </c>
      <c r="N433" s="18">
        <v>3</v>
      </c>
      <c r="O433" s="18" t="s">
        <v>87</v>
      </c>
      <c r="P433" s="18">
        <v>5</v>
      </c>
      <c r="Q433" s="18">
        <v>49</v>
      </c>
      <c r="R433" s="18">
        <v>45462</v>
      </c>
      <c r="S433" s="18" t="s">
        <v>1393</v>
      </c>
      <c r="T433" s="18">
        <v>7</v>
      </c>
      <c r="U433" s="18">
        <v>1444.44</v>
      </c>
      <c r="V433" s="19">
        <v>0.2</v>
      </c>
      <c r="W433" s="18">
        <v>1155.5520000000001</v>
      </c>
      <c r="X433" s="18">
        <v>1204.5520000000001</v>
      </c>
      <c r="Y433" s="18" t="s">
        <v>2073</v>
      </c>
      <c r="Z433" s="18" t="s">
        <v>2064</v>
      </c>
      <c r="AA433" s="20">
        <v>5</v>
      </c>
      <c r="AB433">
        <v>36.885600000000004</v>
      </c>
    </row>
    <row r="434" spans="1:28">
      <c r="A434" s="15" t="s">
        <v>51</v>
      </c>
      <c r="B434" s="15" t="s">
        <v>52</v>
      </c>
      <c r="C434" s="15" t="s">
        <v>53</v>
      </c>
      <c r="D434" s="15">
        <v>60</v>
      </c>
      <c r="E434" s="15" t="s">
        <v>54</v>
      </c>
      <c r="F434" s="15" t="s">
        <v>32</v>
      </c>
      <c r="G434" s="15" t="s">
        <v>55</v>
      </c>
      <c r="H434" s="15" t="s">
        <v>56</v>
      </c>
      <c r="I434" s="15" t="s">
        <v>118</v>
      </c>
      <c r="J434" s="15">
        <v>45588</v>
      </c>
      <c r="K434" s="15" t="s">
        <v>119</v>
      </c>
      <c r="L434" s="15" t="s">
        <v>97</v>
      </c>
      <c r="M434" s="15">
        <v>363.64</v>
      </c>
      <c r="N434" s="15">
        <v>4</v>
      </c>
      <c r="O434" s="15" t="s">
        <v>65</v>
      </c>
      <c r="P434" s="15">
        <v>2</v>
      </c>
      <c r="Q434" s="15">
        <v>35</v>
      </c>
      <c r="R434" s="15">
        <v>45590</v>
      </c>
      <c r="S434" s="15" t="s">
        <v>120</v>
      </c>
      <c r="T434" s="15">
        <v>2</v>
      </c>
      <c r="U434" s="15">
        <v>1454.56</v>
      </c>
      <c r="V434" s="16">
        <v>0</v>
      </c>
      <c r="W434" s="15">
        <v>1454.56</v>
      </c>
      <c r="X434" s="15">
        <v>1454.56</v>
      </c>
      <c r="Y434" s="15" t="s">
        <v>2126</v>
      </c>
      <c r="Z434" s="15" t="s">
        <v>2072</v>
      </c>
      <c r="AA434" s="17">
        <v>6</v>
      </c>
      <c r="AB434">
        <v>35.344499999999996</v>
      </c>
    </row>
    <row r="435" spans="1:28">
      <c r="A435" s="18" t="s">
        <v>1617</v>
      </c>
      <c r="B435" s="18" t="s">
        <v>276</v>
      </c>
      <c r="C435" s="18" t="s">
        <v>1618</v>
      </c>
      <c r="D435" s="18">
        <v>62</v>
      </c>
      <c r="E435" s="18" t="s">
        <v>43</v>
      </c>
      <c r="F435" s="18" t="s">
        <v>44</v>
      </c>
      <c r="G435" s="18" t="s">
        <v>1619</v>
      </c>
      <c r="H435" s="18" t="s">
        <v>1620</v>
      </c>
      <c r="I435" s="18" t="s">
        <v>1692</v>
      </c>
      <c r="J435" s="18">
        <v>45116</v>
      </c>
      <c r="K435" s="18" t="s">
        <v>1693</v>
      </c>
      <c r="L435" s="18" t="s">
        <v>97</v>
      </c>
      <c r="M435" s="18">
        <v>363.64</v>
      </c>
      <c r="N435" s="18">
        <v>4</v>
      </c>
      <c r="O435" s="18" t="s">
        <v>65</v>
      </c>
      <c r="P435" s="18">
        <v>6</v>
      </c>
      <c r="Q435" s="18">
        <v>56</v>
      </c>
      <c r="R435" s="18">
        <v>45121</v>
      </c>
      <c r="S435" s="18" t="s">
        <v>1694</v>
      </c>
      <c r="T435" s="18">
        <v>5</v>
      </c>
      <c r="U435" s="18">
        <v>1454.56</v>
      </c>
      <c r="V435" s="19">
        <v>0</v>
      </c>
      <c r="W435" s="18">
        <v>1454.56</v>
      </c>
      <c r="X435" s="18">
        <v>1454.56</v>
      </c>
      <c r="Y435" s="18" t="s">
        <v>2067</v>
      </c>
      <c r="Z435" s="18" t="s">
        <v>2060</v>
      </c>
      <c r="AA435" s="20">
        <v>9</v>
      </c>
      <c r="AB435">
        <v>21.379200000000001</v>
      </c>
    </row>
    <row r="436" spans="1:28">
      <c r="A436" s="15" t="s">
        <v>682</v>
      </c>
      <c r="B436" s="15" t="s">
        <v>683</v>
      </c>
      <c r="C436" s="15" t="s">
        <v>684</v>
      </c>
      <c r="D436" s="15">
        <v>68</v>
      </c>
      <c r="E436" s="15" t="s">
        <v>31</v>
      </c>
      <c r="F436" s="15" t="s">
        <v>223</v>
      </c>
      <c r="G436" s="15" t="s">
        <v>685</v>
      </c>
      <c r="H436" s="15" t="s">
        <v>686</v>
      </c>
      <c r="I436" s="15" t="s">
        <v>1851</v>
      </c>
      <c r="J436" s="15">
        <v>45536</v>
      </c>
      <c r="K436" s="15" t="s">
        <v>1852</v>
      </c>
      <c r="L436" s="15" t="s">
        <v>97</v>
      </c>
      <c r="M436" s="15">
        <v>363.64</v>
      </c>
      <c r="N436" s="15">
        <v>4</v>
      </c>
      <c r="O436" s="15" t="s">
        <v>87</v>
      </c>
      <c r="P436" s="15">
        <v>2</v>
      </c>
      <c r="Q436" s="15">
        <v>42</v>
      </c>
      <c r="R436" s="15">
        <v>45540</v>
      </c>
      <c r="S436" s="15" t="s">
        <v>1853</v>
      </c>
      <c r="T436" s="15">
        <v>4</v>
      </c>
      <c r="U436" s="15">
        <v>1454.56</v>
      </c>
      <c r="V436" s="16">
        <v>0.2</v>
      </c>
      <c r="W436" s="15">
        <v>1163.6479999999999</v>
      </c>
      <c r="X436" s="15">
        <v>1205.6479999999999</v>
      </c>
      <c r="Y436" s="15" t="s">
        <v>2130</v>
      </c>
      <c r="Z436" s="15" t="s">
        <v>2064</v>
      </c>
      <c r="AA436" s="17">
        <v>3</v>
      </c>
      <c r="AB436">
        <v>8.3344000000000005</v>
      </c>
    </row>
    <row r="437" spans="1:28">
      <c r="A437" s="18" t="s">
        <v>478</v>
      </c>
      <c r="B437" s="18" t="s">
        <v>110</v>
      </c>
      <c r="C437" s="18" t="s">
        <v>479</v>
      </c>
      <c r="D437" s="18">
        <v>33</v>
      </c>
      <c r="E437" s="18" t="s">
        <v>31</v>
      </c>
      <c r="F437" s="18" t="s">
        <v>170</v>
      </c>
      <c r="G437" s="18" t="s">
        <v>480</v>
      </c>
      <c r="H437" s="18" t="s">
        <v>481</v>
      </c>
      <c r="I437" s="18" t="s">
        <v>1033</v>
      </c>
      <c r="J437" s="18">
        <v>45069</v>
      </c>
      <c r="K437" s="18" t="s">
        <v>1034</v>
      </c>
      <c r="L437" s="18" t="s">
        <v>874</v>
      </c>
      <c r="M437" s="18">
        <v>292.14999999999998</v>
      </c>
      <c r="N437" s="18">
        <v>5</v>
      </c>
      <c r="O437" s="18" t="s">
        <v>98</v>
      </c>
      <c r="P437" s="18">
        <v>6</v>
      </c>
      <c r="Q437" s="18">
        <v>68</v>
      </c>
      <c r="R437" s="18">
        <v>45071</v>
      </c>
      <c r="S437" s="18" t="s">
        <v>1035</v>
      </c>
      <c r="T437" s="18">
        <v>2</v>
      </c>
      <c r="U437" s="18">
        <v>1460.75</v>
      </c>
      <c r="V437" s="19">
        <v>0.1</v>
      </c>
      <c r="W437" s="18">
        <v>1314.675</v>
      </c>
      <c r="X437" s="18">
        <v>1382.675</v>
      </c>
      <c r="Y437" s="18" t="s">
        <v>2119</v>
      </c>
      <c r="Z437" s="18" t="s">
        <v>2060</v>
      </c>
      <c r="AA437" s="20">
        <v>9</v>
      </c>
      <c r="AB437">
        <v>290.91199999999998</v>
      </c>
    </row>
    <row r="438" spans="1:28">
      <c r="A438" s="15" t="s">
        <v>523</v>
      </c>
      <c r="B438" s="15" t="s">
        <v>524</v>
      </c>
      <c r="C438" s="15" t="s">
        <v>525</v>
      </c>
      <c r="D438" s="15">
        <v>42</v>
      </c>
      <c r="E438" s="15" t="s">
        <v>54</v>
      </c>
      <c r="F438" s="15" t="s">
        <v>78</v>
      </c>
      <c r="G438" s="15" t="s">
        <v>526</v>
      </c>
      <c r="H438" s="15" t="s">
        <v>527</v>
      </c>
      <c r="I438" s="15" t="s">
        <v>528</v>
      </c>
      <c r="J438" s="15">
        <v>45322</v>
      </c>
      <c r="K438" s="15" t="s">
        <v>529</v>
      </c>
      <c r="L438" s="15" t="s">
        <v>433</v>
      </c>
      <c r="M438" s="15">
        <v>369.03</v>
      </c>
      <c r="N438" s="15">
        <v>4</v>
      </c>
      <c r="O438" s="15" t="s">
        <v>87</v>
      </c>
      <c r="P438" s="15">
        <v>7</v>
      </c>
      <c r="Q438" s="15">
        <v>52</v>
      </c>
      <c r="R438" s="15">
        <v>45327</v>
      </c>
      <c r="S438" s="15" t="s">
        <v>530</v>
      </c>
      <c r="T438" s="15">
        <v>5</v>
      </c>
      <c r="U438" s="15">
        <v>1476.12</v>
      </c>
      <c r="V438" s="16">
        <v>0.2</v>
      </c>
      <c r="W438" s="15">
        <v>1180.896</v>
      </c>
      <c r="X438" s="15">
        <v>1232.896</v>
      </c>
      <c r="Y438" s="15" t="s">
        <v>2066</v>
      </c>
      <c r="Z438" s="15" t="s">
        <v>2060</v>
      </c>
      <c r="AA438" s="17">
        <v>1</v>
      </c>
      <c r="AB438">
        <v>66.081000000000003</v>
      </c>
    </row>
    <row r="439" spans="1:28">
      <c r="A439" s="18" t="s">
        <v>642</v>
      </c>
      <c r="B439" s="18" t="s">
        <v>150</v>
      </c>
      <c r="C439" s="18" t="s">
        <v>643</v>
      </c>
      <c r="D439" s="18">
        <v>44</v>
      </c>
      <c r="E439" s="18" t="s">
        <v>54</v>
      </c>
      <c r="F439" s="18" t="s">
        <v>92</v>
      </c>
      <c r="G439" s="18" t="s">
        <v>644</v>
      </c>
      <c r="H439" s="18" t="s">
        <v>645</v>
      </c>
      <c r="I439" s="18" t="s">
        <v>646</v>
      </c>
      <c r="J439" s="18">
        <v>45625</v>
      </c>
      <c r="K439" s="18" t="s">
        <v>647</v>
      </c>
      <c r="L439" s="18" t="s">
        <v>433</v>
      </c>
      <c r="M439" s="18">
        <v>369.03</v>
      </c>
      <c r="N439" s="18">
        <v>4</v>
      </c>
      <c r="O439" s="18" t="s">
        <v>87</v>
      </c>
      <c r="P439" s="18">
        <v>4</v>
      </c>
      <c r="Q439" s="18">
        <v>56</v>
      </c>
      <c r="R439" s="18">
        <v>45630</v>
      </c>
      <c r="S439" s="18" t="s">
        <v>648</v>
      </c>
      <c r="T439" s="18">
        <v>5</v>
      </c>
      <c r="U439" s="18">
        <v>1476.12</v>
      </c>
      <c r="V439" s="19">
        <v>0.2</v>
      </c>
      <c r="W439" s="18">
        <v>1180.896</v>
      </c>
      <c r="X439" s="18">
        <v>1236.896</v>
      </c>
      <c r="Y439" s="18" t="s">
        <v>2065</v>
      </c>
      <c r="Z439" s="18" t="s">
        <v>2064</v>
      </c>
      <c r="AA439" s="20">
        <v>8</v>
      </c>
      <c r="AB439">
        <v>10.047000000000001</v>
      </c>
    </row>
    <row r="440" spans="1:28">
      <c r="A440" s="15" t="s">
        <v>691</v>
      </c>
      <c r="B440" s="15" t="s">
        <v>692</v>
      </c>
      <c r="C440" s="15" t="s">
        <v>693</v>
      </c>
      <c r="D440" s="15">
        <v>65</v>
      </c>
      <c r="E440" s="15" t="s">
        <v>43</v>
      </c>
      <c r="F440" s="15" t="s">
        <v>92</v>
      </c>
      <c r="G440" s="15" t="s">
        <v>694</v>
      </c>
      <c r="H440" s="15" t="s">
        <v>695</v>
      </c>
      <c r="I440" s="15" t="s">
        <v>696</v>
      </c>
      <c r="J440" s="15">
        <v>45165</v>
      </c>
      <c r="K440" s="15" t="s">
        <v>697</v>
      </c>
      <c r="L440" s="15" t="s">
        <v>433</v>
      </c>
      <c r="M440" s="15">
        <v>369.03</v>
      </c>
      <c r="N440" s="15">
        <v>4</v>
      </c>
      <c r="O440" s="15" t="s">
        <v>38</v>
      </c>
      <c r="P440" s="15">
        <v>3</v>
      </c>
      <c r="Q440" s="15">
        <v>56</v>
      </c>
      <c r="R440" s="15">
        <v>45169</v>
      </c>
      <c r="S440" s="15" t="s">
        <v>698</v>
      </c>
      <c r="T440" s="15">
        <v>4</v>
      </c>
      <c r="U440" s="15">
        <v>1476.12</v>
      </c>
      <c r="V440" s="16">
        <v>0.08</v>
      </c>
      <c r="W440" s="15">
        <v>1358.0303999999999</v>
      </c>
      <c r="X440" s="15">
        <v>1414.0303999999999</v>
      </c>
      <c r="Y440" s="15" t="s">
        <v>2097</v>
      </c>
      <c r="Z440" s="15" t="s">
        <v>2064</v>
      </c>
      <c r="AA440" s="17">
        <v>8</v>
      </c>
      <c r="AB440">
        <v>31.527999999999999</v>
      </c>
    </row>
    <row r="441" spans="1:28">
      <c r="A441" s="18" t="s">
        <v>549</v>
      </c>
      <c r="B441" s="18" t="s">
        <v>550</v>
      </c>
      <c r="C441" s="18" t="s">
        <v>551</v>
      </c>
      <c r="D441" s="18">
        <v>33</v>
      </c>
      <c r="E441" s="18" t="s">
        <v>54</v>
      </c>
      <c r="F441" s="18" t="s">
        <v>170</v>
      </c>
      <c r="G441" s="18" t="s">
        <v>552</v>
      </c>
      <c r="H441" s="18" t="s">
        <v>553</v>
      </c>
      <c r="I441" s="18" t="s">
        <v>1866</v>
      </c>
      <c r="J441" s="18">
        <v>45628</v>
      </c>
      <c r="K441" s="18" t="s">
        <v>1867</v>
      </c>
      <c r="L441" s="18" t="s">
        <v>433</v>
      </c>
      <c r="M441" s="18">
        <v>369.03</v>
      </c>
      <c r="N441" s="18">
        <v>4</v>
      </c>
      <c r="O441" s="18" t="s">
        <v>38</v>
      </c>
      <c r="P441" s="18">
        <v>5</v>
      </c>
      <c r="Q441" s="18">
        <v>48</v>
      </c>
      <c r="R441" s="18">
        <v>45629</v>
      </c>
      <c r="S441" s="18" t="s">
        <v>1868</v>
      </c>
      <c r="T441" s="18">
        <v>1</v>
      </c>
      <c r="U441" s="18">
        <v>1476.12</v>
      </c>
      <c r="V441" s="19">
        <v>0.08</v>
      </c>
      <c r="W441" s="18">
        <v>1358.0303999999999</v>
      </c>
      <c r="X441" s="18">
        <v>1406.0303999999999</v>
      </c>
      <c r="Y441" s="18" t="s">
        <v>2149</v>
      </c>
      <c r="Z441" s="18" t="s">
        <v>2060</v>
      </c>
      <c r="AA441" s="20">
        <v>3</v>
      </c>
      <c r="AB441">
        <v>441.03</v>
      </c>
    </row>
    <row r="442" spans="1:28">
      <c r="A442" s="15" t="s">
        <v>352</v>
      </c>
      <c r="B442" s="15" t="s">
        <v>353</v>
      </c>
      <c r="C442" s="15" t="s">
        <v>354</v>
      </c>
      <c r="D442" s="15">
        <v>70</v>
      </c>
      <c r="E442" s="15" t="s">
        <v>31</v>
      </c>
      <c r="F442" s="15" t="s">
        <v>170</v>
      </c>
      <c r="G442" s="15" t="s">
        <v>355</v>
      </c>
      <c r="H442" s="15" t="s">
        <v>356</v>
      </c>
      <c r="I442" s="15" t="s">
        <v>357</v>
      </c>
      <c r="J442" s="15">
        <v>45151</v>
      </c>
      <c r="K442" s="15" t="s">
        <v>358</v>
      </c>
      <c r="L442" s="15" t="s">
        <v>359</v>
      </c>
      <c r="M442" s="15">
        <v>496.59</v>
      </c>
      <c r="N442" s="15">
        <v>3</v>
      </c>
      <c r="O442" s="15" t="s">
        <v>60</v>
      </c>
      <c r="P442" s="15">
        <v>4</v>
      </c>
      <c r="Q442" s="15">
        <v>49</v>
      </c>
      <c r="R442" s="15">
        <v>45152</v>
      </c>
      <c r="S442" s="15" t="s">
        <v>360</v>
      </c>
      <c r="T442" s="15">
        <v>1</v>
      </c>
      <c r="U442" s="15">
        <v>1489.77</v>
      </c>
      <c r="V442" s="16">
        <v>0.15</v>
      </c>
      <c r="W442" s="15">
        <v>1266.3045</v>
      </c>
      <c r="X442" s="15">
        <v>1315.3045</v>
      </c>
      <c r="Y442" s="15" t="s">
        <v>2078</v>
      </c>
      <c r="Z442" s="15" t="s">
        <v>2060</v>
      </c>
      <c r="AA442" s="17">
        <v>12</v>
      </c>
      <c r="AB442">
        <v>118.08959999999999</v>
      </c>
    </row>
    <row r="443" spans="1:28">
      <c r="A443" s="18" t="s">
        <v>296</v>
      </c>
      <c r="B443" s="18" t="s">
        <v>297</v>
      </c>
      <c r="C443" s="18" t="s">
        <v>298</v>
      </c>
      <c r="D443" s="18">
        <v>48</v>
      </c>
      <c r="E443" s="18" t="s">
        <v>43</v>
      </c>
      <c r="F443" s="18" t="s">
        <v>92</v>
      </c>
      <c r="G443" s="18" t="s">
        <v>299</v>
      </c>
      <c r="H443" s="18" t="s">
        <v>300</v>
      </c>
      <c r="I443" s="18" t="s">
        <v>1779</v>
      </c>
      <c r="J443" s="18">
        <v>45399</v>
      </c>
      <c r="K443" s="18" t="s">
        <v>1780</v>
      </c>
      <c r="L443" s="18" t="s">
        <v>359</v>
      </c>
      <c r="M443" s="18">
        <v>496.59</v>
      </c>
      <c r="N443" s="18">
        <v>3</v>
      </c>
      <c r="O443" s="18" t="s">
        <v>65</v>
      </c>
      <c r="P443" s="18">
        <v>3</v>
      </c>
      <c r="Q443" s="18">
        <v>49</v>
      </c>
      <c r="R443" s="18">
        <v>45406</v>
      </c>
      <c r="S443" s="18" t="s">
        <v>1781</v>
      </c>
      <c r="T443" s="18">
        <v>7</v>
      </c>
      <c r="U443" s="18">
        <v>1489.77</v>
      </c>
      <c r="V443" s="19">
        <v>0</v>
      </c>
      <c r="W443" s="18">
        <v>1489.77</v>
      </c>
      <c r="X443" s="18">
        <v>1489.77</v>
      </c>
      <c r="Y443" s="18" t="s">
        <v>2080</v>
      </c>
      <c r="Z443" s="18" t="s">
        <v>2064</v>
      </c>
      <c r="AA443" s="20">
        <v>8</v>
      </c>
      <c r="AB443">
        <v>51.900000000000006</v>
      </c>
    </row>
    <row r="444" spans="1:28">
      <c r="A444" s="15" t="s">
        <v>230</v>
      </c>
      <c r="B444" s="15" t="s">
        <v>231</v>
      </c>
      <c r="C444" s="15" t="s">
        <v>232</v>
      </c>
      <c r="D444" s="15">
        <v>64</v>
      </c>
      <c r="E444" s="15" t="s">
        <v>43</v>
      </c>
      <c r="F444" s="15" t="s">
        <v>44</v>
      </c>
      <c r="G444" s="15" t="s">
        <v>233</v>
      </c>
      <c r="H444" s="15" t="s">
        <v>234</v>
      </c>
      <c r="I444" s="15" t="s">
        <v>1159</v>
      </c>
      <c r="J444" s="15">
        <v>45488</v>
      </c>
      <c r="K444" s="15" t="s">
        <v>1160</v>
      </c>
      <c r="L444" s="15" t="s">
        <v>347</v>
      </c>
      <c r="M444" s="15">
        <v>372.62</v>
      </c>
      <c r="N444" s="15">
        <v>4</v>
      </c>
      <c r="O444" s="15" t="s">
        <v>38</v>
      </c>
      <c r="P444" s="15">
        <v>1</v>
      </c>
      <c r="Q444" s="15">
        <v>45</v>
      </c>
      <c r="R444" s="15">
        <v>45492</v>
      </c>
      <c r="S444" s="15" t="s">
        <v>1161</v>
      </c>
      <c r="T444" s="15">
        <v>4</v>
      </c>
      <c r="U444" s="15">
        <v>1490.48</v>
      </c>
      <c r="V444" s="16">
        <v>0.08</v>
      </c>
      <c r="W444" s="15">
        <v>1371.2416000000001</v>
      </c>
      <c r="X444" s="15">
        <v>1416.2416000000001</v>
      </c>
      <c r="Y444" s="15" t="s">
        <v>2111</v>
      </c>
      <c r="Z444" s="15" t="s">
        <v>2064</v>
      </c>
      <c r="AA444" s="17">
        <v>9</v>
      </c>
      <c r="AB444">
        <v>3.3119999999999998</v>
      </c>
    </row>
    <row r="445" spans="1:28">
      <c r="A445" s="18" t="s">
        <v>258</v>
      </c>
      <c r="B445" s="18" t="s">
        <v>259</v>
      </c>
      <c r="C445" s="18" t="s">
        <v>260</v>
      </c>
      <c r="D445" s="18">
        <v>60</v>
      </c>
      <c r="E445" s="18" t="s">
        <v>54</v>
      </c>
      <c r="F445" s="18" t="s">
        <v>32</v>
      </c>
      <c r="G445" s="18" t="s">
        <v>261</v>
      </c>
      <c r="H445" s="18" t="s">
        <v>262</v>
      </c>
      <c r="I445" s="18" t="s">
        <v>1292</v>
      </c>
      <c r="J445" s="18">
        <v>44996</v>
      </c>
      <c r="K445" s="18" t="s">
        <v>1293</v>
      </c>
      <c r="L445" s="18" t="s">
        <v>347</v>
      </c>
      <c r="M445" s="18">
        <v>372.62</v>
      </c>
      <c r="N445" s="18">
        <v>4</v>
      </c>
      <c r="O445" s="18" t="s">
        <v>60</v>
      </c>
      <c r="P445" s="18">
        <v>2</v>
      </c>
      <c r="Q445" s="18">
        <v>42</v>
      </c>
      <c r="R445" s="18">
        <v>45001</v>
      </c>
      <c r="S445" s="18" t="s">
        <v>1294</v>
      </c>
      <c r="T445" s="18">
        <v>5</v>
      </c>
      <c r="U445" s="18">
        <v>1490.48</v>
      </c>
      <c r="V445" s="19">
        <v>0.15</v>
      </c>
      <c r="W445" s="18">
        <v>1266.9079999999999</v>
      </c>
      <c r="X445" s="18">
        <v>1308.9079999999999</v>
      </c>
      <c r="Y445" s="18" t="s">
        <v>2132</v>
      </c>
      <c r="Z445" s="18" t="s">
        <v>2064</v>
      </c>
      <c r="AA445" s="20">
        <v>3</v>
      </c>
      <c r="AB445">
        <v>74.524000000000001</v>
      </c>
    </row>
    <row r="446" spans="1:28">
      <c r="A446" s="15" t="s">
        <v>167</v>
      </c>
      <c r="B446" s="15" t="s">
        <v>168</v>
      </c>
      <c r="C446" s="15" t="s">
        <v>169</v>
      </c>
      <c r="D446" s="15">
        <v>46</v>
      </c>
      <c r="E446" s="15" t="s">
        <v>31</v>
      </c>
      <c r="F446" s="15" t="s">
        <v>170</v>
      </c>
      <c r="G446" s="15" t="s">
        <v>171</v>
      </c>
      <c r="H446" s="15" t="s">
        <v>172</v>
      </c>
      <c r="I446" s="15" t="s">
        <v>1952</v>
      </c>
      <c r="J446" s="15">
        <v>45525</v>
      </c>
      <c r="K446" s="15" t="s">
        <v>1953</v>
      </c>
      <c r="L446" s="15" t="s">
        <v>347</v>
      </c>
      <c r="M446" s="15">
        <v>372.62</v>
      </c>
      <c r="N446" s="15">
        <v>4</v>
      </c>
      <c r="O446" s="15" t="s">
        <v>38</v>
      </c>
      <c r="P446" s="15">
        <v>3</v>
      </c>
      <c r="Q446" s="15">
        <v>48</v>
      </c>
      <c r="R446" s="15">
        <v>45530</v>
      </c>
      <c r="S446" s="15" t="s">
        <v>1954</v>
      </c>
      <c r="T446" s="15">
        <v>5</v>
      </c>
      <c r="U446" s="15">
        <v>1490.48</v>
      </c>
      <c r="V446" s="16">
        <v>0.08</v>
      </c>
      <c r="W446" s="15">
        <v>1371.2416000000001</v>
      </c>
      <c r="X446" s="15">
        <v>1419.2416000000001</v>
      </c>
      <c r="Y446" s="15" t="s">
        <v>2069</v>
      </c>
      <c r="Z446" s="15" t="s">
        <v>2064</v>
      </c>
      <c r="AA446" s="17">
        <v>12</v>
      </c>
      <c r="AB446">
        <v>85.975999999999999</v>
      </c>
    </row>
    <row r="447" spans="1:28">
      <c r="A447" s="18" t="s">
        <v>625</v>
      </c>
      <c r="B447" s="18" t="s">
        <v>131</v>
      </c>
      <c r="C447" s="18" t="s">
        <v>626</v>
      </c>
      <c r="D447" s="18">
        <v>47</v>
      </c>
      <c r="E447" s="18" t="s">
        <v>54</v>
      </c>
      <c r="F447" s="18" t="s">
        <v>78</v>
      </c>
      <c r="G447" s="18" t="s">
        <v>627</v>
      </c>
      <c r="H447" s="18" t="s">
        <v>628</v>
      </c>
      <c r="I447" s="18" t="s">
        <v>749</v>
      </c>
      <c r="J447" s="18">
        <v>45397</v>
      </c>
      <c r="K447" s="18" t="s">
        <v>750</v>
      </c>
      <c r="L447" s="18" t="s">
        <v>751</v>
      </c>
      <c r="M447" s="18">
        <v>381.73</v>
      </c>
      <c r="N447" s="18">
        <v>4</v>
      </c>
      <c r="O447" s="18" t="s">
        <v>98</v>
      </c>
      <c r="P447" s="18">
        <v>1</v>
      </c>
      <c r="Q447" s="18">
        <v>66</v>
      </c>
      <c r="R447" s="18">
        <v>45400</v>
      </c>
      <c r="S447" s="18" t="s">
        <v>752</v>
      </c>
      <c r="T447" s="18">
        <v>3</v>
      </c>
      <c r="U447" s="18">
        <v>1526.92</v>
      </c>
      <c r="V447" s="19">
        <v>0.1</v>
      </c>
      <c r="W447" s="18">
        <v>1374.2280000000001</v>
      </c>
      <c r="X447" s="18">
        <v>1440.2280000000001</v>
      </c>
      <c r="Y447" s="18" t="s">
        <v>2151</v>
      </c>
      <c r="Z447" s="18" t="s">
        <v>2064</v>
      </c>
      <c r="AA447" s="20">
        <v>9</v>
      </c>
      <c r="AB447">
        <v>123.55200000000001</v>
      </c>
    </row>
    <row r="448" spans="1:28">
      <c r="A448" s="15" t="s">
        <v>1082</v>
      </c>
      <c r="B448" s="15" t="s">
        <v>221</v>
      </c>
      <c r="C448" s="15" t="s">
        <v>1083</v>
      </c>
      <c r="D448" s="15">
        <v>55</v>
      </c>
      <c r="E448" s="15" t="s">
        <v>43</v>
      </c>
      <c r="F448" s="15" t="s">
        <v>161</v>
      </c>
      <c r="G448" s="15" t="s">
        <v>1084</v>
      </c>
      <c r="H448" s="15" t="s">
        <v>1085</v>
      </c>
      <c r="I448" s="15" t="s">
        <v>1232</v>
      </c>
      <c r="J448" s="15">
        <v>45608</v>
      </c>
      <c r="K448" s="15" t="s">
        <v>1233</v>
      </c>
      <c r="L448" s="15" t="s">
        <v>751</v>
      </c>
      <c r="M448" s="15">
        <v>381.73</v>
      </c>
      <c r="N448" s="15">
        <v>4</v>
      </c>
      <c r="O448" s="15" t="s">
        <v>38</v>
      </c>
      <c r="P448" s="15">
        <v>2</v>
      </c>
      <c r="Q448" s="15">
        <v>58</v>
      </c>
      <c r="R448" s="15">
        <v>45613</v>
      </c>
      <c r="S448" s="15" t="s">
        <v>1234</v>
      </c>
      <c r="T448" s="15">
        <v>5</v>
      </c>
      <c r="U448" s="15">
        <v>1526.92</v>
      </c>
      <c r="V448" s="16">
        <v>0.08</v>
      </c>
      <c r="W448" s="15">
        <v>1404.7664</v>
      </c>
      <c r="X448" s="15">
        <v>1462.7664</v>
      </c>
      <c r="Y448" s="15" t="s">
        <v>2107</v>
      </c>
      <c r="Z448" s="15" t="s">
        <v>2064</v>
      </c>
      <c r="AA448" s="17">
        <v>1</v>
      </c>
      <c r="AB448">
        <v>46.815000000000005</v>
      </c>
    </row>
    <row r="449" spans="1:28">
      <c r="A449" s="18" t="s">
        <v>28</v>
      </c>
      <c r="B449" s="18" t="s">
        <v>29</v>
      </c>
      <c r="C449" s="18" t="s">
        <v>30</v>
      </c>
      <c r="D449" s="18">
        <v>37</v>
      </c>
      <c r="E449" s="18" t="s">
        <v>31</v>
      </c>
      <c r="F449" s="18" t="s">
        <v>32</v>
      </c>
      <c r="G449" s="18" t="s">
        <v>33</v>
      </c>
      <c r="H449" s="18" t="s">
        <v>34</v>
      </c>
      <c r="I449" s="18" t="s">
        <v>35</v>
      </c>
      <c r="J449" s="18">
        <v>45358</v>
      </c>
      <c r="K449" s="18" t="s">
        <v>36</v>
      </c>
      <c r="L449" s="18" t="s">
        <v>37</v>
      </c>
      <c r="M449" s="18">
        <v>308.88</v>
      </c>
      <c r="N449" s="18">
        <v>5</v>
      </c>
      <c r="O449" s="18" t="s">
        <v>38</v>
      </c>
      <c r="P449" s="18">
        <v>4</v>
      </c>
      <c r="Q449" s="18">
        <v>60</v>
      </c>
      <c r="R449" s="18">
        <v>45361</v>
      </c>
      <c r="S449" s="18" t="s">
        <v>39</v>
      </c>
      <c r="T449" s="18">
        <v>3</v>
      </c>
      <c r="U449" s="18">
        <v>1544.4</v>
      </c>
      <c r="V449" s="19">
        <v>0.08</v>
      </c>
      <c r="W449" s="18">
        <v>1420.8480000000002</v>
      </c>
      <c r="X449" s="18">
        <v>1480.8480000000002</v>
      </c>
      <c r="Y449" s="18" t="s">
        <v>2140</v>
      </c>
      <c r="Z449" s="18" t="s">
        <v>2060</v>
      </c>
      <c r="AA449" s="20">
        <v>5</v>
      </c>
      <c r="AB449">
        <v>0</v>
      </c>
    </row>
    <row r="450" spans="1:28">
      <c r="A450" s="15" t="s">
        <v>51</v>
      </c>
      <c r="B450" s="15" t="s">
        <v>52</v>
      </c>
      <c r="C450" s="15" t="s">
        <v>53</v>
      </c>
      <c r="D450" s="15">
        <v>60</v>
      </c>
      <c r="E450" s="15" t="s">
        <v>54</v>
      </c>
      <c r="F450" s="15" t="s">
        <v>32</v>
      </c>
      <c r="G450" s="15" t="s">
        <v>55</v>
      </c>
      <c r="H450" s="15" t="s">
        <v>56</v>
      </c>
      <c r="I450" s="15" t="s">
        <v>85</v>
      </c>
      <c r="J450" s="15">
        <v>45662</v>
      </c>
      <c r="K450" s="15" t="s">
        <v>86</v>
      </c>
      <c r="L450" s="15" t="s">
        <v>37</v>
      </c>
      <c r="M450" s="15">
        <v>308.88</v>
      </c>
      <c r="N450" s="15">
        <v>5</v>
      </c>
      <c r="O450" s="15" t="s">
        <v>87</v>
      </c>
      <c r="P450" s="15">
        <v>5</v>
      </c>
      <c r="Q450" s="15">
        <v>47</v>
      </c>
      <c r="R450" s="15">
        <v>45665</v>
      </c>
      <c r="S450" s="15" t="s">
        <v>88</v>
      </c>
      <c r="T450" s="15">
        <v>3</v>
      </c>
      <c r="U450" s="15">
        <v>1544.4</v>
      </c>
      <c r="V450" s="16">
        <v>0.2</v>
      </c>
      <c r="W450" s="15">
        <v>1235.52</v>
      </c>
      <c r="X450" s="15">
        <v>1282.52</v>
      </c>
      <c r="Y450" s="15" t="s">
        <v>2126</v>
      </c>
      <c r="Z450" s="15" t="s">
        <v>2060</v>
      </c>
      <c r="AA450" s="17">
        <v>3</v>
      </c>
      <c r="AB450">
        <v>66.512</v>
      </c>
    </row>
    <row r="451" spans="1:28">
      <c r="A451" s="18" t="s">
        <v>352</v>
      </c>
      <c r="B451" s="18" t="s">
        <v>353</v>
      </c>
      <c r="C451" s="18" t="s">
        <v>354</v>
      </c>
      <c r="D451" s="18">
        <v>70</v>
      </c>
      <c r="E451" s="18" t="s">
        <v>31</v>
      </c>
      <c r="F451" s="18" t="s">
        <v>170</v>
      </c>
      <c r="G451" s="18" t="s">
        <v>355</v>
      </c>
      <c r="H451" s="18" t="s">
        <v>356</v>
      </c>
      <c r="I451" s="18" t="s">
        <v>823</v>
      </c>
      <c r="J451" s="18">
        <v>45281</v>
      </c>
      <c r="K451" s="18" t="s">
        <v>824</v>
      </c>
      <c r="L451" s="18" t="s">
        <v>593</v>
      </c>
      <c r="M451" s="18">
        <v>403.03</v>
      </c>
      <c r="N451" s="18">
        <v>4</v>
      </c>
      <c r="O451" s="18" t="s">
        <v>98</v>
      </c>
      <c r="P451" s="18">
        <v>6</v>
      </c>
      <c r="Q451" s="18">
        <v>47</v>
      </c>
      <c r="R451" s="18">
        <v>45283</v>
      </c>
      <c r="S451" s="18" t="s">
        <v>825</v>
      </c>
      <c r="T451" s="18">
        <v>2</v>
      </c>
      <c r="U451" s="18">
        <v>1612.12</v>
      </c>
      <c r="V451" s="19">
        <v>0.1</v>
      </c>
      <c r="W451" s="18">
        <v>1450.9079999999999</v>
      </c>
      <c r="X451" s="18">
        <v>1497.9079999999999</v>
      </c>
      <c r="Y451" s="18" t="s">
        <v>2078</v>
      </c>
      <c r="Z451" s="18" t="s">
        <v>2060</v>
      </c>
      <c r="AA451" s="20">
        <v>12</v>
      </c>
      <c r="AB451">
        <v>86.724000000000004</v>
      </c>
    </row>
    <row r="452" spans="1:28">
      <c r="A452" s="15" t="s">
        <v>549</v>
      </c>
      <c r="B452" s="15" t="s">
        <v>550</v>
      </c>
      <c r="C452" s="15" t="s">
        <v>551</v>
      </c>
      <c r="D452" s="15">
        <v>33</v>
      </c>
      <c r="E452" s="15" t="s">
        <v>54</v>
      </c>
      <c r="F452" s="15" t="s">
        <v>170</v>
      </c>
      <c r="G452" s="15" t="s">
        <v>552</v>
      </c>
      <c r="H452" s="15" t="s">
        <v>553</v>
      </c>
      <c r="I452" s="15" t="s">
        <v>1608</v>
      </c>
      <c r="J452" s="15">
        <v>45553</v>
      </c>
      <c r="K452" s="15" t="s">
        <v>1609</v>
      </c>
      <c r="L452" s="15" t="s">
        <v>593</v>
      </c>
      <c r="M452" s="15">
        <v>403.03</v>
      </c>
      <c r="N452" s="15">
        <v>4</v>
      </c>
      <c r="O452" s="15" t="s">
        <v>98</v>
      </c>
      <c r="P452" s="15">
        <v>7</v>
      </c>
      <c r="Q452" s="15">
        <v>65</v>
      </c>
      <c r="R452" s="15">
        <v>45556</v>
      </c>
      <c r="S452" s="15" t="s">
        <v>1610</v>
      </c>
      <c r="T452" s="15">
        <v>3</v>
      </c>
      <c r="U452" s="15">
        <v>1612.12</v>
      </c>
      <c r="V452" s="16">
        <v>0.1</v>
      </c>
      <c r="W452" s="15">
        <v>1450.9079999999999</v>
      </c>
      <c r="X452" s="15">
        <v>1515.9079999999999</v>
      </c>
      <c r="Y452" s="15" t="s">
        <v>2149</v>
      </c>
      <c r="Z452" s="15" t="s">
        <v>2060</v>
      </c>
      <c r="AA452" s="17">
        <v>8</v>
      </c>
      <c r="AB452">
        <v>121.5</v>
      </c>
    </row>
    <row r="453" spans="1:28">
      <c r="A453" s="18" t="s">
        <v>493</v>
      </c>
      <c r="B453" s="18" t="s">
        <v>189</v>
      </c>
      <c r="C453" s="18" t="s">
        <v>330</v>
      </c>
      <c r="D453" s="18">
        <v>39</v>
      </c>
      <c r="E453" s="18" t="s">
        <v>54</v>
      </c>
      <c r="F453" s="18" t="s">
        <v>44</v>
      </c>
      <c r="G453" s="18" t="s">
        <v>494</v>
      </c>
      <c r="H453" s="18" t="s">
        <v>495</v>
      </c>
      <c r="I453" s="18" t="s">
        <v>1388</v>
      </c>
      <c r="J453" s="18">
        <v>45024</v>
      </c>
      <c r="K453" s="18" t="s">
        <v>1389</v>
      </c>
      <c r="L453" s="18" t="s">
        <v>64</v>
      </c>
      <c r="M453" s="18">
        <v>405</v>
      </c>
      <c r="N453" s="18">
        <v>4</v>
      </c>
      <c r="O453" s="18" t="s">
        <v>98</v>
      </c>
      <c r="P453" s="18">
        <v>7</v>
      </c>
      <c r="Q453" s="18">
        <v>70</v>
      </c>
      <c r="R453" s="18">
        <v>45029</v>
      </c>
      <c r="S453" s="18" t="s">
        <v>1390</v>
      </c>
      <c r="T453" s="18">
        <v>5</v>
      </c>
      <c r="U453" s="18">
        <v>1620</v>
      </c>
      <c r="V453" s="19">
        <v>0.1</v>
      </c>
      <c r="W453" s="18">
        <v>1458</v>
      </c>
      <c r="X453" s="18">
        <v>1528</v>
      </c>
      <c r="Y453" s="18" t="s">
        <v>2127</v>
      </c>
      <c r="Z453" s="18" t="s">
        <v>2060</v>
      </c>
      <c r="AA453" s="20">
        <v>5</v>
      </c>
      <c r="AB453">
        <v>198.06600000000003</v>
      </c>
    </row>
    <row r="454" spans="1:28">
      <c r="A454" s="15" t="s">
        <v>727</v>
      </c>
      <c r="B454" s="15" t="s">
        <v>728</v>
      </c>
      <c r="C454" s="15" t="s">
        <v>169</v>
      </c>
      <c r="D454" s="15">
        <v>70</v>
      </c>
      <c r="E454" s="15" t="s">
        <v>43</v>
      </c>
      <c r="F454" s="15" t="s">
        <v>92</v>
      </c>
      <c r="G454" s="15" t="s">
        <v>729</v>
      </c>
      <c r="H454" s="15" t="s">
        <v>730</v>
      </c>
      <c r="I454" s="15" t="s">
        <v>982</v>
      </c>
      <c r="J454" s="15">
        <v>45508</v>
      </c>
      <c r="K454" s="15" t="s">
        <v>983</v>
      </c>
      <c r="L454" s="15" t="s">
        <v>498</v>
      </c>
      <c r="M454" s="15">
        <v>421.7</v>
      </c>
      <c r="N454" s="15">
        <v>4</v>
      </c>
      <c r="O454" s="15" t="s">
        <v>38</v>
      </c>
      <c r="P454" s="15">
        <v>7</v>
      </c>
      <c r="Q454" s="15">
        <v>69</v>
      </c>
      <c r="R454" s="15">
        <v>45514</v>
      </c>
      <c r="S454" s="15" t="s">
        <v>984</v>
      </c>
      <c r="T454" s="15">
        <v>6</v>
      </c>
      <c r="U454" s="15">
        <v>1686.8</v>
      </c>
      <c r="V454" s="16">
        <v>0.08</v>
      </c>
      <c r="W454" s="15">
        <v>1551.856</v>
      </c>
      <c r="X454" s="15">
        <v>1620.856</v>
      </c>
      <c r="Y454" s="15" t="s">
        <v>2128</v>
      </c>
      <c r="Z454" s="15" t="s">
        <v>2060</v>
      </c>
      <c r="AA454" s="17">
        <v>3</v>
      </c>
      <c r="AB454">
        <v>33.011000000000003</v>
      </c>
    </row>
    <row r="455" spans="1:28">
      <c r="A455" s="18" t="s">
        <v>1241</v>
      </c>
      <c r="B455" s="18" t="s">
        <v>1242</v>
      </c>
      <c r="C455" s="18" t="s">
        <v>1243</v>
      </c>
      <c r="D455" s="18">
        <v>55</v>
      </c>
      <c r="E455" s="18" t="s">
        <v>43</v>
      </c>
      <c r="F455" s="18" t="s">
        <v>161</v>
      </c>
      <c r="G455" s="18" t="s">
        <v>1244</v>
      </c>
      <c r="H455" s="18" t="s">
        <v>1245</v>
      </c>
      <c r="I455" s="18" t="s">
        <v>1513</v>
      </c>
      <c r="J455" s="18">
        <v>45384</v>
      </c>
      <c r="K455" s="18" t="s">
        <v>1514</v>
      </c>
      <c r="L455" s="18" t="s">
        <v>498</v>
      </c>
      <c r="M455" s="18">
        <v>421.7</v>
      </c>
      <c r="N455" s="18">
        <v>4</v>
      </c>
      <c r="O455" s="18" t="s">
        <v>38</v>
      </c>
      <c r="P455" s="18">
        <v>5</v>
      </c>
      <c r="Q455" s="18">
        <v>55</v>
      </c>
      <c r="R455" s="18">
        <v>45389</v>
      </c>
      <c r="S455" s="18" t="s">
        <v>1515</v>
      </c>
      <c r="T455" s="18">
        <v>5</v>
      </c>
      <c r="U455" s="18">
        <v>1686.8</v>
      </c>
      <c r="V455" s="19">
        <v>0.08</v>
      </c>
      <c r="W455" s="18">
        <v>1551.856</v>
      </c>
      <c r="X455" s="18">
        <v>1606.856</v>
      </c>
      <c r="Y455" s="18" t="s">
        <v>2101</v>
      </c>
      <c r="Z455" s="18" t="s">
        <v>2072</v>
      </c>
      <c r="AA455" s="20">
        <v>10</v>
      </c>
      <c r="AB455">
        <v>133.74299999999999</v>
      </c>
    </row>
    <row r="456" spans="1:28">
      <c r="A456" s="15" t="s">
        <v>178</v>
      </c>
      <c r="B456" s="15" t="s">
        <v>179</v>
      </c>
      <c r="C456" s="15" t="s">
        <v>180</v>
      </c>
      <c r="D456" s="15">
        <v>36</v>
      </c>
      <c r="E456" s="15" t="s">
        <v>54</v>
      </c>
      <c r="F456" s="15" t="s">
        <v>142</v>
      </c>
      <c r="G456" s="15" t="s">
        <v>181</v>
      </c>
      <c r="H456" s="15" t="s">
        <v>182</v>
      </c>
      <c r="I456" s="15" t="s">
        <v>1703</v>
      </c>
      <c r="J456" s="15">
        <v>45091</v>
      </c>
      <c r="K456" s="15" t="s">
        <v>1704</v>
      </c>
      <c r="L456" s="15" t="s">
        <v>689</v>
      </c>
      <c r="M456" s="15">
        <v>424.82</v>
      </c>
      <c r="N456" s="15">
        <v>4</v>
      </c>
      <c r="O456" s="15" t="s">
        <v>98</v>
      </c>
      <c r="P456" s="15">
        <v>5</v>
      </c>
      <c r="Q456" s="15">
        <v>58</v>
      </c>
      <c r="R456" s="15">
        <v>45098</v>
      </c>
      <c r="S456" s="15" t="s">
        <v>1705</v>
      </c>
      <c r="T456" s="15">
        <v>7</v>
      </c>
      <c r="U456" s="15">
        <v>1699.28</v>
      </c>
      <c r="V456" s="16">
        <v>0.1</v>
      </c>
      <c r="W456" s="15">
        <v>1529.3519999999999</v>
      </c>
      <c r="X456" s="15">
        <v>1587.3519999999999</v>
      </c>
      <c r="Y456" s="15" t="s">
        <v>2071</v>
      </c>
      <c r="Z456" s="15" t="s">
        <v>2064</v>
      </c>
      <c r="AA456" s="17">
        <v>3</v>
      </c>
      <c r="AB456">
        <v>0</v>
      </c>
    </row>
    <row r="457" spans="1:28">
      <c r="A457" s="18" t="s">
        <v>352</v>
      </c>
      <c r="B457" s="18" t="s">
        <v>353</v>
      </c>
      <c r="C457" s="18" t="s">
        <v>354</v>
      </c>
      <c r="D457" s="18">
        <v>70</v>
      </c>
      <c r="E457" s="18" t="s">
        <v>31</v>
      </c>
      <c r="F457" s="18" t="s">
        <v>170</v>
      </c>
      <c r="G457" s="18" t="s">
        <v>355</v>
      </c>
      <c r="H457" s="18" t="s">
        <v>356</v>
      </c>
      <c r="I457" s="18" t="s">
        <v>1782</v>
      </c>
      <c r="J457" s="18">
        <v>45396</v>
      </c>
      <c r="K457" s="18" t="s">
        <v>1783</v>
      </c>
      <c r="L457" s="18" t="s">
        <v>689</v>
      </c>
      <c r="M457" s="18">
        <v>424.82</v>
      </c>
      <c r="N457" s="18">
        <v>4</v>
      </c>
      <c r="O457" s="18" t="s">
        <v>60</v>
      </c>
      <c r="P457" s="18">
        <v>1</v>
      </c>
      <c r="Q457" s="18">
        <v>70</v>
      </c>
      <c r="R457" s="18">
        <v>45402</v>
      </c>
      <c r="S457" s="18" t="s">
        <v>1784</v>
      </c>
      <c r="T457" s="18">
        <v>6</v>
      </c>
      <c r="U457" s="18">
        <v>1699.28</v>
      </c>
      <c r="V457" s="19">
        <v>0.15</v>
      </c>
      <c r="W457" s="18">
        <v>1444.3879999999999</v>
      </c>
      <c r="X457" s="18">
        <v>1514.3879999999999</v>
      </c>
      <c r="Y457" s="18" t="s">
        <v>2078</v>
      </c>
      <c r="Z457" s="18" t="s">
        <v>2064</v>
      </c>
      <c r="AA457" s="20">
        <v>8</v>
      </c>
      <c r="AB457">
        <v>31.527999999999999</v>
      </c>
    </row>
    <row r="458" spans="1:28">
      <c r="A458" s="15" t="s">
        <v>549</v>
      </c>
      <c r="B458" s="15" t="s">
        <v>550</v>
      </c>
      <c r="C458" s="15" t="s">
        <v>551</v>
      </c>
      <c r="D458" s="15">
        <v>33</v>
      </c>
      <c r="E458" s="15" t="s">
        <v>54</v>
      </c>
      <c r="F458" s="15" t="s">
        <v>170</v>
      </c>
      <c r="G458" s="15" t="s">
        <v>552</v>
      </c>
      <c r="H458" s="15" t="s">
        <v>553</v>
      </c>
      <c r="I458" s="15" t="s">
        <v>554</v>
      </c>
      <c r="J458" s="15">
        <v>45495</v>
      </c>
      <c r="K458" s="15" t="s">
        <v>555</v>
      </c>
      <c r="L458" s="15" t="s">
        <v>556</v>
      </c>
      <c r="M458" s="15">
        <v>425.59</v>
      </c>
      <c r="N458" s="15">
        <v>4</v>
      </c>
      <c r="O458" s="15" t="s">
        <v>65</v>
      </c>
      <c r="P458" s="15">
        <v>6</v>
      </c>
      <c r="Q458" s="15">
        <v>53</v>
      </c>
      <c r="R458" s="15">
        <v>45496</v>
      </c>
      <c r="S458" s="15" t="s">
        <v>557</v>
      </c>
      <c r="T458" s="15">
        <v>1</v>
      </c>
      <c r="U458" s="15">
        <v>1702.36</v>
      </c>
      <c r="V458" s="16">
        <v>0</v>
      </c>
      <c r="W458" s="15">
        <v>1702.36</v>
      </c>
      <c r="X458" s="15">
        <v>1702.36</v>
      </c>
      <c r="Y458" s="15" t="s">
        <v>2149</v>
      </c>
      <c r="Z458" s="15" t="s">
        <v>2060</v>
      </c>
      <c r="AA458" s="17">
        <v>11</v>
      </c>
      <c r="AB458">
        <v>20.564800000000002</v>
      </c>
    </row>
    <row r="459" spans="1:28">
      <c r="A459" s="18" t="s">
        <v>149</v>
      </c>
      <c r="B459" s="18" t="s">
        <v>150</v>
      </c>
      <c r="C459" s="18" t="s">
        <v>151</v>
      </c>
      <c r="D459" s="18">
        <v>44</v>
      </c>
      <c r="E459" s="18" t="s">
        <v>43</v>
      </c>
      <c r="F459" s="18" t="s">
        <v>92</v>
      </c>
      <c r="G459" s="18" t="s">
        <v>152</v>
      </c>
      <c r="H459" s="18" t="s">
        <v>153</v>
      </c>
      <c r="I459" s="18" t="s">
        <v>805</v>
      </c>
      <c r="J459" s="18">
        <v>45636</v>
      </c>
      <c r="K459" s="18" t="s">
        <v>806</v>
      </c>
      <c r="L459" s="18" t="s">
        <v>386</v>
      </c>
      <c r="M459" s="18">
        <v>431.44</v>
      </c>
      <c r="N459" s="18">
        <v>4</v>
      </c>
      <c r="O459" s="18" t="s">
        <v>60</v>
      </c>
      <c r="P459" s="18">
        <v>2</v>
      </c>
      <c r="Q459" s="18">
        <v>66</v>
      </c>
      <c r="R459" s="18">
        <v>45637</v>
      </c>
      <c r="S459" s="18" t="s">
        <v>807</v>
      </c>
      <c r="T459" s="18">
        <v>1</v>
      </c>
      <c r="U459" s="18">
        <v>1725.76</v>
      </c>
      <c r="V459" s="19">
        <v>0.15</v>
      </c>
      <c r="W459" s="18">
        <v>1466.896</v>
      </c>
      <c r="X459" s="18">
        <v>1532.896</v>
      </c>
      <c r="Y459" s="18" t="s">
        <v>2129</v>
      </c>
      <c r="Z459" s="18" t="s">
        <v>2060</v>
      </c>
      <c r="AA459" s="20">
        <v>2</v>
      </c>
      <c r="AB459">
        <v>103.54559999999999</v>
      </c>
    </row>
    <row r="460" spans="1:28">
      <c r="A460" s="15" t="s">
        <v>523</v>
      </c>
      <c r="B460" s="15" t="s">
        <v>524</v>
      </c>
      <c r="C460" s="15" t="s">
        <v>525</v>
      </c>
      <c r="D460" s="15">
        <v>42</v>
      </c>
      <c r="E460" s="15" t="s">
        <v>54</v>
      </c>
      <c r="F460" s="15" t="s">
        <v>78</v>
      </c>
      <c r="G460" s="15" t="s">
        <v>526</v>
      </c>
      <c r="H460" s="15" t="s">
        <v>527</v>
      </c>
      <c r="I460" s="15" t="s">
        <v>1403</v>
      </c>
      <c r="J460" s="15">
        <v>45233</v>
      </c>
      <c r="K460" s="15" t="s">
        <v>1404</v>
      </c>
      <c r="L460" s="15" t="s">
        <v>386</v>
      </c>
      <c r="M460" s="15">
        <v>431.44</v>
      </c>
      <c r="N460" s="15">
        <v>4</v>
      </c>
      <c r="O460" s="15" t="s">
        <v>65</v>
      </c>
      <c r="P460" s="15">
        <v>3</v>
      </c>
      <c r="Q460" s="15">
        <v>65</v>
      </c>
      <c r="R460" s="15">
        <v>45239</v>
      </c>
      <c r="S460" s="15" t="s">
        <v>1405</v>
      </c>
      <c r="T460" s="15">
        <v>6</v>
      </c>
      <c r="U460" s="15">
        <v>1725.76</v>
      </c>
      <c r="V460" s="16">
        <v>0</v>
      </c>
      <c r="W460" s="15">
        <v>1725.76</v>
      </c>
      <c r="X460" s="15">
        <v>1725.76</v>
      </c>
      <c r="Y460" s="15" t="s">
        <v>2066</v>
      </c>
      <c r="Z460" s="15" t="s">
        <v>2064</v>
      </c>
      <c r="AA460" s="17">
        <v>9</v>
      </c>
      <c r="AB460">
        <v>19.945499999999999</v>
      </c>
    </row>
    <row r="461" spans="1:28">
      <c r="A461" s="18" t="s">
        <v>850</v>
      </c>
      <c r="B461" s="18" t="s">
        <v>851</v>
      </c>
      <c r="C461" s="18" t="s">
        <v>390</v>
      </c>
      <c r="D461" s="18">
        <v>37</v>
      </c>
      <c r="E461" s="18" t="s">
        <v>54</v>
      </c>
      <c r="F461" s="18" t="s">
        <v>223</v>
      </c>
      <c r="G461" s="18" t="s">
        <v>852</v>
      </c>
      <c r="H461" s="18" t="s">
        <v>853</v>
      </c>
      <c r="I461" s="18" t="s">
        <v>854</v>
      </c>
      <c r="J461" s="18">
        <v>45249</v>
      </c>
      <c r="K461" s="18" t="s">
        <v>855</v>
      </c>
      <c r="L461" s="18" t="s">
        <v>656</v>
      </c>
      <c r="M461" s="18">
        <v>433.62</v>
      </c>
      <c r="N461" s="18">
        <v>4</v>
      </c>
      <c r="O461" s="18" t="s">
        <v>87</v>
      </c>
      <c r="P461" s="18">
        <v>3</v>
      </c>
      <c r="Q461" s="18">
        <v>36</v>
      </c>
      <c r="R461" s="18">
        <v>45252</v>
      </c>
      <c r="S461" s="18" t="s">
        <v>856</v>
      </c>
      <c r="T461" s="18">
        <v>3</v>
      </c>
      <c r="U461" s="18">
        <v>1734.48</v>
      </c>
      <c r="V461" s="19">
        <v>0.2</v>
      </c>
      <c r="W461" s="18">
        <v>1387.5840000000001</v>
      </c>
      <c r="X461" s="18">
        <v>1423.5840000000001</v>
      </c>
      <c r="Y461" s="18" t="s">
        <v>2133</v>
      </c>
      <c r="Z461" s="18" t="s">
        <v>2072</v>
      </c>
      <c r="AA461" s="20">
        <v>3</v>
      </c>
      <c r="AB461">
        <v>0</v>
      </c>
    </row>
    <row r="462" spans="1:28">
      <c r="A462" s="15" t="s">
        <v>1460</v>
      </c>
      <c r="B462" s="15" t="s">
        <v>276</v>
      </c>
      <c r="C462" s="15" t="s">
        <v>1461</v>
      </c>
      <c r="D462" s="15">
        <v>30</v>
      </c>
      <c r="E462" s="15" t="s">
        <v>31</v>
      </c>
      <c r="F462" s="15" t="s">
        <v>223</v>
      </c>
      <c r="G462" s="15" t="s">
        <v>1462</v>
      </c>
      <c r="H462" s="15" t="s">
        <v>1463</v>
      </c>
      <c r="I462" s="15" t="s">
        <v>1566</v>
      </c>
      <c r="J462" s="15">
        <v>45386</v>
      </c>
      <c r="K462" s="15" t="s">
        <v>1567</v>
      </c>
      <c r="L462" s="15" t="s">
        <v>656</v>
      </c>
      <c r="M462" s="15">
        <v>433.62</v>
      </c>
      <c r="N462" s="15">
        <v>4</v>
      </c>
      <c r="O462" s="15" t="s">
        <v>65</v>
      </c>
      <c r="P462" s="15">
        <v>1</v>
      </c>
      <c r="Q462" s="15">
        <v>56</v>
      </c>
      <c r="R462" s="15">
        <v>45392</v>
      </c>
      <c r="S462" s="15" t="s">
        <v>1568</v>
      </c>
      <c r="T462" s="15">
        <v>6</v>
      </c>
      <c r="U462" s="15">
        <v>1734.48</v>
      </c>
      <c r="V462" s="16">
        <v>0</v>
      </c>
      <c r="W462" s="15">
        <v>1734.48</v>
      </c>
      <c r="X462" s="15">
        <v>1734.48</v>
      </c>
      <c r="Y462" s="15" t="s">
        <v>2084</v>
      </c>
      <c r="Z462" s="15" t="s">
        <v>2064</v>
      </c>
      <c r="AA462" s="17">
        <v>10</v>
      </c>
      <c r="AB462">
        <v>65.31750000000001</v>
      </c>
    </row>
    <row r="463" spans="1:28">
      <c r="A463" s="18" t="s">
        <v>486</v>
      </c>
      <c r="B463" s="18" t="s">
        <v>487</v>
      </c>
      <c r="C463" s="18" t="s">
        <v>132</v>
      </c>
      <c r="D463" s="18">
        <v>68</v>
      </c>
      <c r="E463" s="18" t="s">
        <v>54</v>
      </c>
      <c r="F463" s="18" t="s">
        <v>223</v>
      </c>
      <c r="G463" s="18" t="s">
        <v>488</v>
      </c>
      <c r="H463" s="18" t="s">
        <v>489</v>
      </c>
      <c r="I463" s="18" t="s">
        <v>1210</v>
      </c>
      <c r="J463" s="18">
        <v>45417</v>
      </c>
      <c r="K463" s="18" t="s">
        <v>1211</v>
      </c>
      <c r="L463" s="18" t="s">
        <v>97</v>
      </c>
      <c r="M463" s="18">
        <v>363.64</v>
      </c>
      <c r="N463" s="18">
        <v>5</v>
      </c>
      <c r="O463" s="18" t="s">
        <v>98</v>
      </c>
      <c r="P463" s="18">
        <v>7</v>
      </c>
      <c r="Q463" s="18">
        <v>60</v>
      </c>
      <c r="R463" s="18">
        <v>45419</v>
      </c>
      <c r="S463" s="18" t="s">
        <v>1212</v>
      </c>
      <c r="T463" s="18">
        <v>2</v>
      </c>
      <c r="U463" s="18">
        <v>1818.1999999999998</v>
      </c>
      <c r="V463" s="19">
        <v>0.1</v>
      </c>
      <c r="W463" s="18">
        <v>1636.3799999999999</v>
      </c>
      <c r="X463" s="18">
        <v>1696.3799999999999</v>
      </c>
      <c r="Y463" s="18" t="s">
        <v>2135</v>
      </c>
      <c r="Z463" s="18" t="s">
        <v>2060</v>
      </c>
      <c r="AA463" s="20">
        <v>10</v>
      </c>
      <c r="AB463">
        <v>286.29750000000001</v>
      </c>
    </row>
    <row r="464" spans="1:28">
      <c r="A464" s="15" t="s">
        <v>1224</v>
      </c>
      <c r="B464" s="15" t="s">
        <v>1225</v>
      </c>
      <c r="C464" s="15" t="s">
        <v>1226</v>
      </c>
      <c r="D464" s="15">
        <v>19</v>
      </c>
      <c r="E464" s="15" t="s">
        <v>43</v>
      </c>
      <c r="F464" s="15" t="s">
        <v>78</v>
      </c>
      <c r="G464" s="15" t="s">
        <v>1227</v>
      </c>
      <c r="H464" s="15" t="s">
        <v>1228</v>
      </c>
      <c r="I464" s="15" t="s">
        <v>1352</v>
      </c>
      <c r="J464" s="15">
        <v>45017</v>
      </c>
      <c r="K464" s="15" t="s">
        <v>1353</v>
      </c>
      <c r="L464" s="15" t="s">
        <v>228</v>
      </c>
      <c r="M464" s="15">
        <v>461.07</v>
      </c>
      <c r="N464" s="15">
        <v>4</v>
      </c>
      <c r="O464" s="15" t="s">
        <v>65</v>
      </c>
      <c r="P464" s="15">
        <v>6</v>
      </c>
      <c r="Q464" s="15">
        <v>46</v>
      </c>
      <c r="R464" s="15">
        <v>45022</v>
      </c>
      <c r="S464" s="15" t="s">
        <v>1354</v>
      </c>
      <c r="T464" s="15">
        <v>5</v>
      </c>
      <c r="U464" s="15">
        <v>1844.28</v>
      </c>
      <c r="V464" s="16">
        <v>0</v>
      </c>
      <c r="W464" s="15">
        <v>1844.28</v>
      </c>
      <c r="X464" s="15">
        <v>1844.28</v>
      </c>
      <c r="Y464" s="15" t="s">
        <v>2077</v>
      </c>
      <c r="Z464" s="15" t="s">
        <v>2060</v>
      </c>
      <c r="AA464" s="17">
        <v>6</v>
      </c>
      <c r="AB464">
        <v>194.148</v>
      </c>
    </row>
    <row r="465" spans="1:28">
      <c r="A465" s="18" t="s">
        <v>1617</v>
      </c>
      <c r="B465" s="18" t="s">
        <v>276</v>
      </c>
      <c r="C465" s="18" t="s">
        <v>1618</v>
      </c>
      <c r="D465" s="18">
        <v>62</v>
      </c>
      <c r="E465" s="18" t="s">
        <v>43</v>
      </c>
      <c r="F465" s="18" t="s">
        <v>44</v>
      </c>
      <c r="G465" s="18" t="s">
        <v>1619</v>
      </c>
      <c r="H465" s="18" t="s">
        <v>1620</v>
      </c>
      <c r="I465" s="18" t="s">
        <v>1721</v>
      </c>
      <c r="J465" s="18">
        <v>45344</v>
      </c>
      <c r="K465" s="18" t="s">
        <v>1722</v>
      </c>
      <c r="L465" s="18" t="s">
        <v>228</v>
      </c>
      <c r="M465" s="18">
        <v>461.07</v>
      </c>
      <c r="N465" s="18">
        <v>4</v>
      </c>
      <c r="O465" s="18" t="s">
        <v>60</v>
      </c>
      <c r="P465" s="18">
        <v>1</v>
      </c>
      <c r="Q465" s="18">
        <v>66</v>
      </c>
      <c r="R465" s="18">
        <v>45346</v>
      </c>
      <c r="S465" s="18" t="s">
        <v>1723</v>
      </c>
      <c r="T465" s="18">
        <v>2</v>
      </c>
      <c r="U465" s="18">
        <v>1844.28</v>
      </c>
      <c r="V465" s="19">
        <v>0.15</v>
      </c>
      <c r="W465" s="18">
        <v>1567.6379999999999</v>
      </c>
      <c r="X465" s="18">
        <v>1633.6379999999999</v>
      </c>
      <c r="Y465" s="18" t="s">
        <v>2067</v>
      </c>
      <c r="Z465" s="18" t="s">
        <v>2064</v>
      </c>
      <c r="AA465" s="20">
        <v>4</v>
      </c>
      <c r="AB465">
        <v>0</v>
      </c>
    </row>
    <row r="466" spans="1:28">
      <c r="A466" s="15" t="s">
        <v>1460</v>
      </c>
      <c r="B466" s="15" t="s">
        <v>276</v>
      </c>
      <c r="C466" s="15" t="s">
        <v>1461</v>
      </c>
      <c r="D466" s="15">
        <v>30</v>
      </c>
      <c r="E466" s="15" t="s">
        <v>31</v>
      </c>
      <c r="F466" s="15" t="s">
        <v>223</v>
      </c>
      <c r="G466" s="15" t="s">
        <v>1462</v>
      </c>
      <c r="H466" s="15" t="s">
        <v>1463</v>
      </c>
      <c r="I466" s="15" t="s">
        <v>1700</v>
      </c>
      <c r="J466" s="15">
        <v>45361</v>
      </c>
      <c r="K466" s="15" t="s">
        <v>1701</v>
      </c>
      <c r="L466" s="15" t="s">
        <v>347</v>
      </c>
      <c r="M466" s="15">
        <v>372.62</v>
      </c>
      <c r="N466" s="15">
        <v>5</v>
      </c>
      <c r="O466" s="15" t="s">
        <v>38</v>
      </c>
      <c r="P466" s="15">
        <v>4</v>
      </c>
      <c r="Q466" s="15">
        <v>66</v>
      </c>
      <c r="R466" s="15">
        <v>45364</v>
      </c>
      <c r="S466" s="15" t="s">
        <v>1702</v>
      </c>
      <c r="T466" s="15">
        <v>3</v>
      </c>
      <c r="U466" s="15">
        <v>1863.1</v>
      </c>
      <c r="V466" s="16">
        <v>0.08</v>
      </c>
      <c r="W466" s="15">
        <v>1714.0519999999999</v>
      </c>
      <c r="X466" s="15">
        <v>1780.0519999999999</v>
      </c>
      <c r="Y466" s="15" t="s">
        <v>2084</v>
      </c>
      <c r="Z466" s="15" t="s">
        <v>2060</v>
      </c>
      <c r="AA466" s="17">
        <v>8</v>
      </c>
      <c r="AB466">
        <v>119.2384</v>
      </c>
    </row>
    <row r="467" spans="1:28">
      <c r="A467" s="18" t="s">
        <v>989</v>
      </c>
      <c r="B467" s="18" t="s">
        <v>990</v>
      </c>
      <c r="C467" s="18" t="s">
        <v>991</v>
      </c>
      <c r="D467" s="18">
        <v>49</v>
      </c>
      <c r="E467" s="18" t="s">
        <v>31</v>
      </c>
      <c r="F467" s="18" t="s">
        <v>44</v>
      </c>
      <c r="G467" s="18" t="s">
        <v>992</v>
      </c>
      <c r="H467" s="18" t="s">
        <v>993</v>
      </c>
      <c r="I467" s="18" t="s">
        <v>1259</v>
      </c>
      <c r="J467" s="18">
        <v>45233</v>
      </c>
      <c r="K467" s="18" t="s">
        <v>1260</v>
      </c>
      <c r="L467" s="18" t="s">
        <v>751</v>
      </c>
      <c r="M467" s="18">
        <v>381.73</v>
      </c>
      <c r="N467" s="18">
        <v>5</v>
      </c>
      <c r="O467" s="18" t="s">
        <v>38</v>
      </c>
      <c r="P467" s="18">
        <v>7</v>
      </c>
      <c r="Q467" s="18">
        <v>45</v>
      </c>
      <c r="R467" s="18">
        <v>45236</v>
      </c>
      <c r="S467" s="18" t="s">
        <v>1261</v>
      </c>
      <c r="T467" s="18">
        <v>3</v>
      </c>
      <c r="U467" s="18">
        <v>1908.65</v>
      </c>
      <c r="V467" s="19">
        <v>0.08</v>
      </c>
      <c r="W467" s="18">
        <v>1755.9580000000001</v>
      </c>
      <c r="X467" s="18">
        <v>1800.9580000000001</v>
      </c>
      <c r="Y467" s="18" t="s">
        <v>2159</v>
      </c>
      <c r="Z467" s="18" t="s">
        <v>2060</v>
      </c>
      <c r="AA467" s="20">
        <v>6</v>
      </c>
      <c r="AB467">
        <v>267.48600000000005</v>
      </c>
    </row>
    <row r="468" spans="1:28">
      <c r="A468" s="15" t="s">
        <v>826</v>
      </c>
      <c r="B468" s="15" t="s">
        <v>827</v>
      </c>
      <c r="C468" s="15" t="s">
        <v>828</v>
      </c>
      <c r="D468" s="15">
        <v>42</v>
      </c>
      <c r="E468" s="15" t="s">
        <v>31</v>
      </c>
      <c r="F468" s="15" t="s">
        <v>78</v>
      </c>
      <c r="G468" s="15" t="s">
        <v>829</v>
      </c>
      <c r="H468" s="15" t="s">
        <v>830</v>
      </c>
      <c r="I468" s="15" t="s">
        <v>1943</v>
      </c>
      <c r="J468" s="15">
        <v>45596</v>
      </c>
      <c r="K468" s="15" t="s">
        <v>1944</v>
      </c>
      <c r="L468" s="15" t="s">
        <v>751</v>
      </c>
      <c r="M468" s="15">
        <v>381.73</v>
      </c>
      <c r="N468" s="15">
        <v>5</v>
      </c>
      <c r="O468" s="15" t="s">
        <v>60</v>
      </c>
      <c r="P468" s="15">
        <v>1</v>
      </c>
      <c r="Q468" s="15">
        <v>53</v>
      </c>
      <c r="R468" s="15">
        <v>45603</v>
      </c>
      <c r="S468" s="15" t="s">
        <v>1945</v>
      </c>
      <c r="T468" s="15">
        <v>7</v>
      </c>
      <c r="U468" s="15">
        <v>1908.65</v>
      </c>
      <c r="V468" s="16">
        <v>0.15</v>
      </c>
      <c r="W468" s="15">
        <v>1622.3525</v>
      </c>
      <c r="X468" s="15">
        <v>1675.3525</v>
      </c>
      <c r="Y468" s="15" t="s">
        <v>2145</v>
      </c>
      <c r="Z468" s="15" t="s">
        <v>2064</v>
      </c>
      <c r="AA468" s="17">
        <v>4</v>
      </c>
      <c r="AB468">
        <v>120.90899999999999</v>
      </c>
    </row>
    <row r="469" spans="1:28">
      <c r="A469" s="18" t="s">
        <v>549</v>
      </c>
      <c r="B469" s="18" t="s">
        <v>550</v>
      </c>
      <c r="C469" s="18" t="s">
        <v>551</v>
      </c>
      <c r="D469" s="18">
        <v>33</v>
      </c>
      <c r="E469" s="18" t="s">
        <v>54</v>
      </c>
      <c r="F469" s="18" t="s">
        <v>170</v>
      </c>
      <c r="G469" s="18" t="s">
        <v>552</v>
      </c>
      <c r="H469" s="18" t="s">
        <v>553</v>
      </c>
      <c r="I469" s="18" t="s">
        <v>1079</v>
      </c>
      <c r="J469" s="18">
        <v>45125</v>
      </c>
      <c r="K469" s="18" t="s">
        <v>1080</v>
      </c>
      <c r="L469" s="18" t="s">
        <v>576</v>
      </c>
      <c r="M469" s="18">
        <v>477.52</v>
      </c>
      <c r="N469" s="18">
        <v>4</v>
      </c>
      <c r="O469" s="18" t="s">
        <v>87</v>
      </c>
      <c r="P469" s="18">
        <v>5</v>
      </c>
      <c r="Q469" s="18">
        <v>55</v>
      </c>
      <c r="R469" s="18">
        <v>45127</v>
      </c>
      <c r="S469" s="18" t="s">
        <v>1081</v>
      </c>
      <c r="T469" s="18">
        <v>2</v>
      </c>
      <c r="U469" s="18">
        <v>1910.08</v>
      </c>
      <c r="V469" s="19">
        <v>0.2</v>
      </c>
      <c r="W469" s="18">
        <v>1528.0639999999999</v>
      </c>
      <c r="X469" s="18">
        <v>1583.0639999999999</v>
      </c>
      <c r="Y469" s="18" t="s">
        <v>2149</v>
      </c>
      <c r="Z469" s="18" t="s">
        <v>2060</v>
      </c>
      <c r="AA469" s="20">
        <v>5</v>
      </c>
      <c r="AB469">
        <v>198.636</v>
      </c>
    </row>
    <row r="470" spans="1:28">
      <c r="A470" s="15" t="s">
        <v>1935</v>
      </c>
      <c r="B470" s="15" t="s">
        <v>1936</v>
      </c>
      <c r="C470" s="15" t="s">
        <v>1937</v>
      </c>
      <c r="D470" s="15">
        <v>54</v>
      </c>
      <c r="E470" s="15" t="s">
        <v>43</v>
      </c>
      <c r="F470" s="15" t="s">
        <v>78</v>
      </c>
      <c r="G470" s="15" t="s">
        <v>1938</v>
      </c>
      <c r="H470" s="15" t="s">
        <v>1939</v>
      </c>
      <c r="I470" s="15" t="s">
        <v>1988</v>
      </c>
      <c r="J470" s="15">
        <v>45353</v>
      </c>
      <c r="K470" s="15" t="s">
        <v>1989</v>
      </c>
      <c r="L470" s="15" t="s">
        <v>576</v>
      </c>
      <c r="M470" s="15">
        <v>477.52</v>
      </c>
      <c r="N470" s="15">
        <v>4</v>
      </c>
      <c r="O470" s="15" t="s">
        <v>98</v>
      </c>
      <c r="P470" s="15">
        <v>3</v>
      </c>
      <c r="Q470" s="15">
        <v>54</v>
      </c>
      <c r="R470" s="15">
        <v>45354</v>
      </c>
      <c r="S470" s="15" t="s">
        <v>1990</v>
      </c>
      <c r="T470" s="15">
        <v>1</v>
      </c>
      <c r="U470" s="15">
        <v>1910.08</v>
      </c>
      <c r="V470" s="16">
        <v>0.1</v>
      </c>
      <c r="W470" s="15">
        <v>1719.0719999999999</v>
      </c>
      <c r="X470" s="15">
        <v>1773.0719999999999</v>
      </c>
      <c r="Y470" s="15" t="s">
        <v>2152</v>
      </c>
      <c r="Z470" s="15" t="s">
        <v>2060</v>
      </c>
      <c r="AA470" s="17">
        <v>3</v>
      </c>
      <c r="AB470">
        <v>26.700000000000003</v>
      </c>
    </row>
    <row r="471" spans="1:28">
      <c r="A471" s="18" t="s">
        <v>415</v>
      </c>
      <c r="B471" s="18" t="s">
        <v>231</v>
      </c>
      <c r="C471" s="18" t="s">
        <v>416</v>
      </c>
      <c r="D471" s="18">
        <v>28</v>
      </c>
      <c r="E471" s="18" t="s">
        <v>54</v>
      </c>
      <c r="F471" s="18" t="s">
        <v>142</v>
      </c>
      <c r="G471" s="18" t="s">
        <v>417</v>
      </c>
      <c r="H471" s="18" t="s">
        <v>418</v>
      </c>
      <c r="I471" s="18" t="s">
        <v>585</v>
      </c>
      <c r="J471" s="18">
        <v>45443</v>
      </c>
      <c r="K471" s="18" t="s">
        <v>586</v>
      </c>
      <c r="L471" s="18" t="s">
        <v>326</v>
      </c>
      <c r="M471" s="18">
        <v>481.48</v>
      </c>
      <c r="N471" s="18">
        <v>4</v>
      </c>
      <c r="O471" s="18" t="s">
        <v>98</v>
      </c>
      <c r="P471" s="18">
        <v>1</v>
      </c>
      <c r="Q471" s="18">
        <v>36</v>
      </c>
      <c r="R471" s="18">
        <v>45447</v>
      </c>
      <c r="S471" s="18" t="s">
        <v>587</v>
      </c>
      <c r="T471" s="18">
        <v>4</v>
      </c>
      <c r="U471" s="18">
        <v>1925.92</v>
      </c>
      <c r="V471" s="19">
        <v>0.1</v>
      </c>
      <c r="W471" s="18">
        <v>1733.328</v>
      </c>
      <c r="X471" s="18">
        <v>1769.328</v>
      </c>
      <c r="Y471" s="18" t="s">
        <v>2088</v>
      </c>
      <c r="Z471" s="18" t="s">
        <v>2064</v>
      </c>
      <c r="AA471" s="20">
        <v>6</v>
      </c>
      <c r="AB471">
        <v>0</v>
      </c>
    </row>
    <row r="472" spans="1:28">
      <c r="A472" s="15" t="s">
        <v>897</v>
      </c>
      <c r="B472" s="15" t="s">
        <v>150</v>
      </c>
      <c r="C472" s="15" t="s">
        <v>898</v>
      </c>
      <c r="D472" s="15">
        <v>29</v>
      </c>
      <c r="E472" s="15" t="s">
        <v>31</v>
      </c>
      <c r="F472" s="15" t="s">
        <v>44</v>
      </c>
      <c r="G472" s="15" t="s">
        <v>899</v>
      </c>
      <c r="H472" s="15" t="s">
        <v>900</v>
      </c>
      <c r="I472" s="15" t="s">
        <v>901</v>
      </c>
      <c r="J472" s="15">
        <v>45251</v>
      </c>
      <c r="K472" s="15" t="s">
        <v>902</v>
      </c>
      <c r="L472" s="15" t="s">
        <v>326</v>
      </c>
      <c r="M472" s="15">
        <v>481.48</v>
      </c>
      <c r="N472" s="15">
        <v>4</v>
      </c>
      <c r="O472" s="15" t="s">
        <v>65</v>
      </c>
      <c r="P472" s="15">
        <v>3</v>
      </c>
      <c r="Q472" s="15">
        <v>54</v>
      </c>
      <c r="R472" s="15">
        <v>45256</v>
      </c>
      <c r="S472" s="15" t="s">
        <v>903</v>
      </c>
      <c r="T472" s="15">
        <v>5</v>
      </c>
      <c r="U472" s="15">
        <v>1925.92</v>
      </c>
      <c r="V472" s="16">
        <v>0</v>
      </c>
      <c r="W472" s="15">
        <v>1925.92</v>
      </c>
      <c r="X472" s="15">
        <v>1925.92</v>
      </c>
      <c r="Y472" s="15" t="s">
        <v>2094</v>
      </c>
      <c r="Z472" s="15" t="s">
        <v>2064</v>
      </c>
      <c r="AA472" s="17">
        <v>3</v>
      </c>
      <c r="AB472">
        <v>34.836000000000006</v>
      </c>
    </row>
    <row r="473" spans="1:28">
      <c r="A473" s="18" t="s">
        <v>275</v>
      </c>
      <c r="B473" s="18" t="s">
        <v>276</v>
      </c>
      <c r="C473" s="18" t="s">
        <v>277</v>
      </c>
      <c r="D473" s="18">
        <v>44</v>
      </c>
      <c r="E473" s="18" t="s">
        <v>31</v>
      </c>
      <c r="F473" s="18" t="s">
        <v>223</v>
      </c>
      <c r="G473" s="18" t="s">
        <v>278</v>
      </c>
      <c r="H473" s="18" t="s">
        <v>279</v>
      </c>
      <c r="I473" s="18" t="s">
        <v>1268</v>
      </c>
      <c r="J473" s="18">
        <v>45659</v>
      </c>
      <c r="K473" s="18" t="s">
        <v>1269</v>
      </c>
      <c r="L473" s="18" t="s">
        <v>326</v>
      </c>
      <c r="M473" s="18">
        <v>481.48</v>
      </c>
      <c r="N473" s="18">
        <v>4</v>
      </c>
      <c r="O473" s="18" t="s">
        <v>60</v>
      </c>
      <c r="P473" s="18">
        <v>4</v>
      </c>
      <c r="Q473" s="18">
        <v>67</v>
      </c>
      <c r="R473" s="18">
        <v>45665</v>
      </c>
      <c r="S473" s="18" t="s">
        <v>1270</v>
      </c>
      <c r="T473" s="18">
        <v>6</v>
      </c>
      <c r="U473" s="18">
        <v>1925.92</v>
      </c>
      <c r="V473" s="19">
        <v>0.15</v>
      </c>
      <c r="W473" s="18">
        <v>1637.0320000000002</v>
      </c>
      <c r="X473" s="18">
        <v>1704.0320000000002</v>
      </c>
      <c r="Y473" s="18" t="s">
        <v>2110</v>
      </c>
      <c r="Z473" s="18" t="s">
        <v>2064</v>
      </c>
      <c r="AA473" s="20">
        <v>12</v>
      </c>
      <c r="AB473">
        <v>62.272000000000006</v>
      </c>
    </row>
    <row r="474" spans="1:28">
      <c r="A474" s="15" t="s">
        <v>1335</v>
      </c>
      <c r="B474" s="15" t="s">
        <v>1336</v>
      </c>
      <c r="C474" s="15" t="s">
        <v>398</v>
      </c>
      <c r="D474" s="15">
        <v>18</v>
      </c>
      <c r="E474" s="15" t="s">
        <v>43</v>
      </c>
      <c r="F474" s="15" t="s">
        <v>223</v>
      </c>
      <c r="G474" s="15" t="s">
        <v>1337</v>
      </c>
      <c r="H474" s="15" t="s">
        <v>1338</v>
      </c>
      <c r="I474" s="15" t="s">
        <v>1339</v>
      </c>
      <c r="J474" s="15">
        <v>45332</v>
      </c>
      <c r="K474" s="15" t="s">
        <v>1340</v>
      </c>
      <c r="L474" s="15" t="s">
        <v>326</v>
      </c>
      <c r="M474" s="15">
        <v>481.48</v>
      </c>
      <c r="N474" s="15">
        <v>4</v>
      </c>
      <c r="O474" s="15" t="s">
        <v>65</v>
      </c>
      <c r="P474" s="15">
        <v>2</v>
      </c>
      <c r="Q474" s="15">
        <v>61</v>
      </c>
      <c r="R474" s="15">
        <v>45338</v>
      </c>
      <c r="S474" s="15" t="s">
        <v>1341</v>
      </c>
      <c r="T474" s="15">
        <v>6</v>
      </c>
      <c r="U474" s="15">
        <v>1925.92</v>
      </c>
      <c r="V474" s="16">
        <v>0</v>
      </c>
      <c r="W474" s="15">
        <v>1925.92</v>
      </c>
      <c r="X474" s="15">
        <v>1925.92</v>
      </c>
      <c r="Y474" s="15" t="s">
        <v>2161</v>
      </c>
      <c r="Z474" s="15" t="s">
        <v>2064</v>
      </c>
      <c r="AA474" s="17">
        <v>3</v>
      </c>
      <c r="AB474">
        <v>38.920000000000009</v>
      </c>
    </row>
    <row r="475" spans="1:28">
      <c r="A475" s="18" t="s">
        <v>1730</v>
      </c>
      <c r="B475" s="18" t="s">
        <v>1731</v>
      </c>
      <c r="C475" s="18" t="s">
        <v>371</v>
      </c>
      <c r="D475" s="18">
        <v>34</v>
      </c>
      <c r="E475" s="18" t="s">
        <v>54</v>
      </c>
      <c r="F475" s="18" t="s">
        <v>161</v>
      </c>
      <c r="G475" s="18" t="s">
        <v>1732</v>
      </c>
      <c r="H475" s="18" t="s">
        <v>1733</v>
      </c>
      <c r="I475" s="18" t="s">
        <v>1734</v>
      </c>
      <c r="J475" s="18">
        <v>45646</v>
      </c>
      <c r="K475" s="18" t="s">
        <v>1735</v>
      </c>
      <c r="L475" s="18" t="s">
        <v>326</v>
      </c>
      <c r="M475" s="18">
        <v>481.48</v>
      </c>
      <c r="N475" s="18">
        <v>4</v>
      </c>
      <c r="O475" s="18" t="s">
        <v>60</v>
      </c>
      <c r="P475" s="18">
        <v>4</v>
      </c>
      <c r="Q475" s="18">
        <v>38</v>
      </c>
      <c r="R475" s="18">
        <v>45647</v>
      </c>
      <c r="S475" s="18" t="s">
        <v>1736</v>
      </c>
      <c r="T475" s="18">
        <v>1</v>
      </c>
      <c r="U475" s="18">
        <v>1925.92</v>
      </c>
      <c r="V475" s="19">
        <v>0.15</v>
      </c>
      <c r="W475" s="18">
        <v>1637.0320000000002</v>
      </c>
      <c r="X475" s="18">
        <v>1675.0320000000002</v>
      </c>
      <c r="Y475" s="18" t="s">
        <v>2083</v>
      </c>
      <c r="Z475" s="18" t="s">
        <v>2060</v>
      </c>
      <c r="AA475" s="20">
        <v>8</v>
      </c>
      <c r="AB475">
        <v>0</v>
      </c>
    </row>
    <row r="476" spans="1:28">
      <c r="A476" s="15" t="s">
        <v>531</v>
      </c>
      <c r="B476" s="15" t="s">
        <v>397</v>
      </c>
      <c r="C476" s="15" t="s">
        <v>532</v>
      </c>
      <c r="D476" s="15">
        <v>51</v>
      </c>
      <c r="E476" s="15" t="s">
        <v>54</v>
      </c>
      <c r="F476" s="15" t="s">
        <v>142</v>
      </c>
      <c r="G476" s="15" t="s">
        <v>533</v>
      </c>
      <c r="H476" s="15" t="s">
        <v>534</v>
      </c>
      <c r="I476" s="15" t="s">
        <v>535</v>
      </c>
      <c r="J476" s="15">
        <v>45277</v>
      </c>
      <c r="K476" s="15" t="s">
        <v>536</v>
      </c>
      <c r="L476" s="15" t="s">
        <v>359</v>
      </c>
      <c r="M476" s="15">
        <v>496.59</v>
      </c>
      <c r="N476" s="15">
        <v>4</v>
      </c>
      <c r="O476" s="15" t="s">
        <v>60</v>
      </c>
      <c r="P476" s="15">
        <v>7</v>
      </c>
      <c r="Q476" s="15">
        <v>36</v>
      </c>
      <c r="R476" s="15">
        <v>45280</v>
      </c>
      <c r="S476" s="15" t="s">
        <v>537</v>
      </c>
      <c r="T476" s="15">
        <v>3</v>
      </c>
      <c r="U476" s="15">
        <v>1986.36</v>
      </c>
      <c r="V476" s="16">
        <v>0.15</v>
      </c>
      <c r="W476" s="15">
        <v>1688.4059999999999</v>
      </c>
      <c r="X476" s="15">
        <v>1724.4059999999999</v>
      </c>
      <c r="Y476" s="15" t="s">
        <v>2118</v>
      </c>
      <c r="Z476" s="15" t="s">
        <v>2060</v>
      </c>
      <c r="AA476" s="17">
        <v>3</v>
      </c>
      <c r="AB476">
        <v>207.48150000000001</v>
      </c>
    </row>
    <row r="477" spans="1:28">
      <c r="A477" s="18" t="s">
        <v>469</v>
      </c>
      <c r="B477" s="18" t="s">
        <v>470</v>
      </c>
      <c r="C477" s="18" t="s">
        <v>471</v>
      </c>
      <c r="D477" s="18">
        <v>18</v>
      </c>
      <c r="E477" s="18" t="s">
        <v>43</v>
      </c>
      <c r="F477" s="18" t="s">
        <v>44</v>
      </c>
      <c r="G477" s="18" t="s">
        <v>472</v>
      </c>
      <c r="H477" s="18" t="s">
        <v>473</v>
      </c>
      <c r="I477" s="18" t="s">
        <v>939</v>
      </c>
      <c r="J477" s="18">
        <v>45535</v>
      </c>
      <c r="K477" s="18" t="s">
        <v>940</v>
      </c>
      <c r="L477" s="18" t="s">
        <v>359</v>
      </c>
      <c r="M477" s="18">
        <v>496.59</v>
      </c>
      <c r="N477" s="18">
        <v>4</v>
      </c>
      <c r="O477" s="18" t="s">
        <v>87</v>
      </c>
      <c r="P477" s="18">
        <v>1</v>
      </c>
      <c r="Q477" s="18">
        <v>59</v>
      </c>
      <c r="R477" s="18">
        <v>45541</v>
      </c>
      <c r="S477" s="18" t="s">
        <v>941</v>
      </c>
      <c r="T477" s="18">
        <v>6</v>
      </c>
      <c r="U477" s="18">
        <v>1986.36</v>
      </c>
      <c r="V477" s="19">
        <v>0.2</v>
      </c>
      <c r="W477" s="18">
        <v>1589.088</v>
      </c>
      <c r="X477" s="18">
        <v>1648.088</v>
      </c>
      <c r="Y477" s="18" t="s">
        <v>2150</v>
      </c>
      <c r="Z477" s="18" t="s">
        <v>2064</v>
      </c>
      <c r="AA477" s="20">
        <v>2</v>
      </c>
      <c r="AB477">
        <v>0</v>
      </c>
    </row>
    <row r="478" spans="1:28">
      <c r="A478" s="15" t="s">
        <v>230</v>
      </c>
      <c r="B478" s="15" t="s">
        <v>231</v>
      </c>
      <c r="C478" s="15" t="s">
        <v>232</v>
      </c>
      <c r="D478" s="15">
        <v>64</v>
      </c>
      <c r="E478" s="15" t="s">
        <v>43</v>
      </c>
      <c r="F478" s="15" t="s">
        <v>44</v>
      </c>
      <c r="G478" s="15" t="s">
        <v>233</v>
      </c>
      <c r="H478" s="15" t="s">
        <v>234</v>
      </c>
      <c r="I478" s="15" t="s">
        <v>820</v>
      </c>
      <c r="J478" s="15">
        <v>45094</v>
      </c>
      <c r="K478" s="15" t="s">
        <v>821</v>
      </c>
      <c r="L478" s="15" t="s">
        <v>593</v>
      </c>
      <c r="M478" s="15">
        <v>403.03</v>
      </c>
      <c r="N478" s="15">
        <v>5</v>
      </c>
      <c r="O478" s="15" t="s">
        <v>65</v>
      </c>
      <c r="P478" s="15">
        <v>7</v>
      </c>
      <c r="Q478" s="15">
        <v>52</v>
      </c>
      <c r="R478" s="15">
        <v>45097</v>
      </c>
      <c r="S478" s="15" t="s">
        <v>822</v>
      </c>
      <c r="T478" s="15">
        <v>3</v>
      </c>
      <c r="U478" s="15">
        <v>2015.1499999999999</v>
      </c>
      <c r="V478" s="16">
        <v>0</v>
      </c>
      <c r="W478" s="15">
        <v>2015.1499999999999</v>
      </c>
      <c r="X478" s="15">
        <v>2015.1499999999999</v>
      </c>
      <c r="Y478" s="15" t="s">
        <v>2111</v>
      </c>
      <c r="Z478" s="15" t="s">
        <v>2060</v>
      </c>
      <c r="AA478" s="17">
        <v>3</v>
      </c>
      <c r="AB478">
        <v>191.00800000000001</v>
      </c>
    </row>
    <row r="479" spans="1:28">
      <c r="A479" s="18" t="s">
        <v>1213</v>
      </c>
      <c r="B479" s="18" t="s">
        <v>1214</v>
      </c>
      <c r="C479" s="18" t="s">
        <v>1215</v>
      </c>
      <c r="D479" s="18">
        <v>50</v>
      </c>
      <c r="E479" s="18" t="s">
        <v>54</v>
      </c>
      <c r="F479" s="18" t="s">
        <v>170</v>
      </c>
      <c r="G479" s="18" t="s">
        <v>1216</v>
      </c>
      <c r="H479" s="18" t="s">
        <v>1217</v>
      </c>
      <c r="I479" s="18" t="s">
        <v>1218</v>
      </c>
      <c r="J479" s="18">
        <v>45470</v>
      </c>
      <c r="K479" s="18" t="s">
        <v>1219</v>
      </c>
      <c r="L479" s="18" t="s">
        <v>593</v>
      </c>
      <c r="M479" s="18">
        <v>403.03</v>
      </c>
      <c r="N479" s="18">
        <v>5</v>
      </c>
      <c r="O479" s="18" t="s">
        <v>87</v>
      </c>
      <c r="P479" s="18">
        <v>2</v>
      </c>
      <c r="Q479" s="18">
        <v>52</v>
      </c>
      <c r="R479" s="18">
        <v>45475</v>
      </c>
      <c r="S479" s="18" t="s">
        <v>1220</v>
      </c>
      <c r="T479" s="18">
        <v>5</v>
      </c>
      <c r="U479" s="18">
        <v>2015.1499999999999</v>
      </c>
      <c r="V479" s="19">
        <v>0.2</v>
      </c>
      <c r="W479" s="18">
        <v>1612.12</v>
      </c>
      <c r="X479" s="18">
        <v>1664.12</v>
      </c>
      <c r="Y479" s="18" t="s">
        <v>2100</v>
      </c>
      <c r="Z479" s="18" t="s">
        <v>2064</v>
      </c>
      <c r="AA479" s="20">
        <v>4</v>
      </c>
      <c r="AB479">
        <v>238.76</v>
      </c>
    </row>
    <row r="480" spans="1:28">
      <c r="A480" s="15" t="s">
        <v>51</v>
      </c>
      <c r="B480" s="15" t="s">
        <v>52</v>
      </c>
      <c r="C480" s="15" t="s">
        <v>53</v>
      </c>
      <c r="D480" s="15">
        <v>60</v>
      </c>
      <c r="E480" s="15" t="s">
        <v>54</v>
      </c>
      <c r="F480" s="15" t="s">
        <v>32</v>
      </c>
      <c r="G480" s="15" t="s">
        <v>55</v>
      </c>
      <c r="H480" s="15" t="s">
        <v>56</v>
      </c>
      <c r="I480" s="15" t="s">
        <v>62</v>
      </c>
      <c r="J480" s="15">
        <v>45426</v>
      </c>
      <c r="K480" s="15" t="s">
        <v>63</v>
      </c>
      <c r="L480" s="15" t="s">
        <v>64</v>
      </c>
      <c r="M480" s="15">
        <v>405</v>
      </c>
      <c r="N480" s="15">
        <v>5</v>
      </c>
      <c r="O480" s="15" t="s">
        <v>65</v>
      </c>
      <c r="P480" s="15">
        <v>6</v>
      </c>
      <c r="Q480" s="15">
        <v>47</v>
      </c>
      <c r="R480" s="15">
        <v>45430</v>
      </c>
      <c r="S480" s="15" t="s">
        <v>66</v>
      </c>
      <c r="T480" s="15">
        <v>4</v>
      </c>
      <c r="U480" s="15">
        <v>2025</v>
      </c>
      <c r="V480" s="16">
        <v>0</v>
      </c>
      <c r="W480" s="15">
        <v>2025</v>
      </c>
      <c r="X480" s="15">
        <v>2025</v>
      </c>
      <c r="Y480" s="15" t="s">
        <v>2126</v>
      </c>
      <c r="Z480" s="15" t="s">
        <v>2060</v>
      </c>
      <c r="AA480" s="17">
        <v>11</v>
      </c>
      <c r="AB480">
        <v>0</v>
      </c>
    </row>
    <row r="481" spans="1:28">
      <c r="A481" s="18" t="s">
        <v>130</v>
      </c>
      <c r="B481" s="18" t="s">
        <v>131</v>
      </c>
      <c r="C481" s="18" t="s">
        <v>132</v>
      </c>
      <c r="D481" s="18">
        <v>30</v>
      </c>
      <c r="E481" s="18" t="s">
        <v>43</v>
      </c>
      <c r="F481" s="18" t="s">
        <v>44</v>
      </c>
      <c r="G481" s="18" t="s">
        <v>133</v>
      </c>
      <c r="H481" s="18" t="s">
        <v>134</v>
      </c>
      <c r="I481" s="18" t="s">
        <v>964</v>
      </c>
      <c r="J481" s="18">
        <v>45120</v>
      </c>
      <c r="K481" s="18" t="s">
        <v>965</v>
      </c>
      <c r="L481" s="18" t="s">
        <v>64</v>
      </c>
      <c r="M481" s="18">
        <v>405</v>
      </c>
      <c r="N481" s="18">
        <v>5</v>
      </c>
      <c r="O481" s="18" t="s">
        <v>98</v>
      </c>
      <c r="P481" s="18">
        <v>6</v>
      </c>
      <c r="Q481" s="18">
        <v>36</v>
      </c>
      <c r="R481" s="18">
        <v>45127</v>
      </c>
      <c r="S481" s="18" t="s">
        <v>966</v>
      </c>
      <c r="T481" s="18">
        <v>7</v>
      </c>
      <c r="U481" s="18">
        <v>2025</v>
      </c>
      <c r="V481" s="19">
        <v>0.1</v>
      </c>
      <c r="W481" s="18">
        <v>1822.5</v>
      </c>
      <c r="X481" s="18">
        <v>1858.5</v>
      </c>
      <c r="Y481" s="18" t="s">
        <v>2147</v>
      </c>
      <c r="Z481" s="18" t="s">
        <v>2064</v>
      </c>
      <c r="AA481" s="20">
        <v>3</v>
      </c>
      <c r="AB481">
        <v>121.5</v>
      </c>
    </row>
    <row r="482" spans="1:28">
      <c r="A482" s="15" t="s">
        <v>1224</v>
      </c>
      <c r="B482" s="15" t="s">
        <v>1225</v>
      </c>
      <c r="C482" s="15" t="s">
        <v>1226</v>
      </c>
      <c r="D482" s="15">
        <v>19</v>
      </c>
      <c r="E482" s="15" t="s">
        <v>43</v>
      </c>
      <c r="F482" s="15" t="s">
        <v>78</v>
      </c>
      <c r="G482" s="15" t="s">
        <v>1227</v>
      </c>
      <c r="H482" s="15" t="s">
        <v>1228</v>
      </c>
      <c r="I482" s="15" t="s">
        <v>1229</v>
      </c>
      <c r="J482" s="15">
        <v>45453</v>
      </c>
      <c r="K482" s="15" t="s">
        <v>1230</v>
      </c>
      <c r="L482" s="15" t="s">
        <v>498</v>
      </c>
      <c r="M482" s="15">
        <v>421.7</v>
      </c>
      <c r="N482" s="15">
        <v>5</v>
      </c>
      <c r="O482" s="15" t="s">
        <v>98</v>
      </c>
      <c r="P482" s="15">
        <v>6</v>
      </c>
      <c r="Q482" s="15">
        <v>61</v>
      </c>
      <c r="R482" s="15">
        <v>45457</v>
      </c>
      <c r="S482" s="15" t="s">
        <v>1231</v>
      </c>
      <c r="T482" s="15">
        <v>4</v>
      </c>
      <c r="U482" s="15">
        <v>2108.5</v>
      </c>
      <c r="V482" s="16">
        <v>0.1</v>
      </c>
      <c r="W482" s="15">
        <v>1897.65</v>
      </c>
      <c r="X482" s="15">
        <v>1958.65</v>
      </c>
      <c r="Y482" s="15" t="s">
        <v>2077</v>
      </c>
      <c r="Z482" s="15" t="s">
        <v>2060</v>
      </c>
      <c r="AA482" s="17">
        <v>3</v>
      </c>
      <c r="AB482">
        <v>42.988</v>
      </c>
    </row>
    <row r="483" spans="1:28">
      <c r="A483" s="18" t="s">
        <v>850</v>
      </c>
      <c r="B483" s="18" t="s">
        <v>851</v>
      </c>
      <c r="C483" s="18" t="s">
        <v>390</v>
      </c>
      <c r="D483" s="18">
        <v>37</v>
      </c>
      <c r="E483" s="18" t="s">
        <v>54</v>
      </c>
      <c r="F483" s="18" t="s">
        <v>223</v>
      </c>
      <c r="G483" s="18" t="s">
        <v>852</v>
      </c>
      <c r="H483" s="18" t="s">
        <v>853</v>
      </c>
      <c r="I483" s="18" t="s">
        <v>1442</v>
      </c>
      <c r="J483" s="18">
        <v>45671</v>
      </c>
      <c r="K483" s="18" t="s">
        <v>1443</v>
      </c>
      <c r="L483" s="18" t="s">
        <v>498</v>
      </c>
      <c r="M483" s="18">
        <v>421.7</v>
      </c>
      <c r="N483" s="18">
        <v>5</v>
      </c>
      <c r="O483" s="18" t="s">
        <v>60</v>
      </c>
      <c r="P483" s="18">
        <v>2</v>
      </c>
      <c r="Q483" s="18">
        <v>56</v>
      </c>
      <c r="R483" s="18">
        <v>45674</v>
      </c>
      <c r="S483" s="18" t="s">
        <v>1444</v>
      </c>
      <c r="T483" s="18">
        <v>3</v>
      </c>
      <c r="U483" s="18">
        <v>2108.5</v>
      </c>
      <c r="V483" s="19">
        <v>0.15</v>
      </c>
      <c r="W483" s="18">
        <v>1792.2249999999999</v>
      </c>
      <c r="X483" s="18">
        <v>1848.2249999999999</v>
      </c>
      <c r="Y483" s="18" t="s">
        <v>2133</v>
      </c>
      <c r="Z483" s="18" t="s">
        <v>2064</v>
      </c>
      <c r="AA483" s="20">
        <v>5</v>
      </c>
      <c r="AB483">
        <v>76.884</v>
      </c>
    </row>
    <row r="484" spans="1:28">
      <c r="A484" s="15" t="s">
        <v>1345</v>
      </c>
      <c r="B484" s="15" t="s">
        <v>511</v>
      </c>
      <c r="C484" s="15" t="s">
        <v>1346</v>
      </c>
      <c r="D484" s="15">
        <v>40</v>
      </c>
      <c r="E484" s="15" t="s">
        <v>54</v>
      </c>
      <c r="F484" s="15" t="s">
        <v>223</v>
      </c>
      <c r="G484" s="15" t="s">
        <v>1347</v>
      </c>
      <c r="H484" s="15" t="s">
        <v>1348</v>
      </c>
      <c r="I484" s="15" t="s">
        <v>1587</v>
      </c>
      <c r="J484" s="15">
        <v>45190</v>
      </c>
      <c r="K484" s="15" t="s">
        <v>1588</v>
      </c>
      <c r="L484" s="15" t="s">
        <v>498</v>
      </c>
      <c r="M484" s="15">
        <v>421.7</v>
      </c>
      <c r="N484" s="15">
        <v>5</v>
      </c>
      <c r="O484" s="15" t="s">
        <v>60</v>
      </c>
      <c r="P484" s="15">
        <v>6</v>
      </c>
      <c r="Q484" s="15">
        <v>58</v>
      </c>
      <c r="R484" s="15">
        <v>45197</v>
      </c>
      <c r="S484" s="15" t="s">
        <v>1589</v>
      </c>
      <c r="T484" s="15">
        <v>7</v>
      </c>
      <c r="U484" s="15">
        <v>2108.5</v>
      </c>
      <c r="V484" s="16">
        <v>0.15</v>
      </c>
      <c r="W484" s="15">
        <v>1792.2249999999999</v>
      </c>
      <c r="X484" s="15">
        <v>1850.2249999999999</v>
      </c>
      <c r="Y484" s="15" t="s">
        <v>2138</v>
      </c>
      <c r="Z484" s="15" t="s">
        <v>2064</v>
      </c>
      <c r="AA484" s="17">
        <v>12</v>
      </c>
      <c r="AB484">
        <v>2.0699999999999998</v>
      </c>
    </row>
    <row r="485" spans="1:28">
      <c r="A485" s="18" t="s">
        <v>212</v>
      </c>
      <c r="B485" s="18" t="s">
        <v>213</v>
      </c>
      <c r="C485" s="18" t="s">
        <v>214</v>
      </c>
      <c r="D485" s="18">
        <v>39</v>
      </c>
      <c r="E485" s="18" t="s">
        <v>43</v>
      </c>
      <c r="F485" s="18" t="s">
        <v>161</v>
      </c>
      <c r="G485" s="18" t="s">
        <v>215</v>
      </c>
      <c r="H485" s="18" t="s">
        <v>216</v>
      </c>
      <c r="I485" s="18" t="s">
        <v>1578</v>
      </c>
      <c r="J485" s="18">
        <v>45387</v>
      </c>
      <c r="K485" s="18" t="s">
        <v>1579</v>
      </c>
      <c r="L485" s="18" t="s">
        <v>689</v>
      </c>
      <c r="M485" s="18">
        <v>424.82</v>
      </c>
      <c r="N485" s="18">
        <v>5</v>
      </c>
      <c r="O485" s="18" t="s">
        <v>98</v>
      </c>
      <c r="P485" s="18">
        <v>7</v>
      </c>
      <c r="Q485" s="18">
        <v>37</v>
      </c>
      <c r="R485" s="18">
        <v>45393</v>
      </c>
      <c r="S485" s="18" t="s">
        <v>1580</v>
      </c>
      <c r="T485" s="18">
        <v>6</v>
      </c>
      <c r="U485" s="18">
        <v>2124.1</v>
      </c>
      <c r="V485" s="19">
        <v>0.1</v>
      </c>
      <c r="W485" s="18">
        <v>1911.6899999999998</v>
      </c>
      <c r="X485" s="18">
        <v>1948.6899999999998</v>
      </c>
      <c r="Y485" s="18" t="s">
        <v>2085</v>
      </c>
      <c r="Z485" s="18" t="s">
        <v>2060</v>
      </c>
      <c r="AA485" s="20">
        <v>7</v>
      </c>
      <c r="AB485">
        <v>14.9808</v>
      </c>
    </row>
    <row r="486" spans="1:28">
      <c r="A486" s="15" t="s">
        <v>779</v>
      </c>
      <c r="B486" s="15" t="s">
        <v>780</v>
      </c>
      <c r="C486" s="15" t="s">
        <v>781</v>
      </c>
      <c r="D486" s="15">
        <v>32</v>
      </c>
      <c r="E486" s="15" t="s">
        <v>31</v>
      </c>
      <c r="F486" s="15" t="s">
        <v>161</v>
      </c>
      <c r="G486" s="15" t="s">
        <v>782</v>
      </c>
      <c r="H486" s="15" t="s">
        <v>783</v>
      </c>
      <c r="I486" s="15" t="s">
        <v>1207</v>
      </c>
      <c r="J486" s="15">
        <v>45117</v>
      </c>
      <c r="K486" s="15" t="s">
        <v>1208</v>
      </c>
      <c r="L486" s="15" t="s">
        <v>556</v>
      </c>
      <c r="M486" s="15">
        <v>425.59</v>
      </c>
      <c r="N486" s="15">
        <v>5</v>
      </c>
      <c r="O486" s="15" t="s">
        <v>38</v>
      </c>
      <c r="P486" s="15">
        <v>7</v>
      </c>
      <c r="Q486" s="15">
        <v>57</v>
      </c>
      <c r="R486" s="15">
        <v>45124</v>
      </c>
      <c r="S486" s="15" t="s">
        <v>1209</v>
      </c>
      <c r="T486" s="15">
        <v>7</v>
      </c>
      <c r="U486" s="15">
        <v>2127.9499999999998</v>
      </c>
      <c r="V486" s="16">
        <v>0.08</v>
      </c>
      <c r="W486" s="15">
        <v>1957.7139999999999</v>
      </c>
      <c r="X486" s="15">
        <v>2014.7139999999999</v>
      </c>
      <c r="Y486" s="15" t="s">
        <v>2074</v>
      </c>
      <c r="Z486" s="15" t="s">
        <v>2072</v>
      </c>
      <c r="AA486" s="17">
        <v>12</v>
      </c>
      <c r="AB486">
        <v>38.5184</v>
      </c>
    </row>
    <row r="487" spans="1:28">
      <c r="A487" s="18" t="s">
        <v>396</v>
      </c>
      <c r="B487" s="18" t="s">
        <v>397</v>
      </c>
      <c r="C487" s="18" t="s">
        <v>398</v>
      </c>
      <c r="D487" s="18">
        <v>40</v>
      </c>
      <c r="E487" s="18" t="s">
        <v>54</v>
      </c>
      <c r="F487" s="18" t="s">
        <v>170</v>
      </c>
      <c r="G487" s="18" t="s">
        <v>399</v>
      </c>
      <c r="H487" s="18" t="s">
        <v>400</v>
      </c>
      <c r="I487" s="18" t="s">
        <v>1498</v>
      </c>
      <c r="J487" s="18">
        <v>45527</v>
      </c>
      <c r="K487" s="18" t="s">
        <v>1499</v>
      </c>
      <c r="L487" s="18" t="s">
        <v>556</v>
      </c>
      <c r="M487" s="18">
        <v>425.59</v>
      </c>
      <c r="N487" s="18">
        <v>5</v>
      </c>
      <c r="O487" s="18" t="s">
        <v>65</v>
      </c>
      <c r="P487" s="18">
        <v>4</v>
      </c>
      <c r="Q487" s="18">
        <v>43</v>
      </c>
      <c r="R487" s="18">
        <v>45531</v>
      </c>
      <c r="S487" s="18" t="s">
        <v>1500</v>
      </c>
      <c r="T487" s="18">
        <v>4</v>
      </c>
      <c r="U487" s="18">
        <v>2127.9499999999998</v>
      </c>
      <c r="V487" s="19">
        <v>0</v>
      </c>
      <c r="W487" s="18">
        <v>2127.9499999999998</v>
      </c>
      <c r="X487" s="18">
        <v>2127.9499999999998</v>
      </c>
      <c r="Y487" s="18" t="s">
        <v>2115</v>
      </c>
      <c r="Z487" s="18" t="s">
        <v>2072</v>
      </c>
      <c r="AA487" s="20">
        <v>12</v>
      </c>
      <c r="AB487">
        <v>185.328</v>
      </c>
    </row>
    <row r="488" spans="1:28">
      <c r="A488" s="15" t="s">
        <v>523</v>
      </c>
      <c r="B488" s="15" t="s">
        <v>524</v>
      </c>
      <c r="C488" s="15" t="s">
        <v>525</v>
      </c>
      <c r="D488" s="15">
        <v>42</v>
      </c>
      <c r="E488" s="15" t="s">
        <v>54</v>
      </c>
      <c r="F488" s="15" t="s">
        <v>78</v>
      </c>
      <c r="G488" s="15" t="s">
        <v>526</v>
      </c>
      <c r="H488" s="15" t="s">
        <v>527</v>
      </c>
      <c r="I488" s="15" t="s">
        <v>1827</v>
      </c>
      <c r="J488" s="15">
        <v>45646</v>
      </c>
      <c r="K488" s="15" t="s">
        <v>1828</v>
      </c>
      <c r="L488" s="15" t="s">
        <v>556</v>
      </c>
      <c r="M488" s="15">
        <v>425.59</v>
      </c>
      <c r="N488" s="15">
        <v>5</v>
      </c>
      <c r="O488" s="15" t="s">
        <v>65</v>
      </c>
      <c r="P488" s="15">
        <v>5</v>
      </c>
      <c r="Q488" s="15">
        <v>47</v>
      </c>
      <c r="R488" s="15">
        <v>45652</v>
      </c>
      <c r="S488" s="15" t="s">
        <v>1829</v>
      </c>
      <c r="T488" s="15">
        <v>6</v>
      </c>
      <c r="U488" s="15">
        <v>2127.9499999999998</v>
      </c>
      <c r="V488" s="16">
        <v>0</v>
      </c>
      <c r="W488" s="15">
        <v>2127.9499999999998</v>
      </c>
      <c r="X488" s="15">
        <v>2127.9499999999998</v>
      </c>
      <c r="Y488" s="15" t="s">
        <v>2066</v>
      </c>
      <c r="Z488" s="15" t="s">
        <v>2064</v>
      </c>
      <c r="AA488" s="17">
        <v>3</v>
      </c>
      <c r="AB488">
        <v>29.070000000000007</v>
      </c>
    </row>
    <row r="489" spans="1:28">
      <c r="A489" s="18" t="s">
        <v>304</v>
      </c>
      <c r="B489" s="18" t="s">
        <v>305</v>
      </c>
      <c r="C489" s="18" t="s">
        <v>306</v>
      </c>
      <c r="D489" s="18">
        <v>26</v>
      </c>
      <c r="E489" s="18" t="s">
        <v>54</v>
      </c>
      <c r="F489" s="18" t="s">
        <v>170</v>
      </c>
      <c r="G489" s="18" t="s">
        <v>307</v>
      </c>
      <c r="H489" s="18" t="s">
        <v>308</v>
      </c>
      <c r="I489" s="18" t="s">
        <v>384</v>
      </c>
      <c r="J489" s="18">
        <v>45313</v>
      </c>
      <c r="K489" s="18" t="s">
        <v>385</v>
      </c>
      <c r="L489" s="18" t="s">
        <v>386</v>
      </c>
      <c r="M489" s="18">
        <v>431.44</v>
      </c>
      <c r="N489" s="18">
        <v>5</v>
      </c>
      <c r="O489" s="18" t="s">
        <v>38</v>
      </c>
      <c r="P489" s="18">
        <v>2</v>
      </c>
      <c r="Q489" s="18">
        <v>57</v>
      </c>
      <c r="R489" s="18">
        <v>45318</v>
      </c>
      <c r="S489" s="18" t="s">
        <v>387</v>
      </c>
      <c r="T489" s="18">
        <v>5</v>
      </c>
      <c r="U489" s="18">
        <v>2157.1999999999998</v>
      </c>
      <c r="V489" s="19">
        <v>0.08</v>
      </c>
      <c r="W489" s="18">
        <v>1984.6239999999998</v>
      </c>
      <c r="X489" s="18">
        <v>2041.6239999999998</v>
      </c>
      <c r="Y489" s="18" t="s">
        <v>2109</v>
      </c>
      <c r="Z489" s="18" t="s">
        <v>2064</v>
      </c>
      <c r="AA489" s="20">
        <v>9</v>
      </c>
      <c r="AB489">
        <v>34.3904</v>
      </c>
    </row>
    <row r="490" spans="1:28">
      <c r="A490" s="15" t="s">
        <v>453</v>
      </c>
      <c r="B490" s="15" t="s">
        <v>454</v>
      </c>
      <c r="C490" s="15" t="s">
        <v>455</v>
      </c>
      <c r="D490" s="15">
        <v>69</v>
      </c>
      <c r="E490" s="15" t="s">
        <v>31</v>
      </c>
      <c r="F490" s="15" t="s">
        <v>32</v>
      </c>
      <c r="G490" s="15" t="s">
        <v>456</v>
      </c>
      <c r="H490" s="15" t="s">
        <v>457</v>
      </c>
      <c r="I490" s="15" t="s">
        <v>561</v>
      </c>
      <c r="J490" s="15">
        <v>45132</v>
      </c>
      <c r="K490" s="15" t="s">
        <v>562</v>
      </c>
      <c r="L490" s="15" t="s">
        <v>386</v>
      </c>
      <c r="M490" s="15">
        <v>431.44</v>
      </c>
      <c r="N490" s="15">
        <v>5</v>
      </c>
      <c r="O490" s="15" t="s">
        <v>60</v>
      </c>
      <c r="P490" s="15">
        <v>6</v>
      </c>
      <c r="Q490" s="15">
        <v>59</v>
      </c>
      <c r="R490" s="15">
        <v>45139</v>
      </c>
      <c r="S490" s="15" t="s">
        <v>563</v>
      </c>
      <c r="T490" s="15">
        <v>7</v>
      </c>
      <c r="U490" s="15">
        <v>2157.1999999999998</v>
      </c>
      <c r="V490" s="16">
        <v>0.15</v>
      </c>
      <c r="W490" s="15">
        <v>1833.62</v>
      </c>
      <c r="X490" s="15">
        <v>1892.62</v>
      </c>
      <c r="Y490" s="15" t="s">
        <v>2099</v>
      </c>
      <c r="Z490" s="15" t="s">
        <v>2064</v>
      </c>
      <c r="AA490" s="17">
        <v>1</v>
      </c>
      <c r="AB490">
        <v>176.41199999999998</v>
      </c>
    </row>
    <row r="491" spans="1:28">
      <c r="A491" s="18" t="s">
        <v>753</v>
      </c>
      <c r="B491" s="18" t="s">
        <v>754</v>
      </c>
      <c r="C491" s="18" t="s">
        <v>755</v>
      </c>
      <c r="D491" s="18">
        <v>43</v>
      </c>
      <c r="E491" s="18" t="s">
        <v>54</v>
      </c>
      <c r="F491" s="18" t="s">
        <v>161</v>
      </c>
      <c r="G491" s="18" t="s">
        <v>756</v>
      </c>
      <c r="H491" s="18" t="s">
        <v>757</v>
      </c>
      <c r="I491" s="18" t="s">
        <v>758</v>
      </c>
      <c r="J491" s="18">
        <v>45276</v>
      </c>
      <c r="K491" s="18" t="s">
        <v>759</v>
      </c>
      <c r="L491" s="18" t="s">
        <v>386</v>
      </c>
      <c r="M491" s="18">
        <v>431.44</v>
      </c>
      <c r="N491" s="18">
        <v>5</v>
      </c>
      <c r="O491" s="18" t="s">
        <v>60</v>
      </c>
      <c r="P491" s="18">
        <v>4</v>
      </c>
      <c r="Q491" s="18">
        <v>42</v>
      </c>
      <c r="R491" s="18">
        <v>45280</v>
      </c>
      <c r="S491" s="18" t="s">
        <v>760</v>
      </c>
      <c r="T491" s="18">
        <v>4</v>
      </c>
      <c r="U491" s="18">
        <v>2157.1999999999998</v>
      </c>
      <c r="V491" s="19">
        <v>0.15</v>
      </c>
      <c r="W491" s="18">
        <v>1833.62</v>
      </c>
      <c r="X491" s="18">
        <v>1875.62</v>
      </c>
      <c r="Y491" s="18" t="s">
        <v>2117</v>
      </c>
      <c r="Z491" s="18" t="s">
        <v>2072</v>
      </c>
      <c r="AA491" s="20">
        <v>3</v>
      </c>
      <c r="AB491">
        <v>26.792000000000002</v>
      </c>
    </row>
    <row r="492" spans="1:28">
      <c r="A492" s="15" t="s">
        <v>1082</v>
      </c>
      <c r="B492" s="15" t="s">
        <v>221</v>
      </c>
      <c r="C492" s="15" t="s">
        <v>1083</v>
      </c>
      <c r="D492" s="15">
        <v>55</v>
      </c>
      <c r="E492" s="15" t="s">
        <v>43</v>
      </c>
      <c r="F492" s="15" t="s">
        <v>161</v>
      </c>
      <c r="G492" s="15" t="s">
        <v>1084</v>
      </c>
      <c r="H492" s="15" t="s">
        <v>1085</v>
      </c>
      <c r="I492" s="15" t="s">
        <v>1100</v>
      </c>
      <c r="J492" s="15">
        <v>45039</v>
      </c>
      <c r="K492" s="15" t="s">
        <v>1101</v>
      </c>
      <c r="L492" s="15" t="s">
        <v>521</v>
      </c>
      <c r="M492" s="15">
        <v>441.03</v>
      </c>
      <c r="N492" s="15">
        <v>5</v>
      </c>
      <c r="O492" s="15" t="s">
        <v>60</v>
      </c>
      <c r="P492" s="15">
        <v>3</v>
      </c>
      <c r="Q492" s="15">
        <v>37</v>
      </c>
      <c r="R492" s="15">
        <v>45044</v>
      </c>
      <c r="S492" s="15" t="s">
        <v>1102</v>
      </c>
      <c r="T492" s="15">
        <v>5</v>
      </c>
      <c r="U492" s="15">
        <v>2205.1499999999996</v>
      </c>
      <c r="V492" s="16">
        <v>0.15</v>
      </c>
      <c r="W492" s="15">
        <v>1874.3774999999996</v>
      </c>
      <c r="X492" s="15">
        <v>1911.3774999999996</v>
      </c>
      <c r="Y492" s="15" t="s">
        <v>2107</v>
      </c>
      <c r="Z492" s="15" t="s">
        <v>2064</v>
      </c>
      <c r="AA492" s="17">
        <v>10</v>
      </c>
      <c r="AB492">
        <v>5.0235000000000003</v>
      </c>
    </row>
    <row r="493" spans="1:28">
      <c r="A493" s="18" t="s">
        <v>167</v>
      </c>
      <c r="B493" s="18" t="s">
        <v>168</v>
      </c>
      <c r="C493" s="18" t="s">
        <v>169</v>
      </c>
      <c r="D493" s="18">
        <v>46</v>
      </c>
      <c r="E493" s="18" t="s">
        <v>31</v>
      </c>
      <c r="F493" s="18" t="s">
        <v>170</v>
      </c>
      <c r="G493" s="18" t="s">
        <v>171</v>
      </c>
      <c r="H493" s="18" t="s">
        <v>172</v>
      </c>
      <c r="I493" s="18" t="s">
        <v>1863</v>
      </c>
      <c r="J493" s="18">
        <v>45010</v>
      </c>
      <c r="K493" s="18" t="s">
        <v>1864</v>
      </c>
      <c r="L493" s="18" t="s">
        <v>521</v>
      </c>
      <c r="M493" s="18">
        <v>441.03</v>
      </c>
      <c r="N493" s="18">
        <v>5</v>
      </c>
      <c r="O493" s="18" t="s">
        <v>87</v>
      </c>
      <c r="P493" s="18">
        <v>7</v>
      </c>
      <c r="Q493" s="18">
        <v>36</v>
      </c>
      <c r="R493" s="18">
        <v>45016</v>
      </c>
      <c r="S493" s="18" t="s">
        <v>1865</v>
      </c>
      <c r="T493" s="18">
        <v>6</v>
      </c>
      <c r="U493" s="18">
        <v>2205.1499999999996</v>
      </c>
      <c r="V493" s="19">
        <v>0.2</v>
      </c>
      <c r="W493" s="18">
        <v>1764.1199999999997</v>
      </c>
      <c r="X493" s="18">
        <v>1800.1199999999997</v>
      </c>
      <c r="Y493" s="18" t="s">
        <v>2069</v>
      </c>
      <c r="Z493" s="18" t="s">
        <v>2060</v>
      </c>
      <c r="AA493" s="20">
        <v>10</v>
      </c>
      <c r="AB493">
        <v>0</v>
      </c>
    </row>
    <row r="494" spans="1:28">
      <c r="A494" s="15" t="s">
        <v>388</v>
      </c>
      <c r="B494" s="15" t="s">
        <v>389</v>
      </c>
      <c r="C494" s="15" t="s">
        <v>390</v>
      </c>
      <c r="D494" s="15">
        <v>47</v>
      </c>
      <c r="E494" s="15" t="s">
        <v>43</v>
      </c>
      <c r="F494" s="15" t="s">
        <v>92</v>
      </c>
      <c r="G494" s="15" t="s">
        <v>391</v>
      </c>
      <c r="H494" s="15" t="s">
        <v>392</v>
      </c>
      <c r="I494" s="15" t="s">
        <v>2023</v>
      </c>
      <c r="J494" s="15">
        <v>45681</v>
      </c>
      <c r="K494" s="15" t="s">
        <v>2024</v>
      </c>
      <c r="L494" s="15" t="s">
        <v>521</v>
      </c>
      <c r="M494" s="15">
        <v>441.03</v>
      </c>
      <c r="N494" s="15">
        <v>5</v>
      </c>
      <c r="O494" s="15" t="s">
        <v>38</v>
      </c>
      <c r="P494" s="15">
        <v>5</v>
      </c>
      <c r="Q494" s="15">
        <v>62</v>
      </c>
      <c r="R494" s="15">
        <v>45682</v>
      </c>
      <c r="S494" s="15" t="s">
        <v>2025</v>
      </c>
      <c r="T494" s="15">
        <v>1</v>
      </c>
      <c r="U494" s="15">
        <v>2205.1499999999996</v>
      </c>
      <c r="V494" s="16">
        <v>0.08</v>
      </c>
      <c r="W494" s="15">
        <v>2028.7379999999996</v>
      </c>
      <c r="X494" s="15">
        <v>2090.7379999999994</v>
      </c>
      <c r="Y494" s="15" t="s">
        <v>2137</v>
      </c>
      <c r="Z494" s="15" t="s">
        <v>2060</v>
      </c>
      <c r="AA494" s="17">
        <v>10</v>
      </c>
      <c r="AB494">
        <v>10.38</v>
      </c>
    </row>
    <row r="495" spans="1:28">
      <c r="A495" s="18" t="s">
        <v>275</v>
      </c>
      <c r="B495" s="18" t="s">
        <v>276</v>
      </c>
      <c r="C495" s="18" t="s">
        <v>277</v>
      </c>
      <c r="D495" s="18">
        <v>44</v>
      </c>
      <c r="E495" s="18" t="s">
        <v>31</v>
      </c>
      <c r="F495" s="18" t="s">
        <v>223</v>
      </c>
      <c r="G495" s="18" t="s">
        <v>278</v>
      </c>
      <c r="H495" s="18" t="s">
        <v>279</v>
      </c>
      <c r="I495" s="18" t="s">
        <v>638</v>
      </c>
      <c r="J495" s="18">
        <v>45307</v>
      </c>
      <c r="K495" s="18" t="s">
        <v>639</v>
      </c>
      <c r="L495" s="18" t="s">
        <v>640</v>
      </c>
      <c r="M495" s="18">
        <v>445.81</v>
      </c>
      <c r="N495" s="18">
        <v>5</v>
      </c>
      <c r="O495" s="18" t="s">
        <v>60</v>
      </c>
      <c r="P495" s="18">
        <v>1</v>
      </c>
      <c r="Q495" s="18">
        <v>56</v>
      </c>
      <c r="R495" s="18">
        <v>45313</v>
      </c>
      <c r="S495" s="18" t="s">
        <v>641</v>
      </c>
      <c r="T495" s="18">
        <v>6</v>
      </c>
      <c r="U495" s="18">
        <v>2229.0500000000002</v>
      </c>
      <c r="V495" s="19">
        <v>0.15</v>
      </c>
      <c r="W495" s="18">
        <v>1894.6925000000001</v>
      </c>
      <c r="X495" s="18">
        <v>1950.6925000000001</v>
      </c>
      <c r="Y495" s="18" t="s">
        <v>2110</v>
      </c>
      <c r="Z495" s="18" t="s">
        <v>2064</v>
      </c>
      <c r="AA495" s="20">
        <v>9</v>
      </c>
      <c r="AB495">
        <v>16.559999999999999</v>
      </c>
    </row>
    <row r="496" spans="1:28">
      <c r="A496" s="15" t="s">
        <v>438</v>
      </c>
      <c r="B496" s="15" t="s">
        <v>439</v>
      </c>
      <c r="C496" s="15" t="s">
        <v>440</v>
      </c>
      <c r="D496" s="15">
        <v>28</v>
      </c>
      <c r="E496" s="15" t="s">
        <v>54</v>
      </c>
      <c r="F496" s="15" t="s">
        <v>78</v>
      </c>
      <c r="G496" s="15" t="s">
        <v>441</v>
      </c>
      <c r="H496" s="15" t="s">
        <v>442</v>
      </c>
      <c r="I496" s="15" t="s">
        <v>925</v>
      </c>
      <c r="J496" s="15">
        <v>45610</v>
      </c>
      <c r="K496" s="15" t="s">
        <v>926</v>
      </c>
      <c r="L496" s="15" t="s">
        <v>640</v>
      </c>
      <c r="M496" s="15">
        <v>445.81</v>
      </c>
      <c r="N496" s="15">
        <v>5</v>
      </c>
      <c r="O496" s="15" t="s">
        <v>38</v>
      </c>
      <c r="P496" s="15">
        <v>6</v>
      </c>
      <c r="Q496" s="15">
        <v>70</v>
      </c>
      <c r="R496" s="15">
        <v>45613</v>
      </c>
      <c r="S496" s="15" t="s">
        <v>927</v>
      </c>
      <c r="T496" s="15">
        <v>3</v>
      </c>
      <c r="U496" s="15">
        <v>2229.0500000000002</v>
      </c>
      <c r="V496" s="16">
        <v>0.08</v>
      </c>
      <c r="W496" s="15">
        <v>2050.7260000000001</v>
      </c>
      <c r="X496" s="15">
        <v>2120.7260000000001</v>
      </c>
      <c r="Y496" s="15" t="s">
        <v>2120</v>
      </c>
      <c r="Z496" s="15" t="s">
        <v>2060</v>
      </c>
      <c r="AA496" s="17">
        <v>6</v>
      </c>
      <c r="AB496">
        <v>0</v>
      </c>
    </row>
    <row r="497" spans="1:28">
      <c r="A497" s="18" t="s">
        <v>1617</v>
      </c>
      <c r="B497" s="18" t="s">
        <v>276</v>
      </c>
      <c r="C497" s="18" t="s">
        <v>1618</v>
      </c>
      <c r="D497" s="18">
        <v>62</v>
      </c>
      <c r="E497" s="18" t="s">
        <v>43</v>
      </c>
      <c r="F497" s="18" t="s">
        <v>44</v>
      </c>
      <c r="G497" s="18" t="s">
        <v>1619</v>
      </c>
      <c r="H497" s="18" t="s">
        <v>1620</v>
      </c>
      <c r="I497" s="18" t="s">
        <v>1748</v>
      </c>
      <c r="J497" s="18">
        <v>45517</v>
      </c>
      <c r="K497" s="18" t="s">
        <v>1749</v>
      </c>
      <c r="L497" s="18" t="s">
        <v>576</v>
      </c>
      <c r="M497" s="18">
        <v>477.52</v>
      </c>
      <c r="N497" s="18">
        <v>5</v>
      </c>
      <c r="O497" s="18" t="s">
        <v>87</v>
      </c>
      <c r="P497" s="18">
        <v>2</v>
      </c>
      <c r="Q497" s="18">
        <v>60</v>
      </c>
      <c r="R497" s="18">
        <v>45520</v>
      </c>
      <c r="S497" s="18" t="s">
        <v>1750</v>
      </c>
      <c r="T497" s="18">
        <v>3</v>
      </c>
      <c r="U497" s="18">
        <v>2387.6</v>
      </c>
      <c r="V497" s="19">
        <v>0.2</v>
      </c>
      <c r="W497" s="18">
        <v>1910.08</v>
      </c>
      <c r="X497" s="18">
        <v>1970.08</v>
      </c>
      <c r="Y497" s="18" t="s">
        <v>2067</v>
      </c>
      <c r="Z497" s="18" t="s">
        <v>2064</v>
      </c>
      <c r="AA497" s="20">
        <v>4</v>
      </c>
      <c r="AB497">
        <v>69.379199999999997</v>
      </c>
    </row>
    <row r="498" spans="1:28">
      <c r="A498" s="15" t="s">
        <v>404</v>
      </c>
      <c r="B498" s="15" t="s">
        <v>405</v>
      </c>
      <c r="C498" s="15" t="s">
        <v>406</v>
      </c>
      <c r="D498" s="15">
        <v>70</v>
      </c>
      <c r="E498" s="15" t="s">
        <v>31</v>
      </c>
      <c r="F498" s="15" t="s">
        <v>32</v>
      </c>
      <c r="G498" s="15" t="s">
        <v>407</v>
      </c>
      <c r="H498" s="15" t="s">
        <v>408</v>
      </c>
      <c r="I498" s="15" t="s">
        <v>1991</v>
      </c>
      <c r="J498" s="15">
        <v>45392</v>
      </c>
      <c r="K498" s="15" t="s">
        <v>491</v>
      </c>
      <c r="L498" s="15" t="s">
        <v>576</v>
      </c>
      <c r="M498" s="15">
        <v>477.52</v>
      </c>
      <c r="N498" s="15">
        <v>5</v>
      </c>
      <c r="O498" s="15" t="s">
        <v>98</v>
      </c>
      <c r="P498" s="15">
        <v>7</v>
      </c>
      <c r="Q498" s="15">
        <v>53</v>
      </c>
      <c r="R498" s="15">
        <v>45394</v>
      </c>
      <c r="S498" s="15" t="s">
        <v>1992</v>
      </c>
      <c r="T498" s="15">
        <v>2</v>
      </c>
      <c r="U498" s="15">
        <v>2387.6</v>
      </c>
      <c r="V498" s="16">
        <v>0.1</v>
      </c>
      <c r="W498" s="15">
        <v>2148.84</v>
      </c>
      <c r="X498" s="15">
        <v>2201.84</v>
      </c>
      <c r="Y498" s="15" t="s">
        <v>2073</v>
      </c>
      <c r="Z498" s="15" t="s">
        <v>2060</v>
      </c>
      <c r="AA498" s="17">
        <v>7</v>
      </c>
      <c r="AB498">
        <v>30.753599999999999</v>
      </c>
    </row>
    <row r="499" spans="1:28">
      <c r="A499" s="18" t="s">
        <v>549</v>
      </c>
      <c r="B499" s="18" t="s">
        <v>550</v>
      </c>
      <c r="C499" s="18" t="s">
        <v>551</v>
      </c>
      <c r="D499" s="18">
        <v>33</v>
      </c>
      <c r="E499" s="18" t="s">
        <v>54</v>
      </c>
      <c r="F499" s="18" t="s">
        <v>170</v>
      </c>
      <c r="G499" s="18" t="s">
        <v>552</v>
      </c>
      <c r="H499" s="18" t="s">
        <v>553</v>
      </c>
      <c r="I499" s="18" t="s">
        <v>869</v>
      </c>
      <c r="J499" s="18">
        <v>45609</v>
      </c>
      <c r="K499" s="18" t="s">
        <v>870</v>
      </c>
      <c r="L499" s="18" t="s">
        <v>326</v>
      </c>
      <c r="M499" s="18">
        <v>481.48</v>
      </c>
      <c r="N499" s="18">
        <v>5</v>
      </c>
      <c r="O499" s="18" t="s">
        <v>38</v>
      </c>
      <c r="P499" s="18">
        <v>6</v>
      </c>
      <c r="Q499" s="18">
        <v>44</v>
      </c>
      <c r="R499" s="18">
        <v>45612</v>
      </c>
      <c r="S499" s="18" t="s">
        <v>871</v>
      </c>
      <c r="T499" s="18">
        <v>3</v>
      </c>
      <c r="U499" s="18">
        <v>2407.4</v>
      </c>
      <c r="V499" s="19">
        <v>0.08</v>
      </c>
      <c r="W499" s="18">
        <v>2214.808</v>
      </c>
      <c r="X499" s="18">
        <v>2258.808</v>
      </c>
      <c r="Y499" s="18" t="s">
        <v>2149</v>
      </c>
      <c r="Z499" s="18" t="s">
        <v>2060</v>
      </c>
      <c r="AA499" s="20">
        <v>3</v>
      </c>
      <c r="AB499">
        <v>0</v>
      </c>
    </row>
    <row r="500" spans="1:28">
      <c r="A500" s="15" t="s">
        <v>719</v>
      </c>
      <c r="B500" s="15" t="s">
        <v>720</v>
      </c>
      <c r="C500" s="15" t="s">
        <v>721</v>
      </c>
      <c r="D500" s="15">
        <v>32</v>
      </c>
      <c r="E500" s="15" t="s">
        <v>43</v>
      </c>
      <c r="F500" s="15" t="s">
        <v>32</v>
      </c>
      <c r="G500" s="15" t="s">
        <v>722</v>
      </c>
      <c r="H500" s="15" t="s">
        <v>723</v>
      </c>
      <c r="I500" s="15" t="s">
        <v>724</v>
      </c>
      <c r="J500" s="15">
        <v>45021</v>
      </c>
      <c r="K500" s="15" t="s">
        <v>725</v>
      </c>
      <c r="L500" s="15" t="s">
        <v>359</v>
      </c>
      <c r="M500" s="15">
        <v>496.59</v>
      </c>
      <c r="N500" s="15">
        <v>5</v>
      </c>
      <c r="O500" s="15" t="s">
        <v>87</v>
      </c>
      <c r="P500" s="15">
        <v>1</v>
      </c>
      <c r="Q500" s="15">
        <v>40</v>
      </c>
      <c r="R500" s="15">
        <v>45025</v>
      </c>
      <c r="S500" s="15" t="s">
        <v>726</v>
      </c>
      <c r="T500" s="15">
        <v>4</v>
      </c>
      <c r="U500" s="15">
        <v>2482.9499999999998</v>
      </c>
      <c r="V500" s="16">
        <v>0.2</v>
      </c>
      <c r="W500" s="15">
        <v>1986.36</v>
      </c>
      <c r="X500" s="15">
        <v>2026.36</v>
      </c>
      <c r="Y500" s="15" t="s">
        <v>2155</v>
      </c>
      <c r="Z500" s="15" t="s">
        <v>2064</v>
      </c>
      <c r="AA500" s="17">
        <v>6</v>
      </c>
      <c r="AB500">
        <v>0</v>
      </c>
    </row>
    <row r="501" spans="1:28">
      <c r="A501" s="21" t="s">
        <v>897</v>
      </c>
      <c r="B501" s="21" t="s">
        <v>150</v>
      </c>
      <c r="C501" s="21" t="s">
        <v>898</v>
      </c>
      <c r="D501" s="21">
        <v>29</v>
      </c>
      <c r="E501" s="21" t="s">
        <v>31</v>
      </c>
      <c r="F501" s="21" t="s">
        <v>44</v>
      </c>
      <c r="G501" s="21" t="s">
        <v>899</v>
      </c>
      <c r="H501" s="21" t="s">
        <v>900</v>
      </c>
      <c r="I501" s="21" t="s">
        <v>1961</v>
      </c>
      <c r="J501" s="21">
        <v>45423</v>
      </c>
      <c r="K501" s="21" t="s">
        <v>1962</v>
      </c>
      <c r="L501" s="21" t="s">
        <v>359</v>
      </c>
      <c r="M501" s="21">
        <v>496.59</v>
      </c>
      <c r="N501" s="21">
        <v>5</v>
      </c>
      <c r="O501" s="21" t="s">
        <v>38</v>
      </c>
      <c r="P501" s="21">
        <v>3</v>
      </c>
      <c r="Q501" s="21">
        <v>61</v>
      </c>
      <c r="R501" s="21">
        <v>45425</v>
      </c>
      <c r="S501" s="21" t="s">
        <v>1963</v>
      </c>
      <c r="T501" s="21">
        <v>2</v>
      </c>
      <c r="U501" s="21">
        <v>2482.9499999999998</v>
      </c>
      <c r="V501" s="22">
        <v>0.08</v>
      </c>
      <c r="W501" s="21">
        <v>2284.3139999999999</v>
      </c>
      <c r="X501" s="21">
        <v>2345.3139999999999</v>
      </c>
      <c r="Y501" s="21" t="s">
        <v>2094</v>
      </c>
      <c r="Z501" s="21" t="s">
        <v>2060</v>
      </c>
      <c r="AA501" s="23">
        <v>7</v>
      </c>
      <c r="AB501">
        <v>0</v>
      </c>
    </row>
    <row r="510" spans="1:28">
      <c r="A510" s="25" t="s">
        <v>177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4841D-FCED-4FBA-A3D3-B97E5BAFA54B}">
  <dimension ref="A4:L107"/>
  <sheetViews>
    <sheetView topLeftCell="E23" workbookViewId="0">
      <selection activeCell="AB61" sqref="AB61"/>
    </sheetView>
  </sheetViews>
  <sheetFormatPr defaultRowHeight="14.45"/>
  <cols>
    <col min="1" max="1" width="17.7109375" bestFit="1" customWidth="1"/>
    <col min="2" max="2" width="15.85546875" bestFit="1" customWidth="1"/>
    <col min="3" max="3" width="15.28515625" bestFit="1" customWidth="1"/>
    <col min="4" max="4" width="17.7109375" bestFit="1" customWidth="1"/>
    <col min="5" max="5" width="23.42578125" bestFit="1" customWidth="1"/>
    <col min="6" max="6" width="14.28515625" bestFit="1" customWidth="1"/>
    <col min="7" max="7" width="36.7109375" bestFit="1" customWidth="1"/>
    <col min="8" max="8" width="22.140625" bestFit="1" customWidth="1"/>
    <col min="9" max="9" width="12.5703125" bestFit="1" customWidth="1"/>
    <col min="10" max="10" width="21" bestFit="1" customWidth="1"/>
    <col min="11" max="12" width="14.28515625" bestFit="1" customWidth="1"/>
    <col min="13" max="13" width="15.5703125" bestFit="1" customWidth="1"/>
    <col min="14" max="14" width="12.5703125" bestFit="1" customWidth="1"/>
    <col min="15" max="110" width="15.5703125" bestFit="1" customWidth="1"/>
    <col min="111" max="111" width="10.7109375" bestFit="1" customWidth="1"/>
  </cols>
  <sheetData>
    <row r="4" spans="1:12">
      <c r="A4" s="5" t="s">
        <v>2162</v>
      </c>
      <c r="B4" t="s">
        <v>2163</v>
      </c>
      <c r="D4" t="s">
        <v>2164</v>
      </c>
      <c r="L4">
        <f>COUNTA(K7:K106)</f>
        <v>100</v>
      </c>
    </row>
    <row r="5" spans="1:12">
      <c r="A5" s="6" t="s">
        <v>2094</v>
      </c>
      <c r="B5" s="14">
        <v>2482.9499999999998</v>
      </c>
      <c r="D5" s="14">
        <v>42.124000000000002</v>
      </c>
    </row>
    <row r="6" spans="1:12">
      <c r="A6" s="6" t="s">
        <v>2155</v>
      </c>
      <c r="B6" s="14">
        <v>2482.9499999999998</v>
      </c>
      <c r="K6" s="5" t="s">
        <v>2162</v>
      </c>
      <c r="L6">
        <f>COUNTA(L9:L58)</f>
        <v>50</v>
      </c>
    </row>
    <row r="7" spans="1:12">
      <c r="A7" s="6" t="s">
        <v>2165</v>
      </c>
      <c r="B7" s="14">
        <v>2482.9499999999998</v>
      </c>
      <c r="K7" s="6" t="s">
        <v>503</v>
      </c>
    </row>
    <row r="8" spans="1:12">
      <c r="K8" s="6" t="s">
        <v>121</v>
      </c>
      <c r="L8" s="5" t="s">
        <v>2162</v>
      </c>
    </row>
    <row r="9" spans="1:12">
      <c r="K9" s="6" t="s">
        <v>1224</v>
      </c>
      <c r="L9" s="6" t="s">
        <v>433</v>
      </c>
    </row>
    <row r="10" spans="1:12">
      <c r="K10" s="6" t="s">
        <v>531</v>
      </c>
      <c r="L10" s="6" t="s">
        <v>944</v>
      </c>
    </row>
    <row r="11" spans="1:12">
      <c r="K11" s="6" t="s">
        <v>1106</v>
      </c>
      <c r="L11" s="6" t="s">
        <v>202</v>
      </c>
    </row>
    <row r="12" spans="1:12">
      <c r="K12" s="6" t="s">
        <v>130</v>
      </c>
      <c r="L12" s="6" t="s">
        <v>359</v>
      </c>
    </row>
    <row r="13" spans="1:12">
      <c r="K13" s="6" t="s">
        <v>1820</v>
      </c>
      <c r="L13" s="6" t="s">
        <v>640</v>
      </c>
    </row>
    <row r="14" spans="1:12">
      <c r="K14" s="6" t="s">
        <v>727</v>
      </c>
      <c r="L14" s="6" t="s">
        <v>576</v>
      </c>
    </row>
    <row r="15" spans="1:12">
      <c r="K15" s="6" t="s">
        <v>283</v>
      </c>
      <c r="L15" s="6" t="s">
        <v>128</v>
      </c>
    </row>
    <row r="16" spans="1:12">
      <c r="K16" s="6" t="s">
        <v>928</v>
      </c>
      <c r="L16" s="6" t="s">
        <v>228</v>
      </c>
    </row>
    <row r="17" spans="1:12">
      <c r="A17" t="s">
        <v>2166</v>
      </c>
      <c r="C17" t="s">
        <v>2167</v>
      </c>
      <c r="K17" s="6" t="s">
        <v>1730</v>
      </c>
      <c r="L17" s="6" t="s">
        <v>484</v>
      </c>
    </row>
    <row r="18" spans="1:12">
      <c r="A18" s="14">
        <v>500</v>
      </c>
      <c r="C18" s="14">
        <v>4.0019999999999998</v>
      </c>
      <c r="K18" s="6" t="s">
        <v>453</v>
      </c>
      <c r="L18" s="6" t="s">
        <v>421</v>
      </c>
    </row>
    <row r="19" spans="1:12">
      <c r="K19" s="6" t="s">
        <v>779</v>
      </c>
      <c r="L19" s="6" t="s">
        <v>874</v>
      </c>
    </row>
    <row r="20" spans="1:12">
      <c r="K20" s="6" t="s">
        <v>1213</v>
      </c>
      <c r="L20" s="6" t="s">
        <v>237</v>
      </c>
    </row>
    <row r="21" spans="1:12">
      <c r="K21" s="6" t="s">
        <v>1617</v>
      </c>
      <c r="L21" s="6" t="s">
        <v>660</v>
      </c>
    </row>
    <row r="22" spans="1:12">
      <c r="K22" s="6" t="s">
        <v>51</v>
      </c>
      <c r="L22" s="6" t="s">
        <v>175</v>
      </c>
    </row>
    <row r="23" spans="1:12">
      <c r="K23" s="6" t="s">
        <v>415</v>
      </c>
      <c r="L23" s="6" t="s">
        <v>49</v>
      </c>
    </row>
    <row r="24" spans="1:12">
      <c r="F24" s="5" t="s">
        <v>2162</v>
      </c>
      <c r="G24" t="s">
        <v>2168</v>
      </c>
      <c r="K24" s="6" t="s">
        <v>1241</v>
      </c>
      <c r="L24" s="6" t="s">
        <v>566</v>
      </c>
    </row>
    <row r="25" spans="1:12">
      <c r="C25" s="5" t="s">
        <v>2162</v>
      </c>
      <c r="D25" t="s">
        <v>2166</v>
      </c>
      <c r="F25" s="6" t="s">
        <v>326</v>
      </c>
      <c r="G25" s="14">
        <v>18899.277200000004</v>
      </c>
      <c r="K25" s="6" t="s">
        <v>642</v>
      </c>
      <c r="L25" s="6" t="s">
        <v>556</v>
      </c>
    </row>
    <row r="26" spans="1:12">
      <c r="C26" s="6" t="s">
        <v>290</v>
      </c>
      <c r="D26" s="14">
        <v>17</v>
      </c>
      <c r="F26" s="6" t="s">
        <v>2165</v>
      </c>
      <c r="G26" s="14">
        <v>18899.277200000004</v>
      </c>
      <c r="K26" s="6" t="s">
        <v>897</v>
      </c>
      <c r="L26" s="6" t="s">
        <v>273</v>
      </c>
    </row>
    <row r="27" spans="1:12">
      <c r="C27" s="6" t="s">
        <v>2165</v>
      </c>
      <c r="D27" s="14">
        <v>17</v>
      </c>
      <c r="K27" s="6" t="s">
        <v>319</v>
      </c>
      <c r="L27" s="6" t="s">
        <v>476</v>
      </c>
    </row>
    <row r="28" spans="1:12">
      <c r="K28" s="6" t="s">
        <v>336</v>
      </c>
      <c r="L28" s="6" t="s">
        <v>386</v>
      </c>
    </row>
    <row r="29" spans="1:12">
      <c r="K29" s="6" t="s">
        <v>1321</v>
      </c>
      <c r="L29" s="6" t="s">
        <v>311</v>
      </c>
    </row>
    <row r="30" spans="1:12">
      <c r="K30" s="6" t="s">
        <v>674</v>
      </c>
      <c r="L30" s="6" t="s">
        <v>37</v>
      </c>
    </row>
    <row r="31" spans="1:12">
      <c r="C31" t="s">
        <v>2169</v>
      </c>
      <c r="E31" t="s">
        <v>2170</v>
      </c>
      <c r="G31" t="s">
        <v>2168</v>
      </c>
      <c r="K31" s="6" t="s">
        <v>826</v>
      </c>
      <c r="L31" s="6" t="s">
        <v>59</v>
      </c>
    </row>
    <row r="32" spans="1:12">
      <c r="C32" s="14">
        <v>364289.48999999993</v>
      </c>
      <c r="E32" s="14">
        <v>326325.75969999994</v>
      </c>
      <c r="G32" s="14">
        <v>347189.75969999982</v>
      </c>
      <c r="K32" s="6" t="s">
        <v>606</v>
      </c>
      <c r="L32" s="6" t="s">
        <v>185</v>
      </c>
    </row>
    <row r="33" spans="5:12">
      <c r="K33" s="6" t="s">
        <v>446</v>
      </c>
      <c r="L33" s="6" t="s">
        <v>593</v>
      </c>
    </row>
    <row r="34" spans="5:12">
      <c r="K34" s="6" t="s">
        <v>989</v>
      </c>
      <c r="L34" s="6" t="s">
        <v>253</v>
      </c>
    </row>
    <row r="35" spans="5:12">
      <c r="E35" t="s">
        <v>2171</v>
      </c>
      <c r="K35" s="6" t="s">
        <v>195</v>
      </c>
      <c r="L35" s="6" t="s">
        <v>326</v>
      </c>
    </row>
    <row r="36" spans="5:12">
      <c r="E36" s="14">
        <v>37963.730299999988</v>
      </c>
      <c r="K36" s="6" t="s">
        <v>461</v>
      </c>
      <c r="L36" s="6" t="s">
        <v>245</v>
      </c>
    </row>
    <row r="37" spans="5:12">
      <c r="K37" s="6" t="s">
        <v>109</v>
      </c>
      <c r="L37" s="6" t="s">
        <v>751</v>
      </c>
    </row>
    <row r="38" spans="5:12">
      <c r="G38" s="5" t="s">
        <v>2162</v>
      </c>
      <c r="H38" t="s">
        <v>2172</v>
      </c>
      <c r="K38" s="6" t="s">
        <v>1335</v>
      </c>
      <c r="L38" s="6" t="s">
        <v>249</v>
      </c>
    </row>
    <row r="39" spans="5:12">
      <c r="G39" s="6" t="s">
        <v>65</v>
      </c>
      <c r="H39" s="14">
        <v>102</v>
      </c>
      <c r="K39" s="6" t="s">
        <v>369</v>
      </c>
      <c r="L39" s="6" t="s">
        <v>64</v>
      </c>
    </row>
    <row r="40" spans="5:12">
      <c r="G40" s="6" t="s">
        <v>98</v>
      </c>
      <c r="H40" s="14">
        <v>100</v>
      </c>
      <c r="K40" s="6" t="s">
        <v>352</v>
      </c>
      <c r="L40" s="6" t="s">
        <v>689</v>
      </c>
    </row>
    <row r="41" spans="5:12">
      <c r="G41" s="6" t="s">
        <v>60</v>
      </c>
      <c r="H41" s="14">
        <v>83</v>
      </c>
      <c r="K41" s="6" t="s">
        <v>478</v>
      </c>
      <c r="L41" s="6" t="s">
        <v>116</v>
      </c>
    </row>
    <row r="42" spans="5:12">
      <c r="G42" s="6" t="s">
        <v>87</v>
      </c>
      <c r="H42" s="14">
        <v>104</v>
      </c>
      <c r="K42" s="6" t="s">
        <v>423</v>
      </c>
      <c r="L42" s="6" t="s">
        <v>107</v>
      </c>
    </row>
    <row r="43" spans="5:12">
      <c r="G43" s="6" t="s">
        <v>38</v>
      </c>
      <c r="H43" s="14">
        <v>111</v>
      </c>
      <c r="K43" s="6" t="s">
        <v>486</v>
      </c>
      <c r="L43" s="6" t="s">
        <v>656</v>
      </c>
    </row>
    <row r="44" spans="5:12">
      <c r="G44" s="6" t="s">
        <v>2165</v>
      </c>
      <c r="H44" s="14">
        <v>500</v>
      </c>
      <c r="K44" s="6" t="s">
        <v>178</v>
      </c>
      <c r="L44" s="6" t="s">
        <v>290</v>
      </c>
    </row>
    <row r="45" spans="5:12">
      <c r="K45" s="6" t="s">
        <v>1171</v>
      </c>
      <c r="L45" s="6" t="s">
        <v>343</v>
      </c>
    </row>
    <row r="46" spans="5:12">
      <c r="K46" s="6" t="s">
        <v>625</v>
      </c>
      <c r="L46" s="6" t="s">
        <v>498</v>
      </c>
    </row>
    <row r="47" spans="5:12">
      <c r="K47" s="6" t="s">
        <v>649</v>
      </c>
      <c r="L47" s="6" t="s">
        <v>156</v>
      </c>
    </row>
    <row r="48" spans="5:12">
      <c r="K48" s="6" t="s">
        <v>1310</v>
      </c>
      <c r="L48" s="6" t="s">
        <v>741</v>
      </c>
    </row>
    <row r="49" spans="11:12">
      <c r="K49" s="6" t="s">
        <v>1194</v>
      </c>
      <c r="L49" s="6" t="s">
        <v>347</v>
      </c>
    </row>
    <row r="50" spans="11:12">
      <c r="K50" s="6" t="s">
        <v>691</v>
      </c>
      <c r="L50" s="6" t="s">
        <v>137</v>
      </c>
    </row>
    <row r="51" spans="11:12">
      <c r="K51" s="6" t="s">
        <v>595</v>
      </c>
      <c r="L51" s="6" t="s">
        <v>83</v>
      </c>
    </row>
    <row r="52" spans="11:12">
      <c r="K52" s="6" t="s">
        <v>578</v>
      </c>
      <c r="L52" s="6" t="s">
        <v>777</v>
      </c>
    </row>
    <row r="53" spans="11:12">
      <c r="K53" s="6" t="s">
        <v>1909</v>
      </c>
      <c r="L53" s="6" t="s">
        <v>987</v>
      </c>
    </row>
    <row r="54" spans="11:12">
      <c r="K54" s="6" t="s">
        <v>187</v>
      </c>
      <c r="L54" s="6" t="s">
        <v>97</v>
      </c>
    </row>
    <row r="55" spans="11:12">
      <c r="K55" s="6" t="s">
        <v>167</v>
      </c>
      <c r="L55" s="6" t="s">
        <v>147</v>
      </c>
    </row>
    <row r="56" spans="11:12">
      <c r="K56" s="6" t="s">
        <v>67</v>
      </c>
      <c r="L56" s="6" t="s">
        <v>517</v>
      </c>
    </row>
    <row r="57" spans="11:12">
      <c r="K57" s="6" t="s">
        <v>40</v>
      </c>
      <c r="L57" s="6" t="s">
        <v>521</v>
      </c>
    </row>
    <row r="58" spans="11:12">
      <c r="K58" s="6" t="s">
        <v>1476</v>
      </c>
      <c r="L58" s="6" t="s">
        <v>294</v>
      </c>
    </row>
    <row r="59" spans="11:12">
      <c r="K59" s="6" t="s">
        <v>100</v>
      </c>
      <c r="L59" s="6" t="s">
        <v>2165</v>
      </c>
    </row>
    <row r="60" spans="11:12">
      <c r="K60" s="6" t="s">
        <v>493</v>
      </c>
    </row>
    <row r="61" spans="11:12">
      <c r="K61" s="6" t="s">
        <v>1249</v>
      </c>
    </row>
    <row r="62" spans="11:12">
      <c r="K62" s="6" t="s">
        <v>328</v>
      </c>
    </row>
    <row r="63" spans="11:12">
      <c r="K63" s="6" t="s">
        <v>708</v>
      </c>
    </row>
    <row r="64" spans="11:12">
      <c r="K64" s="6" t="s">
        <v>1345</v>
      </c>
    </row>
    <row r="65" spans="11:11">
      <c r="K65" s="6" t="s">
        <v>239</v>
      </c>
    </row>
    <row r="66" spans="11:11">
      <c r="K66" s="6" t="s">
        <v>75</v>
      </c>
    </row>
    <row r="67" spans="11:11">
      <c r="K67" s="6" t="s">
        <v>834</v>
      </c>
    </row>
    <row r="68" spans="11:11">
      <c r="K68" s="6" t="s">
        <v>296</v>
      </c>
    </row>
    <row r="69" spans="11:11">
      <c r="K69" s="6" t="s">
        <v>1082</v>
      </c>
    </row>
    <row r="70" spans="11:11">
      <c r="K70" s="6" t="s">
        <v>220</v>
      </c>
    </row>
    <row r="71" spans="11:11">
      <c r="K71" s="6" t="s">
        <v>1460</v>
      </c>
    </row>
    <row r="72" spans="11:11">
      <c r="K72" s="6" t="s">
        <v>438</v>
      </c>
    </row>
    <row r="73" spans="11:11">
      <c r="K73" s="6" t="s">
        <v>266</v>
      </c>
    </row>
    <row r="74" spans="11:11">
      <c r="K74" s="6" t="s">
        <v>1935</v>
      </c>
    </row>
    <row r="75" spans="11:11">
      <c r="K75" s="6" t="s">
        <v>204</v>
      </c>
    </row>
    <row r="76" spans="11:11">
      <c r="K76" s="6" t="s">
        <v>361</v>
      </c>
    </row>
    <row r="77" spans="11:11">
      <c r="K77" s="6" t="s">
        <v>719</v>
      </c>
    </row>
    <row r="78" spans="11:11">
      <c r="K78" s="6" t="s">
        <v>842</v>
      </c>
    </row>
    <row r="79" spans="11:11">
      <c r="K79" s="6" t="s">
        <v>139</v>
      </c>
    </row>
    <row r="80" spans="11:11">
      <c r="K80" s="6" t="s">
        <v>850</v>
      </c>
    </row>
    <row r="81" spans="11:11">
      <c r="K81" s="6" t="s">
        <v>549</v>
      </c>
    </row>
    <row r="82" spans="11:11">
      <c r="K82" s="6" t="s">
        <v>523</v>
      </c>
    </row>
    <row r="83" spans="11:11">
      <c r="K83" s="6" t="s">
        <v>158</v>
      </c>
    </row>
    <row r="84" spans="11:11">
      <c r="K84" s="6" t="s">
        <v>1763</v>
      </c>
    </row>
    <row r="85" spans="11:11">
      <c r="K85" s="6" t="s">
        <v>149</v>
      </c>
    </row>
    <row r="86" spans="11:11">
      <c r="K86" s="6" t="s">
        <v>212</v>
      </c>
    </row>
    <row r="87" spans="11:11">
      <c r="K87" s="6" t="s">
        <v>377</v>
      </c>
    </row>
    <row r="88" spans="11:11">
      <c r="K88" s="6" t="s">
        <v>404</v>
      </c>
    </row>
    <row r="89" spans="11:11">
      <c r="K89" s="6" t="s">
        <v>230</v>
      </c>
    </row>
    <row r="90" spans="11:11">
      <c r="K90" s="6" t="s">
        <v>682</v>
      </c>
    </row>
    <row r="91" spans="11:11">
      <c r="K91" s="6" t="s">
        <v>388</v>
      </c>
    </row>
    <row r="92" spans="11:11">
      <c r="K92" s="6" t="s">
        <v>734</v>
      </c>
    </row>
    <row r="93" spans="11:11">
      <c r="K93" s="6" t="s">
        <v>28</v>
      </c>
    </row>
    <row r="94" spans="11:11">
      <c r="K94" s="6" t="s">
        <v>396</v>
      </c>
    </row>
    <row r="95" spans="11:11">
      <c r="K95" s="6" t="s">
        <v>770</v>
      </c>
    </row>
    <row r="96" spans="11:11">
      <c r="K96" s="6" t="s">
        <v>1045</v>
      </c>
    </row>
    <row r="97" spans="11:11">
      <c r="K97" s="6" t="s">
        <v>304</v>
      </c>
    </row>
    <row r="98" spans="11:11">
      <c r="K98" s="6" t="s">
        <v>275</v>
      </c>
    </row>
    <row r="99" spans="11:11">
      <c r="K99" s="6" t="s">
        <v>538</v>
      </c>
    </row>
    <row r="100" spans="11:11">
      <c r="K100" s="6" t="s">
        <v>258</v>
      </c>
    </row>
    <row r="101" spans="11:11">
      <c r="K101" s="6" t="s">
        <v>753</v>
      </c>
    </row>
    <row r="102" spans="11:11">
      <c r="K102" s="6" t="s">
        <v>510</v>
      </c>
    </row>
    <row r="103" spans="11:11">
      <c r="K103" s="6" t="s">
        <v>1740</v>
      </c>
    </row>
    <row r="104" spans="11:11">
      <c r="K104" s="6" t="s">
        <v>1878</v>
      </c>
    </row>
    <row r="105" spans="11:11">
      <c r="K105" s="6" t="s">
        <v>89</v>
      </c>
    </row>
    <row r="106" spans="11:11">
      <c r="K106" s="6" t="s">
        <v>469</v>
      </c>
    </row>
    <row r="107" spans="11:11">
      <c r="K107" s="6" t="s">
        <v>2165</v>
      </c>
    </row>
  </sheetData>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34138-68A1-4FC1-8427-955568FC8D91}">
  <dimension ref="A2:Y57"/>
  <sheetViews>
    <sheetView topLeftCell="U27" workbookViewId="0">
      <selection activeCell="AB61" sqref="AB61"/>
    </sheetView>
  </sheetViews>
  <sheetFormatPr defaultRowHeight="14.45"/>
  <cols>
    <col min="1" max="1" width="14.28515625" bestFit="1" customWidth="1"/>
    <col min="2" max="2" width="17.7109375" bestFit="1" customWidth="1"/>
    <col min="18" max="18" width="14.28515625" bestFit="1" customWidth="1"/>
    <col min="19" max="19" width="22.140625" bestFit="1" customWidth="1"/>
    <col min="21" max="21" width="36.7109375" bestFit="1" customWidth="1"/>
    <col min="22" max="22" width="17.28515625" bestFit="1" customWidth="1"/>
    <col min="23" max="25" width="12.5703125" bestFit="1" customWidth="1"/>
  </cols>
  <sheetData>
    <row r="2" spans="1:19">
      <c r="A2" s="5" t="s">
        <v>2162</v>
      </c>
      <c r="B2" t="s">
        <v>2168</v>
      </c>
      <c r="R2" s="5" t="s">
        <v>2162</v>
      </c>
      <c r="S2" t="s">
        <v>2169</v>
      </c>
    </row>
    <row r="3" spans="1:19">
      <c r="A3" s="6" t="s">
        <v>2066</v>
      </c>
      <c r="B3" s="14">
        <v>6564.2683999999999</v>
      </c>
      <c r="R3" s="6" t="s">
        <v>44</v>
      </c>
      <c r="S3" s="14">
        <v>63375.029999999992</v>
      </c>
    </row>
    <row r="4" spans="1:19">
      <c r="A4" s="6" t="s">
        <v>2100</v>
      </c>
      <c r="B4" s="14">
        <v>6567.3071999999993</v>
      </c>
      <c r="R4" s="6" t="s">
        <v>170</v>
      </c>
      <c r="S4" s="14">
        <v>52545.420000000006</v>
      </c>
    </row>
    <row r="5" spans="1:19">
      <c r="A5" s="6" t="s">
        <v>2111</v>
      </c>
      <c r="B5" s="14">
        <v>6576.1845999999996</v>
      </c>
      <c r="R5" s="6" t="s">
        <v>92</v>
      </c>
      <c r="S5" s="14">
        <v>49339.330000000009</v>
      </c>
    </row>
    <row r="6" spans="1:19">
      <c r="A6" s="6" t="s">
        <v>2123</v>
      </c>
      <c r="B6" s="14">
        <v>6606.2736999999997</v>
      </c>
      <c r="R6" s="6" t="s">
        <v>223</v>
      </c>
      <c r="S6" s="14">
        <v>48591.26</v>
      </c>
    </row>
    <row r="7" spans="1:19">
      <c r="A7" s="6" t="s">
        <v>2110</v>
      </c>
      <c r="B7" s="14">
        <v>6685.0841000000009</v>
      </c>
      <c r="R7" s="6" t="s">
        <v>32</v>
      </c>
      <c r="S7" s="14">
        <v>47998.48</v>
      </c>
    </row>
    <row r="8" spans="1:19">
      <c r="A8" s="6" t="s">
        <v>2077</v>
      </c>
      <c r="B8" s="14">
        <v>6854.0678000000007</v>
      </c>
      <c r="R8" s="6" t="s">
        <v>78</v>
      </c>
      <c r="S8" s="14">
        <v>41839.179999999993</v>
      </c>
    </row>
    <row r="9" spans="1:19">
      <c r="A9" s="6" t="s">
        <v>2120</v>
      </c>
      <c r="B9" s="14">
        <v>7451.5637999999999</v>
      </c>
      <c r="R9" s="6" t="s">
        <v>161</v>
      </c>
      <c r="S9" s="14">
        <v>34676.51</v>
      </c>
    </row>
    <row r="10" spans="1:19">
      <c r="A10" s="6" t="s">
        <v>2107</v>
      </c>
      <c r="B10" s="14">
        <v>7874.7187000000004</v>
      </c>
      <c r="R10" s="6" t="s">
        <v>142</v>
      </c>
      <c r="S10" s="14">
        <v>25924.28</v>
      </c>
    </row>
    <row r="11" spans="1:19">
      <c r="A11" s="6" t="s">
        <v>2067</v>
      </c>
      <c r="B11" s="14">
        <v>8218.4582999999984</v>
      </c>
      <c r="R11" s="6" t="s">
        <v>2165</v>
      </c>
      <c r="S11" s="14">
        <v>364289.48999999993</v>
      </c>
    </row>
    <row r="12" spans="1:19">
      <c r="A12" s="6" t="s">
        <v>2149</v>
      </c>
      <c r="B12" s="14">
        <v>13056.678899999999</v>
      </c>
    </row>
    <row r="13" spans="1:19">
      <c r="A13" s="6" t="s">
        <v>2165</v>
      </c>
      <c r="B13" s="14">
        <v>76454.605500000005</v>
      </c>
    </row>
    <row r="23" spans="1:19">
      <c r="A23" s="5" t="s">
        <v>2162</v>
      </c>
      <c r="B23" t="s">
        <v>2173</v>
      </c>
    </row>
    <row r="24" spans="1:19">
      <c r="A24" s="6" t="s">
        <v>290</v>
      </c>
      <c r="B24" s="14">
        <v>17</v>
      </c>
      <c r="R24" s="5" t="s">
        <v>2162</v>
      </c>
      <c r="S24" t="s">
        <v>2172</v>
      </c>
    </row>
    <row r="25" spans="1:19">
      <c r="A25" s="6" t="s">
        <v>97</v>
      </c>
      <c r="B25" s="14">
        <v>16</v>
      </c>
      <c r="R25" s="6" t="s">
        <v>38</v>
      </c>
      <c r="S25" s="14">
        <v>111</v>
      </c>
    </row>
    <row r="26" spans="1:19">
      <c r="A26" s="6" t="s">
        <v>517</v>
      </c>
      <c r="B26" s="14">
        <v>15</v>
      </c>
      <c r="R26" s="6" t="s">
        <v>87</v>
      </c>
      <c r="S26" s="14">
        <v>104</v>
      </c>
    </row>
    <row r="27" spans="1:19">
      <c r="A27" s="6" t="s">
        <v>326</v>
      </c>
      <c r="B27" s="14">
        <v>15</v>
      </c>
      <c r="R27" s="6" t="s">
        <v>65</v>
      </c>
      <c r="S27" s="14">
        <v>102</v>
      </c>
    </row>
    <row r="28" spans="1:19">
      <c r="A28" s="6" t="s">
        <v>273</v>
      </c>
      <c r="B28" s="14">
        <v>15</v>
      </c>
      <c r="R28" s="6" t="s">
        <v>98</v>
      </c>
      <c r="S28" s="14">
        <v>100</v>
      </c>
    </row>
    <row r="29" spans="1:19">
      <c r="A29" s="6" t="s">
        <v>347</v>
      </c>
      <c r="B29" s="14">
        <v>14</v>
      </c>
      <c r="R29" s="6" t="s">
        <v>60</v>
      </c>
      <c r="S29" s="14">
        <v>83</v>
      </c>
    </row>
    <row r="30" spans="1:19">
      <c r="A30" s="6" t="s">
        <v>944</v>
      </c>
      <c r="B30" s="14">
        <v>14</v>
      </c>
      <c r="R30" s="6" t="s">
        <v>2165</v>
      </c>
      <c r="S30" s="14">
        <v>500</v>
      </c>
    </row>
    <row r="31" spans="1:19">
      <c r="A31" s="6" t="s">
        <v>2165</v>
      </c>
      <c r="B31" s="14">
        <v>106</v>
      </c>
    </row>
    <row r="40" spans="1:25">
      <c r="A40" s="5" t="s">
        <v>2162</v>
      </c>
      <c r="B40" t="s">
        <v>2166</v>
      </c>
      <c r="F40" t="s">
        <v>2162</v>
      </c>
      <c r="G40" t="s">
        <v>2166</v>
      </c>
    </row>
    <row r="41" spans="1:25">
      <c r="A41" s="6" t="s">
        <v>44</v>
      </c>
      <c r="B41" s="14">
        <v>80</v>
      </c>
      <c r="F41" t="s">
        <v>44</v>
      </c>
      <c r="G41">
        <v>80</v>
      </c>
    </row>
    <row r="42" spans="1:25">
      <c r="A42" s="6" t="s">
        <v>170</v>
      </c>
      <c r="B42" s="14">
        <v>72</v>
      </c>
      <c r="F42" t="s">
        <v>170</v>
      </c>
      <c r="G42">
        <v>72</v>
      </c>
    </row>
    <row r="43" spans="1:25">
      <c r="A43" s="6" t="s">
        <v>92</v>
      </c>
      <c r="B43" s="14">
        <v>72</v>
      </c>
      <c r="F43" t="s">
        <v>92</v>
      </c>
      <c r="G43">
        <v>72</v>
      </c>
      <c r="U43" s="5" t="s">
        <v>2168</v>
      </c>
      <c r="V43" s="5" t="s">
        <v>2174</v>
      </c>
    </row>
    <row r="44" spans="1:25">
      <c r="A44" s="6" t="s">
        <v>32</v>
      </c>
      <c r="B44" s="14">
        <v>66</v>
      </c>
      <c r="F44" t="s">
        <v>32</v>
      </c>
      <c r="G44">
        <v>66</v>
      </c>
      <c r="U44" s="5" t="s">
        <v>2162</v>
      </c>
      <c r="V44" t="s">
        <v>43</v>
      </c>
      <c r="W44" t="s">
        <v>31</v>
      </c>
      <c r="X44" t="s">
        <v>54</v>
      </c>
      <c r="Y44" t="s">
        <v>2165</v>
      </c>
    </row>
    <row r="45" spans="1:25">
      <c r="A45" s="6" t="s">
        <v>223</v>
      </c>
      <c r="B45" s="14">
        <v>64</v>
      </c>
      <c r="F45" t="s">
        <v>223</v>
      </c>
      <c r="G45">
        <v>64</v>
      </c>
      <c r="U45" s="6">
        <v>1</v>
      </c>
      <c r="V45" s="14">
        <v>6506.9598999999998</v>
      </c>
      <c r="W45" s="14">
        <v>7020.4683999999997</v>
      </c>
      <c r="X45" s="14">
        <v>11504.387300000002</v>
      </c>
      <c r="Y45" s="14">
        <v>25031.815600000002</v>
      </c>
    </row>
    <row r="46" spans="1:25">
      <c r="A46" s="6" t="s">
        <v>161</v>
      </c>
      <c r="B46" s="14">
        <v>51</v>
      </c>
      <c r="F46" t="s">
        <v>161</v>
      </c>
      <c r="G46">
        <v>51</v>
      </c>
      <c r="U46" s="6">
        <v>2</v>
      </c>
      <c r="V46" s="14">
        <v>8514.8821000000007</v>
      </c>
      <c r="W46" s="14">
        <v>10309.695599999999</v>
      </c>
      <c r="X46" s="14">
        <v>7526.5054000000009</v>
      </c>
      <c r="Y46" s="14">
        <v>26351.083100000003</v>
      </c>
    </row>
    <row r="47" spans="1:25">
      <c r="A47" s="6" t="s">
        <v>78</v>
      </c>
      <c r="B47" s="14">
        <v>51</v>
      </c>
      <c r="F47" t="s">
        <v>78</v>
      </c>
      <c r="G47">
        <v>51</v>
      </c>
      <c r="U47" s="6">
        <v>3</v>
      </c>
      <c r="V47" s="14">
        <v>15142.567499999999</v>
      </c>
      <c r="W47" s="14">
        <v>7417.8769000000002</v>
      </c>
      <c r="X47" s="14">
        <v>18957.694400000004</v>
      </c>
      <c r="Y47" s="14">
        <v>41518.138800000001</v>
      </c>
    </row>
    <row r="48" spans="1:25">
      <c r="A48" s="6" t="s">
        <v>142</v>
      </c>
      <c r="B48" s="14">
        <v>44</v>
      </c>
      <c r="F48" t="s">
        <v>142</v>
      </c>
      <c r="G48">
        <v>44</v>
      </c>
      <c r="U48" s="6">
        <v>4</v>
      </c>
      <c r="V48" s="14">
        <v>12127.033700000002</v>
      </c>
      <c r="W48" s="14">
        <v>7651.7350999999999</v>
      </c>
      <c r="X48" s="14">
        <v>12642.293799999999</v>
      </c>
      <c r="Y48" s="14">
        <v>32421.062600000001</v>
      </c>
    </row>
    <row r="49" spans="1:25">
      <c r="A49" s="6" t="s">
        <v>2165</v>
      </c>
      <c r="B49" s="14">
        <v>500</v>
      </c>
      <c r="F49" t="s">
        <v>177</v>
      </c>
      <c r="G49" t="s">
        <v>177</v>
      </c>
      <c r="U49" s="6">
        <v>5</v>
      </c>
      <c r="V49" s="14">
        <v>3285.7773999999999</v>
      </c>
      <c r="W49" s="14">
        <v>7919.5396000000001</v>
      </c>
      <c r="X49" s="14">
        <v>12161.428599999999</v>
      </c>
      <c r="Y49" s="14">
        <v>23366.745599999998</v>
      </c>
    </row>
    <row r="50" spans="1:25">
      <c r="U50" s="6">
        <v>6</v>
      </c>
      <c r="V50" s="14">
        <v>8722.6895999999997</v>
      </c>
      <c r="W50" s="14">
        <v>8844.8089999999993</v>
      </c>
      <c r="X50" s="14">
        <v>14258.475699999999</v>
      </c>
      <c r="Y50" s="14">
        <v>31825.974299999998</v>
      </c>
    </row>
    <row r="51" spans="1:25">
      <c r="U51" s="6">
        <v>7</v>
      </c>
      <c r="V51" s="14">
        <v>10149.869999999999</v>
      </c>
      <c r="W51" s="14">
        <v>8707.1795999999995</v>
      </c>
      <c r="X51" s="14">
        <v>9677.5800000000017</v>
      </c>
      <c r="Y51" s="14">
        <v>28534.6296</v>
      </c>
    </row>
    <row r="52" spans="1:25">
      <c r="U52" s="6">
        <v>8</v>
      </c>
      <c r="V52" s="14">
        <v>7481.1401999999998</v>
      </c>
      <c r="W52" s="14">
        <v>4917.2932000000001</v>
      </c>
      <c r="X52" s="14">
        <v>13323.793000000001</v>
      </c>
      <c r="Y52" s="14">
        <v>25722.2264</v>
      </c>
    </row>
    <row r="53" spans="1:25">
      <c r="U53" s="6">
        <v>9</v>
      </c>
      <c r="V53" s="14">
        <v>8433.5825999999997</v>
      </c>
      <c r="W53" s="14">
        <v>12331.6126</v>
      </c>
      <c r="X53" s="14">
        <v>12821.2091</v>
      </c>
      <c r="Y53" s="14">
        <v>33586.404300000002</v>
      </c>
    </row>
    <row r="54" spans="1:25">
      <c r="U54" s="6">
        <v>10</v>
      </c>
      <c r="V54" s="14">
        <v>11424.228599999999</v>
      </c>
      <c r="W54" s="14">
        <v>7531.1372000000001</v>
      </c>
      <c r="X54" s="14">
        <v>7298.6207999999997</v>
      </c>
      <c r="Y54" s="14">
        <v>26253.9866</v>
      </c>
    </row>
    <row r="55" spans="1:25">
      <c r="U55" s="6">
        <v>11</v>
      </c>
      <c r="V55" s="14">
        <v>4519.0763999999999</v>
      </c>
      <c r="W55" s="14">
        <v>7054.6145000000006</v>
      </c>
      <c r="X55" s="14">
        <v>8059.1866</v>
      </c>
      <c r="Y55" s="14">
        <v>19632.877500000002</v>
      </c>
    </row>
    <row r="56" spans="1:25">
      <c r="U56" s="6">
        <v>12</v>
      </c>
      <c r="V56" s="14">
        <v>4125.3098</v>
      </c>
      <c r="W56" s="14">
        <v>15705.0497</v>
      </c>
      <c r="X56" s="14">
        <v>13114.4558</v>
      </c>
      <c r="Y56" s="14">
        <v>32944.815300000002</v>
      </c>
    </row>
    <row r="57" spans="1:25">
      <c r="U57" s="6" t="s">
        <v>2165</v>
      </c>
      <c r="V57" s="14">
        <v>100433.11779999999</v>
      </c>
      <c r="W57" s="14">
        <v>105411.01139999999</v>
      </c>
      <c r="X57" s="14">
        <v>141345.63050000003</v>
      </c>
      <c r="Y57" s="14">
        <v>347189.7597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D5153-06F7-49F5-B1D9-9DE949DBC138}">
  <dimension ref="A1:A3"/>
  <sheetViews>
    <sheetView showGridLines="0" tabSelected="1" topLeftCell="O34" zoomScale="53" workbookViewId="0">
      <selection activeCell="M61" sqref="M61"/>
    </sheetView>
  </sheetViews>
  <sheetFormatPr defaultRowHeight="14.45"/>
  <sheetData>
    <row r="1" customFormat="1"/>
    <row r="2" customFormat="1"/>
    <row r="3" customFormat="1"/>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
  <cp:revision/>
  <dcterms:created xsi:type="dcterms:W3CDTF">2025-02-08T05:14:48Z</dcterms:created>
  <dcterms:modified xsi:type="dcterms:W3CDTF">2026-08-19T17:57:28Z</dcterms:modified>
  <cp:category/>
  <cp:contentStatus/>
</cp:coreProperties>
</file>